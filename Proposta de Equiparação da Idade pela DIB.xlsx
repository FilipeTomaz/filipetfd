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colaboragov-my.sharepoint.com/personal/gabriel_prata_planejamento_gov_br/Documents/Área de Trabalho/"/>
    </mc:Choice>
  </mc:AlternateContent>
  <xr:revisionPtr revIDLastSave="1" documentId="115_{BAAF9554-8940-4E32-9AC2-07E062187273}" xr6:coauthVersionLast="47" xr6:coauthVersionMax="47" xr10:uidLastSave="{5801D33F-AB5E-4968-AF64-ACB3B6849ABC}"/>
  <bookViews>
    <workbookView xWindow="-120" yWindow="-120" windowWidth="29040" windowHeight="15720" tabRatio="500" xr2:uid="{00000000-000D-0000-FFFF-FFFF00000000}"/>
  </bookViews>
  <sheets>
    <sheet name="Nota Explicativa" sheetId="1" r:id="rId1"/>
    <sheet name="Transição 9 H e 13 M Anos" sheetId="2" r:id="rId2"/>
    <sheet name="Transição Uniforme 10 Anos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751" i="3" l="1"/>
  <c r="H1750" i="3"/>
  <c r="H1749" i="3"/>
  <c r="H1748" i="3"/>
  <c r="H1747" i="3"/>
  <c r="H1746" i="3"/>
  <c r="H1745" i="3"/>
  <c r="H1744" i="3"/>
  <c r="H1743" i="3"/>
  <c r="H1742" i="3"/>
  <c r="H1741" i="3"/>
  <c r="H1740" i="3"/>
  <c r="H1739" i="3"/>
  <c r="H1738" i="3"/>
  <c r="H1737" i="3"/>
  <c r="H1736" i="3"/>
  <c r="H1735" i="3"/>
  <c r="H1734" i="3"/>
  <c r="H1733" i="3"/>
  <c r="H1732" i="3"/>
  <c r="H1731" i="3"/>
  <c r="H1730" i="3"/>
  <c r="H1729" i="3"/>
  <c r="H1728" i="3"/>
  <c r="H1727" i="3"/>
  <c r="H1726" i="3"/>
  <c r="H1725" i="3"/>
  <c r="H1724" i="3"/>
  <c r="H1723" i="3"/>
  <c r="H1722" i="3"/>
  <c r="H1721" i="3"/>
  <c r="H1720" i="3"/>
  <c r="H1719" i="3"/>
  <c r="H1718" i="3"/>
  <c r="H1717" i="3"/>
  <c r="H1716" i="3"/>
  <c r="H1715" i="3"/>
  <c r="H1714" i="3"/>
  <c r="H1713" i="3"/>
  <c r="H1712" i="3"/>
  <c r="H1711" i="3"/>
  <c r="H1710" i="3"/>
  <c r="H1709" i="3"/>
  <c r="H1708" i="3"/>
  <c r="H1707" i="3"/>
  <c r="H1706" i="3"/>
  <c r="H1705" i="3"/>
  <c r="H1704" i="3"/>
  <c r="H1703" i="3"/>
  <c r="H1702" i="3"/>
  <c r="H1701" i="3"/>
  <c r="H1700" i="3"/>
  <c r="H1699" i="3"/>
  <c r="H1698" i="3"/>
  <c r="H1697" i="3"/>
  <c r="H1696" i="3"/>
  <c r="H1695" i="3"/>
  <c r="H1694" i="3"/>
  <c r="H1693" i="3"/>
  <c r="H1692" i="3"/>
  <c r="H1691" i="3"/>
  <c r="H1690" i="3"/>
  <c r="H1689" i="3"/>
  <c r="H1688" i="3"/>
  <c r="H1687" i="3"/>
  <c r="H1686" i="3"/>
  <c r="H1685" i="3"/>
  <c r="H1684" i="3"/>
  <c r="H1683" i="3"/>
  <c r="H1682" i="3"/>
  <c r="H1681" i="3"/>
  <c r="H1680" i="3"/>
  <c r="H1679" i="3"/>
  <c r="H1678" i="3"/>
  <c r="H1677" i="3"/>
  <c r="H1676" i="3"/>
  <c r="H1675" i="3"/>
  <c r="H1674" i="3"/>
  <c r="H1673" i="3"/>
  <c r="H1672" i="3"/>
  <c r="H1671" i="3"/>
  <c r="H1670" i="3"/>
  <c r="H1669" i="3"/>
  <c r="H1668" i="3"/>
  <c r="H1667" i="3"/>
  <c r="H1666" i="3"/>
  <c r="H1665" i="3"/>
  <c r="H1664" i="3"/>
  <c r="H1663" i="3"/>
  <c r="H1662" i="3"/>
  <c r="H1661" i="3"/>
  <c r="H1660" i="3"/>
  <c r="H1659" i="3"/>
  <c r="H1658" i="3"/>
  <c r="H1657" i="3"/>
  <c r="H1656" i="3"/>
  <c r="H1655" i="3"/>
  <c r="H1654" i="3"/>
  <c r="H1653" i="3"/>
  <c r="H1652" i="3"/>
  <c r="H1651" i="3"/>
  <c r="H1650" i="3"/>
  <c r="H1649" i="3"/>
  <c r="H1648" i="3"/>
  <c r="H1647" i="3"/>
  <c r="H1646" i="3"/>
  <c r="H1645" i="3"/>
  <c r="H1644" i="3"/>
  <c r="H1643" i="3"/>
  <c r="H1642" i="3"/>
  <c r="H1641" i="3"/>
  <c r="H1640" i="3"/>
  <c r="H1639" i="3"/>
  <c r="H1638" i="3"/>
  <c r="H1637" i="3"/>
  <c r="H1636" i="3"/>
  <c r="H1635" i="3"/>
  <c r="H1634" i="3"/>
  <c r="H1633" i="3"/>
  <c r="H1632" i="3"/>
  <c r="H1631" i="3"/>
  <c r="H1630" i="3"/>
  <c r="H1629" i="3"/>
  <c r="H1628" i="3"/>
  <c r="H1627" i="3"/>
  <c r="H1626" i="3"/>
  <c r="H1625" i="3"/>
  <c r="H1624" i="3"/>
  <c r="H1623" i="3"/>
  <c r="H1622" i="3"/>
  <c r="H1621" i="3"/>
  <c r="H1620" i="3"/>
  <c r="H1619" i="3"/>
  <c r="H1618" i="3"/>
  <c r="H1617" i="3"/>
  <c r="H1616" i="3"/>
  <c r="H1615" i="3"/>
  <c r="H1614" i="3"/>
  <c r="H1613" i="3"/>
  <c r="H1612" i="3"/>
  <c r="H1611" i="3"/>
  <c r="H1610" i="3"/>
  <c r="H1609" i="3"/>
  <c r="H1608" i="3"/>
  <c r="H1607" i="3"/>
  <c r="H1606" i="3"/>
  <c r="H1605" i="3"/>
  <c r="H1604" i="3"/>
  <c r="H1603" i="3"/>
  <c r="H1602" i="3"/>
  <c r="H1601" i="3"/>
  <c r="H1600" i="3"/>
  <c r="H1599" i="3"/>
  <c r="H1598" i="3"/>
  <c r="H1597" i="3"/>
  <c r="H1596" i="3"/>
  <c r="H1595" i="3"/>
  <c r="H1594" i="3"/>
  <c r="H1593" i="3"/>
  <c r="H1592" i="3"/>
  <c r="H1591" i="3"/>
  <c r="H1590" i="3"/>
  <c r="H1589" i="3"/>
  <c r="H1588" i="3"/>
  <c r="H1587" i="3"/>
  <c r="H1586" i="3"/>
  <c r="H1585" i="3"/>
  <c r="H1584" i="3"/>
  <c r="H1583" i="3"/>
  <c r="H1582" i="3"/>
  <c r="H1581" i="3"/>
  <c r="H1580" i="3"/>
  <c r="H1579" i="3"/>
  <c r="H1578" i="3"/>
  <c r="H1577" i="3"/>
  <c r="H1576" i="3"/>
  <c r="H1575" i="3"/>
  <c r="H1574" i="3"/>
  <c r="H1573" i="3"/>
  <c r="H1572" i="3"/>
  <c r="H1571" i="3"/>
  <c r="H1570" i="3"/>
  <c r="H1569" i="3"/>
  <c r="H1568" i="3"/>
  <c r="H1567" i="3"/>
  <c r="H1566" i="3"/>
  <c r="H1565" i="3"/>
  <c r="H1564" i="3"/>
  <c r="H1563" i="3"/>
  <c r="H1562" i="3"/>
  <c r="H1561" i="3"/>
  <c r="H1560" i="3"/>
  <c r="H1559" i="3"/>
  <c r="H1558" i="3"/>
  <c r="H1557" i="3"/>
  <c r="H1556" i="3"/>
  <c r="H1555" i="3"/>
  <c r="H1554" i="3"/>
  <c r="H1553" i="3"/>
  <c r="H1552" i="3"/>
  <c r="H1551" i="3"/>
  <c r="H1550" i="3"/>
  <c r="H1549" i="3"/>
  <c r="H1548" i="3"/>
  <c r="H1547" i="3"/>
  <c r="H1546" i="3"/>
  <c r="H1545" i="3"/>
  <c r="H1544" i="3"/>
  <c r="H1543" i="3"/>
  <c r="H1542" i="3"/>
  <c r="H1541" i="3"/>
  <c r="H1540" i="3"/>
  <c r="H1539" i="3"/>
  <c r="H1538" i="3"/>
  <c r="H1537" i="3"/>
  <c r="H1536" i="3"/>
  <c r="H1535" i="3"/>
  <c r="H1534" i="3"/>
  <c r="H1533" i="3"/>
  <c r="H1532" i="3"/>
  <c r="H1531" i="3"/>
  <c r="H1530" i="3"/>
  <c r="H1529" i="3"/>
  <c r="H1528" i="3"/>
  <c r="H1527" i="3"/>
  <c r="H1526" i="3"/>
  <c r="H1525" i="3"/>
  <c r="H1524" i="3"/>
  <c r="H1523" i="3"/>
  <c r="H1522" i="3"/>
  <c r="H1521" i="3"/>
  <c r="H1520" i="3"/>
  <c r="H1519" i="3"/>
  <c r="H1518" i="3"/>
  <c r="H1517" i="3"/>
  <c r="H1516" i="3"/>
  <c r="H1515" i="3"/>
  <c r="H1514" i="3"/>
  <c r="H1513" i="3"/>
  <c r="H1512" i="3"/>
  <c r="H1511" i="3"/>
  <c r="H1510" i="3"/>
  <c r="H1509" i="3"/>
  <c r="H1508" i="3"/>
  <c r="H1507" i="3"/>
  <c r="H1506" i="3"/>
  <c r="H1505" i="3"/>
  <c r="H1504" i="3"/>
  <c r="H1503" i="3"/>
  <c r="H1502" i="3"/>
  <c r="H1501" i="3"/>
  <c r="H1500" i="3"/>
  <c r="H1499" i="3"/>
  <c r="H1498" i="3"/>
  <c r="H1497" i="3"/>
  <c r="H1496" i="3"/>
  <c r="H1495" i="3"/>
  <c r="H1494" i="3"/>
  <c r="H1493" i="3"/>
  <c r="H1492" i="3"/>
  <c r="H1491" i="3"/>
  <c r="H1490" i="3"/>
  <c r="H1489" i="3"/>
  <c r="H1488" i="3"/>
  <c r="H1487" i="3"/>
  <c r="H1486" i="3"/>
  <c r="H1485" i="3"/>
  <c r="H1484" i="3"/>
  <c r="H1483" i="3"/>
  <c r="H1482" i="3"/>
  <c r="H1481" i="3"/>
  <c r="H1480" i="3"/>
  <c r="H1479" i="3"/>
  <c r="H1478" i="3"/>
  <c r="H1477" i="3"/>
  <c r="H1476" i="3"/>
  <c r="H1475" i="3"/>
  <c r="H1474" i="3"/>
  <c r="H1473" i="3"/>
  <c r="H1472" i="3"/>
  <c r="H1471" i="3"/>
  <c r="H1470" i="3"/>
  <c r="H1469" i="3"/>
  <c r="H1468" i="3"/>
  <c r="H1467" i="3"/>
  <c r="H1466" i="3"/>
  <c r="H1465" i="3"/>
  <c r="H1464" i="3"/>
  <c r="H1463" i="3"/>
  <c r="H1462" i="3"/>
  <c r="H1461" i="3"/>
  <c r="H1460" i="3"/>
  <c r="H1459" i="3"/>
  <c r="H1458" i="3"/>
  <c r="H1457" i="3"/>
  <c r="H1456" i="3"/>
  <c r="H1455" i="3"/>
  <c r="H1454" i="3"/>
  <c r="H1453" i="3"/>
  <c r="H1452" i="3"/>
  <c r="H1451" i="3"/>
  <c r="H1450" i="3"/>
  <c r="H1449" i="3"/>
  <c r="H1448" i="3"/>
  <c r="H1447" i="3"/>
  <c r="H1446" i="3"/>
  <c r="H1445" i="3"/>
  <c r="H1444" i="3"/>
  <c r="H1443" i="3"/>
  <c r="H1442" i="3"/>
  <c r="H1441" i="3"/>
  <c r="H1440" i="3"/>
  <c r="H1439" i="3"/>
  <c r="H1438" i="3"/>
  <c r="H1437" i="3"/>
  <c r="H1436" i="3"/>
  <c r="H1435" i="3"/>
  <c r="H1434" i="3"/>
  <c r="H1433" i="3"/>
  <c r="H1432" i="3"/>
  <c r="H1431" i="3"/>
  <c r="H1430" i="3"/>
  <c r="H1429" i="3"/>
  <c r="H1428" i="3"/>
  <c r="H1427" i="3"/>
  <c r="H1426" i="3"/>
  <c r="H1425" i="3"/>
  <c r="H1424" i="3"/>
  <c r="H1423" i="3"/>
  <c r="H1422" i="3"/>
  <c r="H1421" i="3"/>
  <c r="H1420" i="3"/>
  <c r="H1419" i="3"/>
  <c r="H1418" i="3"/>
  <c r="H1417" i="3"/>
  <c r="H1416" i="3"/>
  <c r="H1415" i="3"/>
  <c r="H1414" i="3"/>
  <c r="H1413" i="3"/>
  <c r="H1412" i="3"/>
  <c r="H1411" i="3"/>
  <c r="H1410" i="3"/>
  <c r="H1409" i="3"/>
  <c r="H1408" i="3"/>
  <c r="H1407" i="3"/>
  <c r="H1406" i="3"/>
  <c r="H1405" i="3"/>
  <c r="H1404" i="3"/>
  <c r="H1403" i="3"/>
  <c r="H1402" i="3"/>
  <c r="H1401" i="3"/>
  <c r="H1400" i="3"/>
  <c r="H1399" i="3"/>
  <c r="H1398" i="3"/>
  <c r="H1397" i="3"/>
  <c r="H1396" i="3"/>
  <c r="H1395" i="3"/>
  <c r="H1394" i="3"/>
  <c r="H1393" i="3"/>
  <c r="H1392" i="3"/>
  <c r="H1391" i="3"/>
  <c r="H1390" i="3"/>
  <c r="H1389" i="3"/>
  <c r="H1388" i="3"/>
  <c r="H1387" i="3"/>
  <c r="H1386" i="3"/>
  <c r="H1385" i="3"/>
  <c r="H1384" i="3"/>
  <c r="H1383" i="3"/>
  <c r="H1382" i="3"/>
  <c r="H1381" i="3"/>
  <c r="H1380" i="3"/>
  <c r="H1379" i="3"/>
  <c r="H1378" i="3"/>
  <c r="H1377" i="3"/>
  <c r="H1376" i="3"/>
  <c r="H1375" i="3"/>
  <c r="H1374" i="3"/>
  <c r="H1373" i="3"/>
  <c r="H1372" i="3"/>
  <c r="H1371" i="3"/>
  <c r="H1370" i="3"/>
  <c r="H1369" i="3"/>
  <c r="H1368" i="3"/>
  <c r="H1367" i="3"/>
  <c r="H1366" i="3"/>
  <c r="H1365" i="3"/>
  <c r="H1364" i="3"/>
  <c r="H1363" i="3"/>
  <c r="H1362" i="3"/>
  <c r="H1361" i="3"/>
  <c r="H1360" i="3"/>
  <c r="H1359" i="3"/>
  <c r="H1358" i="3"/>
  <c r="H1357" i="3"/>
  <c r="H1356" i="3"/>
  <c r="H1355" i="3"/>
  <c r="H1354" i="3"/>
  <c r="H1353" i="3"/>
  <c r="H1352" i="3"/>
  <c r="H1351" i="3"/>
  <c r="H1350" i="3"/>
  <c r="H1349" i="3"/>
  <c r="H1348" i="3"/>
  <c r="H1347" i="3"/>
  <c r="H1346" i="3"/>
  <c r="H1345" i="3"/>
  <c r="H1344" i="3"/>
  <c r="H1343" i="3"/>
  <c r="H1342" i="3"/>
  <c r="H1341" i="3"/>
  <c r="H1340" i="3"/>
  <c r="H1339" i="3"/>
  <c r="H1338" i="3"/>
  <c r="H1337" i="3"/>
  <c r="H1336" i="3"/>
  <c r="H1335" i="3"/>
  <c r="H1334" i="3"/>
  <c r="H1333" i="3"/>
  <c r="H1332" i="3"/>
  <c r="H1331" i="3"/>
  <c r="H1330" i="3"/>
  <c r="H1329" i="3"/>
  <c r="H1328" i="3"/>
  <c r="H1327" i="3"/>
  <c r="H1326" i="3"/>
  <c r="H1325" i="3"/>
  <c r="H1324" i="3"/>
  <c r="H1323" i="3"/>
  <c r="H1322" i="3"/>
  <c r="H1321" i="3"/>
  <c r="H1320" i="3"/>
  <c r="H1319" i="3"/>
  <c r="H1318" i="3"/>
  <c r="H1317" i="3"/>
  <c r="H1316" i="3"/>
  <c r="H1315" i="3"/>
  <c r="H1314" i="3"/>
  <c r="H1313" i="3"/>
  <c r="H1312" i="3"/>
  <c r="H1311" i="3"/>
  <c r="H1310" i="3"/>
  <c r="H1309" i="3"/>
  <c r="H1308" i="3"/>
  <c r="H1307" i="3"/>
  <c r="H1306" i="3"/>
  <c r="H1305" i="3"/>
  <c r="H1304" i="3"/>
  <c r="H1303" i="3"/>
  <c r="H1302" i="3"/>
  <c r="H1301" i="3"/>
  <c r="H1300" i="3"/>
  <c r="H1299" i="3"/>
  <c r="H1298" i="3"/>
  <c r="H1297" i="3"/>
  <c r="H1296" i="3"/>
  <c r="H1295" i="3"/>
  <c r="H1294" i="3"/>
  <c r="H1293" i="3"/>
  <c r="H1292" i="3"/>
  <c r="H1291" i="3"/>
  <c r="H1290" i="3"/>
  <c r="H1289" i="3"/>
  <c r="H1288" i="3"/>
  <c r="H1287" i="3"/>
  <c r="H1286" i="3"/>
  <c r="H1285" i="3"/>
  <c r="H1284" i="3"/>
  <c r="H1283" i="3"/>
  <c r="H1282" i="3"/>
  <c r="H1281" i="3"/>
  <c r="H1280" i="3"/>
  <c r="H1279" i="3"/>
  <c r="H1278" i="3"/>
  <c r="H1277" i="3"/>
  <c r="H1276" i="3"/>
  <c r="H1275" i="3"/>
  <c r="H1274" i="3"/>
  <c r="H1273" i="3"/>
  <c r="H1272" i="3"/>
  <c r="H1271" i="3"/>
  <c r="H1270" i="3"/>
  <c r="H1269" i="3"/>
  <c r="H1268" i="3"/>
  <c r="H1267" i="3"/>
  <c r="H1266" i="3"/>
  <c r="H1265" i="3"/>
  <c r="H1264" i="3"/>
  <c r="H1263" i="3"/>
  <c r="H1262" i="3"/>
  <c r="H1261" i="3"/>
  <c r="H1260" i="3"/>
  <c r="H1259" i="3"/>
  <c r="H1258" i="3"/>
  <c r="H1257" i="3"/>
  <c r="H1256" i="3"/>
  <c r="H1255" i="3"/>
  <c r="H1254" i="3"/>
  <c r="H1253" i="3"/>
  <c r="H1252" i="3"/>
  <c r="H1251" i="3"/>
  <c r="H1250" i="3"/>
  <c r="H1249" i="3"/>
  <c r="H1248" i="3"/>
  <c r="H1247" i="3"/>
  <c r="H1246" i="3"/>
  <c r="H1245" i="3"/>
  <c r="H1244" i="3"/>
  <c r="H1243" i="3"/>
  <c r="H1242" i="3"/>
  <c r="H1241" i="3"/>
  <c r="H1240" i="3"/>
  <c r="H1239" i="3"/>
  <c r="H1238" i="3"/>
  <c r="H1237" i="3"/>
  <c r="H1236" i="3"/>
  <c r="H1235" i="3"/>
  <c r="H1234" i="3"/>
  <c r="H1233" i="3"/>
  <c r="H1232" i="3"/>
  <c r="H1231" i="3"/>
  <c r="H1230" i="3"/>
  <c r="H1229" i="3"/>
  <c r="H1228" i="3"/>
  <c r="H1227" i="3"/>
  <c r="H1226" i="3"/>
  <c r="H1225" i="3"/>
  <c r="H1224" i="3"/>
  <c r="H1223" i="3"/>
  <c r="H1222" i="3"/>
  <c r="H1221" i="3"/>
  <c r="H1220" i="3"/>
  <c r="H1219" i="3"/>
  <c r="H1218" i="3"/>
  <c r="H1217" i="3"/>
  <c r="H1216" i="3"/>
  <c r="H1215" i="3"/>
  <c r="H1214" i="3"/>
  <c r="H1213" i="3"/>
  <c r="H1212" i="3"/>
  <c r="H1211" i="3"/>
  <c r="H1210" i="3"/>
  <c r="H1209" i="3"/>
  <c r="H1208" i="3"/>
  <c r="H1207" i="3"/>
  <c r="H1206" i="3"/>
  <c r="H1205" i="3"/>
  <c r="H1204" i="3"/>
  <c r="H1203" i="3"/>
  <c r="H1202" i="3"/>
  <c r="H1201" i="3"/>
  <c r="H1200" i="3"/>
  <c r="H1199" i="3"/>
  <c r="H1198" i="3"/>
  <c r="H1197" i="3"/>
  <c r="H1196" i="3"/>
  <c r="H1195" i="3"/>
  <c r="H1194" i="3"/>
  <c r="H1193" i="3"/>
  <c r="H1192" i="3"/>
  <c r="H1191" i="3"/>
  <c r="H1190" i="3"/>
  <c r="H1189" i="3"/>
  <c r="H1188" i="3"/>
  <c r="H1187" i="3"/>
  <c r="H1186" i="3"/>
  <c r="H1185" i="3"/>
  <c r="H1184" i="3"/>
  <c r="H1183" i="3"/>
  <c r="H1182" i="3"/>
  <c r="H1181" i="3"/>
  <c r="H1180" i="3"/>
  <c r="H1179" i="3"/>
  <c r="H1178" i="3"/>
  <c r="H1177" i="3"/>
  <c r="H1176" i="3"/>
  <c r="H1175" i="3"/>
  <c r="H1174" i="3"/>
  <c r="H1173" i="3"/>
  <c r="H1172" i="3"/>
  <c r="H1171" i="3"/>
  <c r="H1170" i="3"/>
  <c r="H1169" i="3"/>
  <c r="H1168" i="3"/>
  <c r="H1167" i="3"/>
  <c r="H1166" i="3"/>
  <c r="H1165" i="3"/>
  <c r="H1164" i="3"/>
  <c r="H1163" i="3"/>
  <c r="H1162" i="3"/>
  <c r="H1161" i="3"/>
  <c r="H1160" i="3"/>
  <c r="H1159" i="3"/>
  <c r="H1158" i="3"/>
  <c r="H1157" i="3"/>
  <c r="H1156" i="3"/>
  <c r="H1155" i="3"/>
  <c r="H1154" i="3"/>
  <c r="H1153" i="3"/>
  <c r="H1152" i="3"/>
  <c r="H1151" i="3"/>
  <c r="H1150" i="3"/>
  <c r="H1149" i="3"/>
  <c r="H1148" i="3"/>
  <c r="H1147" i="3"/>
  <c r="H1146" i="3"/>
  <c r="H1145" i="3"/>
  <c r="H1144" i="3"/>
  <c r="H1143" i="3"/>
  <c r="H1142" i="3"/>
  <c r="H1141" i="3"/>
  <c r="H1140" i="3"/>
  <c r="H1139" i="3"/>
  <c r="H1138" i="3"/>
  <c r="H1137" i="3"/>
  <c r="H1136" i="3"/>
  <c r="H1135" i="3"/>
  <c r="H1134" i="3"/>
  <c r="H1133" i="3"/>
  <c r="H1132" i="3"/>
  <c r="H1131" i="3"/>
  <c r="H1130" i="3"/>
  <c r="H1129" i="3"/>
  <c r="H1128" i="3"/>
  <c r="H1127" i="3"/>
  <c r="H1126" i="3"/>
  <c r="H1125" i="3"/>
  <c r="H1124" i="3"/>
  <c r="H1123" i="3"/>
  <c r="H1122" i="3"/>
  <c r="H1121" i="3"/>
  <c r="H1120" i="3"/>
  <c r="H1119" i="3"/>
  <c r="H1118" i="3"/>
  <c r="H1117" i="3"/>
  <c r="H1116" i="3"/>
  <c r="H1115" i="3"/>
  <c r="H1114" i="3"/>
  <c r="H1113" i="3"/>
  <c r="H1112" i="3"/>
  <c r="H1111" i="3"/>
  <c r="H1110" i="3"/>
  <c r="H1109" i="3"/>
  <c r="H1108" i="3"/>
  <c r="H1107" i="3"/>
  <c r="H1106" i="3"/>
  <c r="H1105" i="3"/>
  <c r="H1104" i="3"/>
  <c r="H1103" i="3"/>
  <c r="H1102" i="3"/>
  <c r="H1101" i="3"/>
  <c r="H1100" i="3"/>
  <c r="H1099" i="3"/>
  <c r="H1098" i="3"/>
  <c r="H1097" i="3"/>
  <c r="H1096" i="3"/>
  <c r="H1095" i="3"/>
  <c r="H1094" i="3"/>
  <c r="H1093" i="3"/>
  <c r="H1092" i="3"/>
  <c r="H1091" i="3"/>
  <c r="H1090" i="3"/>
  <c r="H1089" i="3"/>
  <c r="H1088" i="3"/>
  <c r="H1087" i="3"/>
  <c r="H1086" i="3"/>
  <c r="H1085" i="3"/>
  <c r="H1084" i="3"/>
  <c r="H1083" i="3"/>
  <c r="H1082" i="3"/>
  <c r="H1081" i="3"/>
  <c r="H1080" i="3"/>
  <c r="H1079" i="3"/>
  <c r="H1078" i="3"/>
  <c r="H1077" i="3"/>
  <c r="H1076" i="3"/>
  <c r="H1075" i="3"/>
  <c r="H1074" i="3"/>
  <c r="H1073" i="3"/>
  <c r="H1072" i="3"/>
  <c r="H1071" i="3"/>
  <c r="H1070" i="3"/>
  <c r="H1069" i="3"/>
  <c r="H1068" i="3"/>
  <c r="H1067" i="3"/>
  <c r="H1066" i="3"/>
  <c r="H1065" i="3"/>
  <c r="H1064" i="3"/>
  <c r="H1063" i="3"/>
  <c r="H1062" i="3"/>
  <c r="H1061" i="3"/>
  <c r="H1060" i="3"/>
  <c r="H1059" i="3"/>
  <c r="H1058" i="3"/>
  <c r="H1057" i="3"/>
  <c r="H1056" i="3"/>
  <c r="H1055" i="3"/>
  <c r="H1054" i="3"/>
  <c r="H1053" i="3"/>
  <c r="H1052" i="3"/>
  <c r="H1051" i="3"/>
  <c r="H1050" i="3"/>
  <c r="H1049" i="3"/>
  <c r="H1048" i="3"/>
  <c r="H1047" i="3"/>
  <c r="H1046" i="3"/>
  <c r="H1045" i="3"/>
  <c r="H1044" i="3"/>
  <c r="H1043" i="3"/>
  <c r="H1042" i="3"/>
  <c r="H1041" i="3"/>
  <c r="H1040" i="3"/>
  <c r="H1039" i="3"/>
  <c r="H1038" i="3"/>
  <c r="H1037" i="3"/>
  <c r="H1036" i="3"/>
  <c r="H1035" i="3"/>
  <c r="H1034" i="3"/>
  <c r="H1033" i="3"/>
  <c r="H1032" i="3"/>
  <c r="H1031" i="3"/>
  <c r="H1030" i="3"/>
  <c r="H1029" i="3"/>
  <c r="H1028" i="3"/>
  <c r="H1027" i="3"/>
  <c r="H1026" i="3"/>
  <c r="H1025" i="3"/>
  <c r="H1024" i="3"/>
  <c r="H1023" i="3"/>
  <c r="H1022" i="3"/>
  <c r="H1021" i="3"/>
  <c r="H1020" i="3"/>
  <c r="H1019" i="3"/>
  <c r="H1018" i="3"/>
  <c r="H1017" i="3"/>
  <c r="H1016" i="3"/>
  <c r="H1015" i="3"/>
  <c r="H1014" i="3"/>
  <c r="H1013" i="3"/>
  <c r="H1012" i="3"/>
  <c r="H1011" i="3"/>
  <c r="H1010" i="3"/>
  <c r="H1009" i="3"/>
  <c r="H1008" i="3"/>
  <c r="H1007" i="3"/>
  <c r="H1006" i="3"/>
  <c r="H1005" i="3"/>
  <c r="H1004" i="3"/>
  <c r="H1003" i="3"/>
  <c r="H1002" i="3"/>
  <c r="H1001" i="3"/>
  <c r="H1000" i="3"/>
  <c r="H999" i="3"/>
  <c r="H998" i="3"/>
  <c r="H997" i="3"/>
  <c r="H996" i="3"/>
  <c r="H995" i="3"/>
  <c r="H994" i="3"/>
  <c r="H993" i="3"/>
  <c r="H992" i="3"/>
  <c r="H991" i="3"/>
  <c r="H990" i="3"/>
  <c r="H989" i="3"/>
  <c r="H988" i="3"/>
  <c r="H987" i="3"/>
  <c r="H986" i="3"/>
  <c r="H985" i="3"/>
  <c r="H984" i="3"/>
  <c r="H983" i="3"/>
  <c r="H982" i="3"/>
  <c r="H981" i="3"/>
  <c r="H980" i="3"/>
  <c r="H979" i="3"/>
  <c r="H978" i="3"/>
  <c r="H977" i="3"/>
  <c r="H976" i="3"/>
  <c r="H975" i="3"/>
  <c r="H974" i="3"/>
  <c r="H973" i="3"/>
  <c r="H972" i="3"/>
  <c r="H971" i="3"/>
  <c r="H970" i="3"/>
  <c r="H969" i="3"/>
  <c r="H968" i="3"/>
  <c r="H967" i="3"/>
  <c r="H966" i="3"/>
  <c r="H965" i="3"/>
  <c r="H964" i="3"/>
  <c r="H963" i="3"/>
  <c r="H962" i="3"/>
  <c r="H961" i="3"/>
  <c r="H960" i="3"/>
  <c r="H959" i="3"/>
  <c r="H958" i="3"/>
  <c r="H957" i="3"/>
  <c r="H956" i="3"/>
  <c r="H955" i="3"/>
  <c r="H954" i="3"/>
  <c r="H953" i="3"/>
  <c r="H952" i="3"/>
  <c r="H951" i="3"/>
  <c r="H950" i="3"/>
  <c r="H949" i="3"/>
  <c r="H948" i="3"/>
  <c r="H947" i="3"/>
  <c r="H946" i="3"/>
  <c r="H945" i="3"/>
  <c r="H944" i="3"/>
  <c r="H943" i="3"/>
  <c r="H942" i="3"/>
  <c r="H941" i="3"/>
  <c r="H940" i="3"/>
  <c r="H939" i="3"/>
  <c r="H938" i="3"/>
  <c r="H937" i="3"/>
  <c r="H936" i="3"/>
  <c r="H935" i="3"/>
  <c r="H934" i="3"/>
  <c r="H933" i="3"/>
  <c r="H932" i="3"/>
  <c r="H931" i="3"/>
  <c r="H930" i="3"/>
  <c r="H929" i="3"/>
  <c r="H928" i="3"/>
  <c r="H927" i="3"/>
  <c r="H926" i="3"/>
  <c r="H925" i="3"/>
  <c r="H924" i="3"/>
  <c r="H923" i="3"/>
  <c r="H922" i="3"/>
  <c r="H921" i="3"/>
  <c r="H920" i="3"/>
  <c r="H919" i="3"/>
  <c r="H918" i="3"/>
  <c r="H917" i="3"/>
  <c r="H916" i="3"/>
  <c r="H915" i="3"/>
  <c r="H914" i="3"/>
  <c r="H913" i="3"/>
  <c r="H912" i="3"/>
  <c r="H911" i="3"/>
  <c r="H910" i="3"/>
  <c r="H909" i="3"/>
  <c r="H908" i="3"/>
  <c r="H907" i="3"/>
  <c r="H906" i="3"/>
  <c r="H905" i="3"/>
  <c r="H904" i="3"/>
  <c r="H903" i="3"/>
  <c r="H902" i="3"/>
  <c r="H901" i="3"/>
  <c r="H900" i="3"/>
  <c r="H899" i="3"/>
  <c r="H898" i="3"/>
  <c r="H897" i="3"/>
  <c r="H896" i="3"/>
  <c r="H895" i="3"/>
  <c r="H894" i="3"/>
  <c r="H893" i="3"/>
  <c r="H892" i="3"/>
  <c r="H891" i="3"/>
  <c r="H890" i="3"/>
  <c r="H889" i="3"/>
  <c r="H888" i="3"/>
  <c r="H887" i="3"/>
  <c r="H886" i="3"/>
  <c r="H885" i="3"/>
  <c r="H884" i="3"/>
  <c r="H883" i="3"/>
  <c r="H882" i="3"/>
  <c r="H881" i="3"/>
  <c r="H880" i="3"/>
  <c r="H879" i="3"/>
  <c r="H878" i="3"/>
  <c r="H877" i="3"/>
  <c r="H876" i="3"/>
  <c r="H875" i="3"/>
  <c r="H874" i="3"/>
  <c r="H873" i="3"/>
  <c r="H872" i="3"/>
  <c r="H871" i="3"/>
  <c r="H870" i="3"/>
  <c r="H869" i="3"/>
  <c r="H868" i="3"/>
  <c r="H867" i="3"/>
  <c r="H866" i="3"/>
  <c r="H865" i="3"/>
  <c r="H864" i="3"/>
  <c r="H863" i="3"/>
  <c r="H862" i="3"/>
  <c r="H861" i="3"/>
  <c r="H860" i="3"/>
  <c r="H859" i="3"/>
  <c r="H858" i="3"/>
  <c r="H857" i="3"/>
  <c r="H856" i="3"/>
  <c r="H855" i="3"/>
  <c r="H854" i="3"/>
  <c r="H853" i="3"/>
  <c r="H852" i="3"/>
  <c r="H851" i="3"/>
  <c r="H850" i="3"/>
  <c r="H849" i="3"/>
  <c r="H848" i="3"/>
  <c r="H847" i="3"/>
  <c r="H846" i="3"/>
  <c r="H845" i="3"/>
  <c r="H844" i="3"/>
  <c r="H843" i="3"/>
  <c r="H842" i="3"/>
  <c r="H841" i="3"/>
  <c r="H840" i="3"/>
  <c r="H839" i="3"/>
  <c r="H838" i="3"/>
  <c r="H837" i="3"/>
  <c r="H836" i="3"/>
  <c r="H835" i="3"/>
  <c r="H834" i="3"/>
  <c r="H833" i="3"/>
  <c r="H832" i="3"/>
  <c r="H831" i="3"/>
  <c r="H830" i="3"/>
  <c r="H829" i="3"/>
  <c r="H828" i="3"/>
  <c r="H827" i="3"/>
  <c r="H826" i="3"/>
  <c r="H825" i="3"/>
  <c r="H824" i="3"/>
  <c r="H823" i="3"/>
  <c r="H822" i="3"/>
  <c r="H821" i="3"/>
  <c r="H820" i="3"/>
  <c r="H819" i="3"/>
  <c r="H818" i="3"/>
  <c r="H817" i="3"/>
  <c r="H816" i="3"/>
  <c r="H815" i="3"/>
  <c r="H814" i="3"/>
  <c r="H813" i="3"/>
  <c r="H812" i="3"/>
  <c r="H811" i="3"/>
  <c r="H810" i="3"/>
  <c r="H809" i="3"/>
  <c r="H808" i="3"/>
  <c r="H807" i="3"/>
  <c r="H806" i="3"/>
  <c r="H805" i="3"/>
  <c r="H804" i="3"/>
  <c r="H803" i="3"/>
  <c r="H802" i="3"/>
  <c r="H801" i="3"/>
  <c r="H800" i="3"/>
  <c r="H799" i="3"/>
  <c r="H798" i="3"/>
  <c r="H797" i="3"/>
  <c r="H796" i="3"/>
  <c r="H795" i="3"/>
  <c r="H794" i="3"/>
  <c r="H793" i="3"/>
  <c r="H792" i="3"/>
  <c r="H791" i="3"/>
  <c r="H790" i="3"/>
  <c r="H789" i="3"/>
  <c r="H788" i="3"/>
  <c r="H787" i="3"/>
  <c r="H786" i="3"/>
  <c r="H785" i="3"/>
  <c r="H784" i="3"/>
  <c r="H783" i="3"/>
  <c r="H782" i="3"/>
  <c r="H781" i="3"/>
  <c r="H780" i="3"/>
  <c r="H779" i="3"/>
  <c r="H778" i="3"/>
  <c r="H777" i="3"/>
  <c r="H776" i="3"/>
  <c r="H775" i="3"/>
  <c r="H774" i="3"/>
  <c r="H773" i="3"/>
  <c r="H772" i="3"/>
  <c r="H771" i="3"/>
  <c r="H770" i="3"/>
  <c r="H769" i="3"/>
  <c r="H768" i="3"/>
  <c r="H767" i="3"/>
  <c r="H766" i="3"/>
  <c r="H765" i="3"/>
  <c r="H764" i="3"/>
  <c r="H763" i="3"/>
  <c r="H762" i="3"/>
  <c r="H761" i="3"/>
  <c r="H760" i="3"/>
  <c r="H759" i="3"/>
  <c r="H758" i="3"/>
  <c r="H757" i="3"/>
  <c r="H756" i="3"/>
  <c r="H755" i="3"/>
  <c r="H754" i="3"/>
  <c r="H753" i="3"/>
  <c r="H752" i="3"/>
  <c r="H751" i="3"/>
  <c r="H750" i="3"/>
  <c r="H749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H712" i="3"/>
  <c r="H711" i="3"/>
  <c r="H710" i="3"/>
  <c r="H709" i="3"/>
  <c r="H708" i="3"/>
  <c r="H707" i="3"/>
  <c r="H706" i="3"/>
  <c r="H705" i="3"/>
  <c r="H704" i="3"/>
  <c r="H703" i="3"/>
  <c r="H702" i="3"/>
  <c r="H701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H641" i="3"/>
  <c r="H640" i="3"/>
  <c r="H639" i="3"/>
  <c r="H638" i="3"/>
  <c r="H637" i="3"/>
  <c r="H636" i="3"/>
  <c r="H635" i="3"/>
  <c r="H634" i="3"/>
  <c r="H633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H618" i="3"/>
  <c r="H617" i="3"/>
  <c r="H616" i="3"/>
  <c r="H615" i="3"/>
  <c r="H614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J55" i="3"/>
  <c r="I55" i="3"/>
  <c r="G55" i="3"/>
  <c r="D55" i="3"/>
  <c r="J54" i="3"/>
  <c r="I54" i="3"/>
  <c r="G54" i="3"/>
  <c r="D54" i="3"/>
  <c r="J53" i="3"/>
  <c r="I53" i="3"/>
  <c r="G53" i="3"/>
  <c r="D53" i="3"/>
  <c r="J52" i="3"/>
  <c r="I52" i="3"/>
  <c r="G52" i="3"/>
  <c r="D52" i="3"/>
  <c r="J51" i="3"/>
  <c r="I51" i="3"/>
  <c r="G51" i="3"/>
  <c r="D51" i="3"/>
  <c r="J50" i="3"/>
  <c r="I50" i="3"/>
  <c r="G50" i="3"/>
  <c r="D50" i="3"/>
  <c r="J49" i="3"/>
  <c r="I49" i="3"/>
  <c r="G49" i="3"/>
  <c r="D49" i="3"/>
  <c r="J48" i="3"/>
  <c r="I48" i="3"/>
  <c r="G48" i="3"/>
  <c r="D48" i="3"/>
  <c r="J47" i="3"/>
  <c r="I47" i="3"/>
  <c r="G47" i="3"/>
  <c r="D47" i="3"/>
  <c r="J46" i="3"/>
  <c r="I46" i="3"/>
  <c r="G46" i="3"/>
  <c r="D46" i="3"/>
  <c r="J45" i="3"/>
  <c r="I45" i="3"/>
  <c r="G45" i="3"/>
  <c r="D45" i="3"/>
  <c r="J44" i="3"/>
  <c r="I44" i="3"/>
  <c r="G44" i="3"/>
  <c r="D44" i="3"/>
  <c r="J43" i="3"/>
  <c r="I43" i="3"/>
  <c r="G43" i="3"/>
  <c r="D43" i="3"/>
  <c r="J42" i="3"/>
  <c r="I42" i="3"/>
  <c r="G42" i="3"/>
  <c r="D42" i="3"/>
  <c r="J41" i="3"/>
  <c r="I41" i="3"/>
  <c r="G41" i="3"/>
  <c r="D41" i="3"/>
  <c r="J40" i="3"/>
  <c r="I40" i="3"/>
  <c r="G40" i="3"/>
  <c r="D40" i="3"/>
  <c r="J39" i="3"/>
  <c r="I39" i="3"/>
  <c r="G39" i="3"/>
  <c r="D39" i="3"/>
  <c r="J38" i="3"/>
  <c r="I38" i="3"/>
  <c r="G38" i="3"/>
  <c r="D38" i="3"/>
  <c r="J37" i="3"/>
  <c r="I37" i="3"/>
  <c r="G37" i="3"/>
  <c r="D37" i="3"/>
  <c r="J36" i="3"/>
  <c r="I36" i="3"/>
  <c r="G36" i="3"/>
  <c r="D36" i="3"/>
  <c r="J35" i="3"/>
  <c r="I35" i="3"/>
  <c r="G35" i="3"/>
  <c r="D35" i="3"/>
  <c r="J34" i="3"/>
  <c r="I34" i="3"/>
  <c r="G34" i="3"/>
  <c r="D34" i="3"/>
  <c r="J33" i="3"/>
  <c r="I33" i="3"/>
  <c r="G33" i="3"/>
  <c r="D33" i="3"/>
  <c r="J32" i="3"/>
  <c r="I32" i="3"/>
  <c r="G32" i="3"/>
  <c r="D32" i="3"/>
  <c r="J31" i="3"/>
  <c r="I31" i="3"/>
  <c r="G31" i="3"/>
  <c r="D31" i="3"/>
  <c r="J30" i="3"/>
  <c r="I30" i="3"/>
  <c r="G30" i="3"/>
  <c r="D30" i="3"/>
  <c r="J29" i="3"/>
  <c r="I29" i="3"/>
  <c r="G29" i="3"/>
  <c r="D29" i="3"/>
  <c r="J28" i="3"/>
  <c r="I28" i="3"/>
  <c r="G28" i="3"/>
  <c r="D28" i="3"/>
  <c r="J27" i="3"/>
  <c r="I27" i="3"/>
  <c r="G27" i="3"/>
  <c r="D27" i="3"/>
  <c r="J26" i="3"/>
  <c r="I26" i="3"/>
  <c r="G26" i="3"/>
  <c r="D26" i="3"/>
  <c r="J25" i="3"/>
  <c r="I25" i="3"/>
  <c r="G25" i="3"/>
  <c r="D25" i="3"/>
  <c r="J24" i="3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K47" i="3" s="1"/>
  <c r="K48" i="3" s="1"/>
  <c r="K49" i="3" s="1"/>
  <c r="K50" i="3" s="1"/>
  <c r="K51" i="3" s="1"/>
  <c r="K52" i="3" s="1"/>
  <c r="K53" i="3" s="1"/>
  <c r="K54" i="3" s="1"/>
  <c r="K55" i="3" s="1"/>
  <c r="I24" i="3"/>
  <c r="G24" i="3"/>
  <c r="D24" i="3"/>
  <c r="J23" i="3"/>
  <c r="I23" i="3"/>
  <c r="G23" i="3"/>
  <c r="D23" i="3"/>
  <c r="K22" i="3"/>
  <c r="K23" i="3" s="1"/>
  <c r="J22" i="3"/>
  <c r="I22" i="3"/>
  <c r="G22" i="3"/>
  <c r="D22" i="3"/>
  <c r="K21" i="3"/>
  <c r="J21" i="3"/>
  <c r="I21" i="3"/>
  <c r="G21" i="3"/>
  <c r="D21" i="3"/>
  <c r="Z20" i="3"/>
  <c r="J20" i="3"/>
  <c r="I20" i="3"/>
  <c r="G20" i="3"/>
  <c r="D20" i="3"/>
  <c r="R19" i="3"/>
  <c r="J19" i="3"/>
  <c r="I19" i="3"/>
  <c r="G19" i="3"/>
  <c r="F19" i="3"/>
  <c r="H19" i="3" s="1"/>
  <c r="E19" i="3"/>
  <c r="D19" i="3"/>
  <c r="C19" i="3"/>
  <c r="Z18" i="3"/>
  <c r="J18" i="3"/>
  <c r="I18" i="3"/>
  <c r="G18" i="3"/>
  <c r="F18" i="3"/>
  <c r="H18" i="3" s="1"/>
  <c r="D18" i="3"/>
  <c r="E18" i="3" s="1"/>
  <c r="C18" i="3"/>
  <c r="J17" i="3"/>
  <c r="I17" i="3"/>
  <c r="H17" i="3"/>
  <c r="G17" i="3"/>
  <c r="F17" i="3"/>
  <c r="D17" i="3"/>
  <c r="C17" i="3"/>
  <c r="AC16" i="3"/>
  <c r="J16" i="3"/>
  <c r="I16" i="3"/>
  <c r="G16" i="3"/>
  <c r="H16" i="3" s="1"/>
  <c r="F16" i="3"/>
  <c r="E16" i="3"/>
  <c r="D16" i="3"/>
  <c r="C16" i="3"/>
  <c r="AA15" i="3"/>
  <c r="L35" i="3" s="1"/>
  <c r="Z15" i="3"/>
  <c r="J15" i="3"/>
  <c r="I15" i="3"/>
  <c r="G15" i="3"/>
  <c r="F15" i="3"/>
  <c r="E15" i="3"/>
  <c r="D15" i="3"/>
  <c r="C15" i="3"/>
  <c r="AC14" i="3"/>
  <c r="AA14" i="3"/>
  <c r="L19" i="3" s="1"/>
  <c r="Z14" i="3"/>
  <c r="J14" i="3"/>
  <c r="I14" i="3"/>
  <c r="G14" i="3"/>
  <c r="F14" i="3"/>
  <c r="H14" i="3" s="1"/>
  <c r="D14" i="3"/>
  <c r="E14" i="3" s="1"/>
  <c r="C14" i="3"/>
  <c r="J13" i="3"/>
  <c r="I13" i="3"/>
  <c r="G13" i="3"/>
  <c r="F13" i="3"/>
  <c r="H13" i="3" s="1"/>
  <c r="E13" i="3"/>
  <c r="D13" i="3"/>
  <c r="C13" i="3"/>
  <c r="AI12" i="3"/>
  <c r="AH12" i="3"/>
  <c r="J12" i="3"/>
  <c r="I12" i="3"/>
  <c r="G12" i="3"/>
  <c r="H12" i="3" s="1"/>
  <c r="F12" i="3"/>
  <c r="D12" i="3"/>
  <c r="C12" i="3"/>
  <c r="E12" i="3" s="1"/>
  <c r="AI11" i="3"/>
  <c r="AH11" i="3"/>
  <c r="J11" i="3"/>
  <c r="I11" i="3"/>
  <c r="G11" i="3"/>
  <c r="F11" i="3"/>
  <c r="H11" i="3" s="1"/>
  <c r="E11" i="3"/>
  <c r="D11" i="3"/>
  <c r="C11" i="3"/>
  <c r="AI10" i="3"/>
  <c r="AH10" i="3"/>
  <c r="L10" i="3"/>
  <c r="J10" i="3"/>
  <c r="I10" i="3"/>
  <c r="G10" i="3"/>
  <c r="H10" i="3" s="1"/>
  <c r="F10" i="3"/>
  <c r="D10" i="3"/>
  <c r="C10" i="3"/>
  <c r="E10" i="3" s="1"/>
  <c r="AI9" i="3"/>
  <c r="AH9" i="3"/>
  <c r="J9" i="3"/>
  <c r="I9" i="3"/>
  <c r="H9" i="3"/>
  <c r="G9" i="3"/>
  <c r="F9" i="3"/>
  <c r="D9" i="3"/>
  <c r="E9" i="3" s="1"/>
  <c r="C9" i="3"/>
  <c r="AI8" i="3"/>
  <c r="AH8" i="3"/>
  <c r="AC8" i="3"/>
  <c r="J8" i="3"/>
  <c r="I8" i="3"/>
  <c r="G8" i="3"/>
  <c r="F8" i="3"/>
  <c r="H8" i="3" s="1"/>
  <c r="E8" i="3"/>
  <c r="D8" i="3"/>
  <c r="C8" i="3"/>
  <c r="AI7" i="3"/>
  <c r="AH7" i="3"/>
  <c r="R7" i="3"/>
  <c r="L7" i="3"/>
  <c r="J7" i="3"/>
  <c r="I7" i="3"/>
  <c r="G7" i="3"/>
  <c r="F7" i="3"/>
  <c r="H7" i="3" s="1"/>
  <c r="D7" i="3"/>
  <c r="C7" i="3"/>
  <c r="E7" i="3" s="1"/>
  <c r="J6" i="3"/>
  <c r="I6" i="3"/>
  <c r="G6" i="3"/>
  <c r="F6" i="3"/>
  <c r="E6" i="3"/>
  <c r="D6" i="3"/>
  <c r="C6" i="3"/>
  <c r="J5" i="3"/>
  <c r="I5" i="3"/>
  <c r="G5" i="3"/>
  <c r="H5" i="3" s="1"/>
  <c r="F5" i="3"/>
  <c r="E5" i="3"/>
  <c r="D5" i="3"/>
  <c r="C5" i="3"/>
  <c r="R3" i="3"/>
  <c r="B2" i="3"/>
  <c r="G245" i="2"/>
  <c r="F245" i="2"/>
  <c r="G244" i="2"/>
  <c r="F244" i="2"/>
  <c r="G243" i="2"/>
  <c r="K243" i="2" s="1"/>
  <c r="F243" i="2"/>
  <c r="G242" i="2"/>
  <c r="K242" i="2" s="1"/>
  <c r="F242" i="2"/>
  <c r="K241" i="2"/>
  <c r="G241" i="2"/>
  <c r="F241" i="2"/>
  <c r="K240" i="2"/>
  <c r="G240" i="2"/>
  <c r="F240" i="2"/>
  <c r="K239" i="2"/>
  <c r="G239" i="2"/>
  <c r="F239" i="2"/>
  <c r="K238" i="2"/>
  <c r="G238" i="2"/>
  <c r="F238" i="2"/>
  <c r="G237" i="2"/>
  <c r="K237" i="2" s="1"/>
  <c r="F237" i="2"/>
  <c r="G236" i="2"/>
  <c r="K236" i="2" s="1"/>
  <c r="F236" i="2"/>
  <c r="G235" i="2"/>
  <c r="F235" i="2"/>
  <c r="G234" i="2"/>
  <c r="K234" i="2" s="1"/>
  <c r="F234" i="2"/>
  <c r="K233" i="2"/>
  <c r="G233" i="2"/>
  <c r="F233" i="2"/>
  <c r="K232" i="2"/>
  <c r="G232" i="2"/>
  <c r="F232" i="2"/>
  <c r="K231" i="2"/>
  <c r="G231" i="2"/>
  <c r="F231" i="2"/>
  <c r="G230" i="2"/>
  <c r="F230" i="2"/>
  <c r="G229" i="2"/>
  <c r="F229" i="2"/>
  <c r="G228" i="2"/>
  <c r="K228" i="2" s="1"/>
  <c r="F228" i="2"/>
  <c r="G227" i="2"/>
  <c r="F227" i="2"/>
  <c r="G226" i="2"/>
  <c r="K226" i="2" s="1"/>
  <c r="F226" i="2"/>
  <c r="K225" i="2"/>
  <c r="G225" i="2"/>
  <c r="F225" i="2"/>
  <c r="K224" i="2"/>
  <c r="G224" i="2"/>
  <c r="F224" i="2"/>
  <c r="K223" i="2"/>
  <c r="G223" i="2"/>
  <c r="F223" i="2"/>
  <c r="K222" i="2"/>
  <c r="G222" i="2"/>
  <c r="F222" i="2"/>
  <c r="G221" i="2"/>
  <c r="K221" i="2" s="1"/>
  <c r="F221" i="2"/>
  <c r="G220" i="2"/>
  <c r="K220" i="2" s="1"/>
  <c r="F220" i="2"/>
  <c r="G219" i="2"/>
  <c r="F219" i="2"/>
  <c r="G218" i="2"/>
  <c r="K218" i="2" s="1"/>
  <c r="F218" i="2"/>
  <c r="K217" i="2"/>
  <c r="G217" i="2"/>
  <c r="F217" i="2"/>
  <c r="K216" i="2"/>
  <c r="G216" i="2"/>
  <c r="F216" i="2"/>
  <c r="K215" i="2"/>
  <c r="G215" i="2"/>
  <c r="F215" i="2"/>
  <c r="G214" i="2"/>
  <c r="F214" i="2"/>
  <c r="G213" i="2"/>
  <c r="F213" i="2"/>
  <c r="G212" i="2"/>
  <c r="K212" i="2" s="1"/>
  <c r="F212" i="2"/>
  <c r="G211" i="2"/>
  <c r="F211" i="2"/>
  <c r="G210" i="2"/>
  <c r="K210" i="2" s="1"/>
  <c r="F210" i="2"/>
  <c r="K209" i="2"/>
  <c r="G209" i="2"/>
  <c r="F209" i="2"/>
  <c r="K208" i="2"/>
  <c r="G208" i="2"/>
  <c r="F208" i="2"/>
  <c r="K207" i="2"/>
  <c r="G207" i="2"/>
  <c r="F207" i="2"/>
  <c r="K206" i="2"/>
  <c r="G206" i="2"/>
  <c r="F206" i="2"/>
  <c r="G205" i="2"/>
  <c r="K205" i="2" s="1"/>
  <c r="F205" i="2"/>
  <c r="G204" i="2"/>
  <c r="K204" i="2" s="1"/>
  <c r="F204" i="2"/>
  <c r="G203" i="2"/>
  <c r="F203" i="2"/>
  <c r="G202" i="2"/>
  <c r="K202" i="2" s="1"/>
  <c r="F202" i="2"/>
  <c r="K201" i="2"/>
  <c r="G201" i="2"/>
  <c r="F201" i="2"/>
  <c r="K200" i="2"/>
  <c r="G200" i="2"/>
  <c r="F200" i="2"/>
  <c r="K199" i="2"/>
  <c r="G199" i="2"/>
  <c r="F199" i="2"/>
  <c r="G198" i="2"/>
  <c r="F198" i="2"/>
  <c r="G197" i="2"/>
  <c r="F197" i="2"/>
  <c r="G196" i="2"/>
  <c r="K196" i="2" s="1"/>
  <c r="F196" i="2"/>
  <c r="G195" i="2"/>
  <c r="F195" i="2"/>
  <c r="G194" i="2"/>
  <c r="K194" i="2" s="1"/>
  <c r="F194" i="2"/>
  <c r="K193" i="2"/>
  <c r="G193" i="2"/>
  <c r="F193" i="2"/>
  <c r="K192" i="2"/>
  <c r="G192" i="2"/>
  <c r="F192" i="2"/>
  <c r="K191" i="2"/>
  <c r="G191" i="2"/>
  <c r="F191" i="2"/>
  <c r="K190" i="2"/>
  <c r="G190" i="2"/>
  <c r="F190" i="2"/>
  <c r="G189" i="2"/>
  <c r="K189" i="2" s="1"/>
  <c r="F189" i="2"/>
  <c r="G188" i="2"/>
  <c r="K188" i="2" s="1"/>
  <c r="F188" i="2"/>
  <c r="G187" i="2"/>
  <c r="F187" i="2"/>
  <c r="G186" i="2"/>
  <c r="K186" i="2" s="1"/>
  <c r="F186" i="2"/>
  <c r="K185" i="2"/>
  <c r="G185" i="2"/>
  <c r="F185" i="2"/>
  <c r="K184" i="2"/>
  <c r="G184" i="2"/>
  <c r="F184" i="2"/>
  <c r="K183" i="2"/>
  <c r="G183" i="2"/>
  <c r="F183" i="2"/>
  <c r="G182" i="2"/>
  <c r="F182" i="2"/>
  <c r="G181" i="2"/>
  <c r="F181" i="2"/>
  <c r="G180" i="2"/>
  <c r="K180" i="2" s="1"/>
  <c r="F180" i="2"/>
  <c r="G179" i="2"/>
  <c r="F179" i="2"/>
  <c r="G178" i="2"/>
  <c r="K178" i="2" s="1"/>
  <c r="F178" i="2"/>
  <c r="K177" i="2"/>
  <c r="G177" i="2"/>
  <c r="F177" i="2"/>
  <c r="K176" i="2"/>
  <c r="G176" i="2"/>
  <c r="F176" i="2"/>
  <c r="K175" i="2"/>
  <c r="G175" i="2"/>
  <c r="F175" i="2"/>
  <c r="K174" i="2"/>
  <c r="G174" i="2"/>
  <c r="F174" i="2"/>
  <c r="G173" i="2"/>
  <c r="K173" i="2" s="1"/>
  <c r="F173" i="2"/>
  <c r="G172" i="2"/>
  <c r="K172" i="2" s="1"/>
  <c r="F172" i="2"/>
  <c r="G171" i="2"/>
  <c r="F171" i="2"/>
  <c r="G170" i="2"/>
  <c r="K170" i="2" s="1"/>
  <c r="F170" i="2"/>
  <c r="K169" i="2"/>
  <c r="G169" i="2"/>
  <c r="F169" i="2"/>
  <c r="K168" i="2"/>
  <c r="G168" i="2"/>
  <c r="F168" i="2"/>
  <c r="K167" i="2"/>
  <c r="G167" i="2"/>
  <c r="F167" i="2"/>
  <c r="G166" i="2"/>
  <c r="F166" i="2"/>
  <c r="G165" i="2"/>
  <c r="F165" i="2"/>
  <c r="G164" i="2"/>
  <c r="K164" i="2" s="1"/>
  <c r="F164" i="2"/>
  <c r="G163" i="2"/>
  <c r="F163" i="2"/>
  <c r="G162" i="2"/>
  <c r="K162" i="2" s="1"/>
  <c r="F162" i="2"/>
  <c r="K161" i="2"/>
  <c r="G161" i="2"/>
  <c r="F161" i="2"/>
  <c r="K160" i="2"/>
  <c r="G160" i="2"/>
  <c r="F160" i="2"/>
  <c r="K159" i="2"/>
  <c r="G159" i="2"/>
  <c r="F159" i="2"/>
  <c r="K158" i="2"/>
  <c r="G158" i="2"/>
  <c r="F158" i="2"/>
  <c r="G157" i="2"/>
  <c r="K157" i="2" s="1"/>
  <c r="F157" i="2"/>
  <c r="G156" i="2"/>
  <c r="K156" i="2" s="1"/>
  <c r="F156" i="2"/>
  <c r="G155" i="2"/>
  <c r="F155" i="2"/>
  <c r="G154" i="2"/>
  <c r="K154" i="2" s="1"/>
  <c r="F154" i="2"/>
  <c r="K153" i="2"/>
  <c r="G153" i="2"/>
  <c r="F153" i="2"/>
  <c r="K152" i="2"/>
  <c r="G152" i="2"/>
  <c r="F152" i="2"/>
  <c r="K151" i="2"/>
  <c r="G151" i="2"/>
  <c r="F151" i="2"/>
  <c r="G150" i="2"/>
  <c r="F150" i="2"/>
  <c r="G149" i="2"/>
  <c r="F149" i="2"/>
  <c r="G148" i="2"/>
  <c r="K148" i="2" s="1"/>
  <c r="F148" i="2"/>
  <c r="G147" i="2"/>
  <c r="F147" i="2"/>
  <c r="G146" i="2"/>
  <c r="K146" i="2" s="1"/>
  <c r="F146" i="2"/>
  <c r="K145" i="2"/>
  <c r="G145" i="2"/>
  <c r="F145" i="2"/>
  <c r="K144" i="2"/>
  <c r="G144" i="2"/>
  <c r="F144" i="2"/>
  <c r="K143" i="2"/>
  <c r="G143" i="2"/>
  <c r="F143" i="2"/>
  <c r="K142" i="2"/>
  <c r="G142" i="2"/>
  <c r="F142" i="2"/>
  <c r="G141" i="2"/>
  <c r="K141" i="2" s="1"/>
  <c r="F141" i="2"/>
  <c r="G140" i="2"/>
  <c r="K140" i="2" s="1"/>
  <c r="F140" i="2"/>
  <c r="G139" i="2"/>
  <c r="F139" i="2"/>
  <c r="G138" i="2"/>
  <c r="K138" i="2" s="1"/>
  <c r="F138" i="2"/>
  <c r="K137" i="2"/>
  <c r="G137" i="2"/>
  <c r="F137" i="2"/>
  <c r="K136" i="2"/>
  <c r="G136" i="2"/>
  <c r="F136" i="2"/>
  <c r="K135" i="2"/>
  <c r="G135" i="2"/>
  <c r="F135" i="2"/>
  <c r="G134" i="2"/>
  <c r="F134" i="2"/>
  <c r="G133" i="2"/>
  <c r="F133" i="2"/>
  <c r="G132" i="2"/>
  <c r="K132" i="2" s="1"/>
  <c r="F132" i="2"/>
  <c r="G131" i="2"/>
  <c r="F131" i="2"/>
  <c r="G130" i="2"/>
  <c r="K130" i="2" s="1"/>
  <c r="F130" i="2"/>
  <c r="K129" i="2"/>
  <c r="G129" i="2"/>
  <c r="F129" i="2"/>
  <c r="K128" i="2"/>
  <c r="G128" i="2"/>
  <c r="F128" i="2"/>
  <c r="K127" i="2"/>
  <c r="G127" i="2"/>
  <c r="F127" i="2"/>
  <c r="K126" i="2"/>
  <c r="G126" i="2"/>
  <c r="F126" i="2"/>
  <c r="G125" i="2"/>
  <c r="K125" i="2" s="1"/>
  <c r="F125" i="2"/>
  <c r="G124" i="2"/>
  <c r="K124" i="2" s="1"/>
  <c r="F124" i="2"/>
  <c r="G123" i="2"/>
  <c r="F123" i="2"/>
  <c r="G122" i="2"/>
  <c r="K122" i="2" s="1"/>
  <c r="F122" i="2"/>
  <c r="K121" i="2"/>
  <c r="G121" i="2"/>
  <c r="F121" i="2"/>
  <c r="K120" i="2"/>
  <c r="G120" i="2"/>
  <c r="F120" i="2"/>
  <c r="K119" i="2"/>
  <c r="G119" i="2"/>
  <c r="F119" i="2"/>
  <c r="G118" i="2"/>
  <c r="F118" i="2"/>
  <c r="G117" i="2"/>
  <c r="F117" i="2"/>
  <c r="G116" i="2"/>
  <c r="K116" i="2" s="1"/>
  <c r="F116" i="2"/>
  <c r="G115" i="2"/>
  <c r="F115" i="2"/>
  <c r="G114" i="2"/>
  <c r="K114" i="2" s="1"/>
  <c r="F114" i="2"/>
  <c r="K113" i="2"/>
  <c r="G113" i="2"/>
  <c r="F113" i="2"/>
  <c r="K112" i="2"/>
  <c r="G112" i="2"/>
  <c r="F112" i="2"/>
  <c r="K111" i="2"/>
  <c r="G111" i="2"/>
  <c r="F111" i="2"/>
  <c r="K110" i="2"/>
  <c r="G110" i="2"/>
  <c r="F110" i="2"/>
  <c r="R101" i="2"/>
  <c r="R100" i="2"/>
  <c r="O88" i="2" s="1"/>
  <c r="R99" i="2"/>
  <c r="O87" i="2" s="1"/>
  <c r="R98" i="2"/>
  <c r="R97" i="2"/>
  <c r="R96" i="2"/>
  <c r="M84" i="2" s="1"/>
  <c r="R95" i="2"/>
  <c r="R94" i="2"/>
  <c r="R93" i="2"/>
  <c r="R92" i="2"/>
  <c r="R91" i="2"/>
  <c r="O79" i="2" s="1"/>
  <c r="R90" i="2"/>
  <c r="R89" i="2"/>
  <c r="L89" i="2"/>
  <c r="G89" i="2"/>
  <c r="F89" i="2"/>
  <c r="E89" i="2"/>
  <c r="D89" i="2"/>
  <c r="R88" i="2"/>
  <c r="M86" i="2" s="1"/>
  <c r="M88" i="2"/>
  <c r="L88" i="2"/>
  <c r="K88" i="2"/>
  <c r="J88" i="2"/>
  <c r="F88" i="2"/>
  <c r="E88" i="2"/>
  <c r="D88" i="2"/>
  <c r="C88" i="2"/>
  <c r="R87" i="2"/>
  <c r="N87" i="2"/>
  <c r="K87" i="2"/>
  <c r="J87" i="2"/>
  <c r="I87" i="2"/>
  <c r="H87" i="2"/>
  <c r="C87" i="2"/>
  <c r="R86" i="2"/>
  <c r="O86" i="2" s="1"/>
  <c r="N86" i="2"/>
  <c r="L86" i="2"/>
  <c r="K86" i="2"/>
  <c r="I86" i="2"/>
  <c r="H86" i="2"/>
  <c r="G86" i="2"/>
  <c r="F86" i="2"/>
  <c r="D86" i="2"/>
  <c r="C86" i="2"/>
  <c r="R85" i="2"/>
  <c r="O85" i="2"/>
  <c r="N85" i="2"/>
  <c r="M85" i="2"/>
  <c r="L85" i="2"/>
  <c r="K85" i="2"/>
  <c r="J85" i="2"/>
  <c r="H85" i="2"/>
  <c r="G85" i="2"/>
  <c r="F85" i="2"/>
  <c r="E85" i="2"/>
  <c r="D85" i="2"/>
  <c r="C85" i="2"/>
  <c r="R84" i="2"/>
  <c r="K84" i="2"/>
  <c r="J84" i="2"/>
  <c r="E84" i="2"/>
  <c r="D84" i="2"/>
  <c r="C84" i="2"/>
  <c r="R83" i="2"/>
  <c r="L80" i="2" s="1"/>
  <c r="K83" i="2"/>
  <c r="J83" i="2"/>
  <c r="I83" i="2"/>
  <c r="H83" i="2"/>
  <c r="C83" i="2"/>
  <c r="R82" i="2"/>
  <c r="M80" i="2" s="1"/>
  <c r="O82" i="2"/>
  <c r="N82" i="2"/>
  <c r="I82" i="2"/>
  <c r="H82" i="2"/>
  <c r="G82" i="2"/>
  <c r="F82" i="2"/>
  <c r="R81" i="2"/>
  <c r="O81" i="2"/>
  <c r="N81" i="2"/>
  <c r="F81" i="2"/>
  <c r="E81" i="2"/>
  <c r="D81" i="2"/>
  <c r="R80" i="2"/>
  <c r="M78" i="2" s="1"/>
  <c r="N80" i="2"/>
  <c r="K80" i="2"/>
  <c r="J80" i="2"/>
  <c r="F80" i="2"/>
  <c r="E80" i="2"/>
  <c r="D80" i="2"/>
  <c r="C80" i="2"/>
  <c r="R79" i="2"/>
  <c r="K75" i="2" s="1"/>
  <c r="N79" i="2"/>
  <c r="J79" i="2"/>
  <c r="I79" i="2"/>
  <c r="H79" i="2"/>
  <c r="F79" i="2"/>
  <c r="C79" i="2"/>
  <c r="R78" i="2"/>
  <c r="O78" i="2" s="1"/>
  <c r="L78" i="2"/>
  <c r="I78" i="2"/>
  <c r="H78" i="2"/>
  <c r="G78" i="2"/>
  <c r="F78" i="2"/>
  <c r="D78" i="2"/>
  <c r="C78" i="2"/>
  <c r="R77" i="2"/>
  <c r="O77" i="2"/>
  <c r="N77" i="2"/>
  <c r="M77" i="2"/>
  <c r="L77" i="2"/>
  <c r="K77" i="2"/>
  <c r="G77" i="2"/>
  <c r="E77" i="2"/>
  <c r="D77" i="2"/>
  <c r="C77" i="2"/>
  <c r="R76" i="2"/>
  <c r="H69" i="2" s="1"/>
  <c r="M76" i="2"/>
  <c r="L76" i="2"/>
  <c r="K76" i="2"/>
  <c r="J76" i="2"/>
  <c r="H76" i="2"/>
  <c r="E76" i="2"/>
  <c r="D76" i="2"/>
  <c r="C76" i="2"/>
  <c r="R75" i="2"/>
  <c r="I69" i="2" s="1"/>
  <c r="J75" i="2"/>
  <c r="I75" i="2"/>
  <c r="F75" i="2"/>
  <c r="C75" i="2"/>
  <c r="R74" i="2"/>
  <c r="O74" i="2" s="1"/>
  <c r="I74" i="2"/>
  <c r="H74" i="2"/>
  <c r="G74" i="2"/>
  <c r="F74" i="2"/>
  <c r="D74" i="2"/>
  <c r="R73" i="2"/>
  <c r="O73" i="2"/>
  <c r="K73" i="2"/>
  <c r="J73" i="2"/>
  <c r="G73" i="2"/>
  <c r="D73" i="2"/>
  <c r="C73" i="2"/>
  <c r="R72" i="2"/>
  <c r="H65" i="2" s="1"/>
  <c r="K72" i="2"/>
  <c r="J72" i="2"/>
  <c r="D72" i="2"/>
  <c r="C72" i="2"/>
  <c r="R71" i="2"/>
  <c r="I65" i="2" s="1"/>
  <c r="N71" i="2"/>
  <c r="K71" i="2"/>
  <c r="F71" i="2"/>
  <c r="C71" i="2"/>
  <c r="R70" i="2"/>
  <c r="O70" i="2" s="1"/>
  <c r="N70" i="2"/>
  <c r="D70" i="2"/>
  <c r="R69" i="2"/>
  <c r="O69" i="2"/>
  <c r="K69" i="2"/>
  <c r="G69" i="2"/>
  <c r="F69" i="2"/>
  <c r="E69" i="2"/>
  <c r="D69" i="2"/>
  <c r="C69" i="2"/>
  <c r="R68" i="2"/>
  <c r="K68" i="2"/>
  <c r="J68" i="2"/>
  <c r="H68" i="2"/>
  <c r="E68" i="2"/>
  <c r="C68" i="2"/>
  <c r="R67" i="2"/>
  <c r="N67" i="2"/>
  <c r="K67" i="2"/>
  <c r="J67" i="2"/>
  <c r="I67" i="2"/>
  <c r="R66" i="2"/>
  <c r="O66" i="2"/>
  <c r="N66" i="2"/>
  <c r="L66" i="2"/>
  <c r="I66" i="2"/>
  <c r="H66" i="2"/>
  <c r="D66" i="2"/>
  <c r="R65" i="2"/>
  <c r="O65" i="2"/>
  <c r="N65" i="2"/>
  <c r="M65" i="2"/>
  <c r="L65" i="2"/>
  <c r="K65" i="2"/>
  <c r="G65" i="2"/>
  <c r="D65" i="2"/>
  <c r="C65" i="2"/>
  <c r="R55" i="2"/>
  <c r="L55" i="2"/>
  <c r="R54" i="2"/>
  <c r="L54" i="2"/>
  <c r="R53" i="2"/>
  <c r="L53" i="2"/>
  <c r="R52" i="2"/>
  <c r="L52" i="2"/>
  <c r="R51" i="2"/>
  <c r="L51" i="2"/>
  <c r="R50" i="2"/>
  <c r="L50" i="2"/>
  <c r="R49" i="2"/>
  <c r="L49" i="2"/>
  <c r="R48" i="2"/>
  <c r="L48" i="2"/>
  <c r="R47" i="2"/>
  <c r="L47" i="2"/>
  <c r="R46" i="2"/>
  <c r="L46" i="2"/>
  <c r="R45" i="2"/>
  <c r="L45" i="2"/>
  <c r="R44" i="2"/>
  <c r="L44" i="2"/>
  <c r="R43" i="2"/>
  <c r="L43" i="2"/>
  <c r="R42" i="2"/>
  <c r="L42" i="2"/>
  <c r="R41" i="2"/>
  <c r="L41" i="2"/>
  <c r="H41" i="2"/>
  <c r="F41" i="2" s="1"/>
  <c r="R40" i="2"/>
  <c r="L40" i="2"/>
  <c r="R39" i="2"/>
  <c r="L39" i="2"/>
  <c r="R38" i="2"/>
  <c r="L38" i="2"/>
  <c r="R37" i="2"/>
  <c r="L37" i="2"/>
  <c r="R36" i="2"/>
  <c r="L36" i="2"/>
  <c r="H36" i="2"/>
  <c r="F36" i="2" s="1"/>
  <c r="E226" i="2" s="1"/>
  <c r="R35" i="2"/>
  <c r="L35" i="2"/>
  <c r="R34" i="2"/>
  <c r="L34" i="2"/>
  <c r="R33" i="2"/>
  <c r="L33" i="2"/>
  <c r="R32" i="2"/>
  <c r="L32" i="2"/>
  <c r="R31" i="2"/>
  <c r="L31" i="2"/>
  <c r="R30" i="2"/>
  <c r="L30" i="2"/>
  <c r="R29" i="2"/>
  <c r="L29" i="2"/>
  <c r="R28" i="2"/>
  <c r="L28" i="2"/>
  <c r="R27" i="2"/>
  <c r="L27" i="2"/>
  <c r="R26" i="2"/>
  <c r="L26" i="2"/>
  <c r="R25" i="2"/>
  <c r="L25" i="2"/>
  <c r="H25" i="2"/>
  <c r="F25" i="2" s="1"/>
  <c r="R24" i="2"/>
  <c r="L24" i="2"/>
  <c r="K24" i="2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R23" i="2"/>
  <c r="L23" i="2"/>
  <c r="K23" i="2"/>
  <c r="R22" i="2"/>
  <c r="L22" i="2"/>
  <c r="K22" i="2"/>
  <c r="R21" i="2"/>
  <c r="L21" i="2"/>
  <c r="R20" i="2"/>
  <c r="L20" i="2"/>
  <c r="H20" i="2"/>
  <c r="F20" i="2"/>
  <c r="R19" i="2"/>
  <c r="L19" i="2"/>
  <c r="H19" i="2"/>
  <c r="E19" i="2"/>
  <c r="R18" i="2"/>
  <c r="L18" i="2"/>
  <c r="H18" i="2"/>
  <c r="E18" i="2"/>
  <c r="R17" i="2"/>
  <c r="L17" i="2"/>
  <c r="H17" i="2"/>
  <c r="H46" i="2" s="1"/>
  <c r="F46" i="2" s="1"/>
  <c r="E17" i="2"/>
  <c r="E46" i="2" s="1"/>
  <c r="C46" i="2" s="1"/>
  <c r="R16" i="2"/>
  <c r="L16" i="2"/>
  <c r="H16" i="2"/>
  <c r="H44" i="2" s="1"/>
  <c r="F44" i="2" s="1"/>
  <c r="E16" i="2"/>
  <c r="E40" i="2" s="1"/>
  <c r="C40" i="2" s="1"/>
  <c r="R15" i="2"/>
  <c r="L15" i="2"/>
  <c r="H15" i="2"/>
  <c r="H52" i="2" s="1"/>
  <c r="F52" i="2" s="1"/>
  <c r="E15" i="2"/>
  <c r="E50" i="2" s="1"/>
  <c r="C50" i="2" s="1"/>
  <c r="AH14" i="2"/>
  <c r="Z16" i="2" s="1"/>
  <c r="Z17" i="2" s="1"/>
  <c r="R14" i="2"/>
  <c r="L14" i="2"/>
  <c r="H14" i="2"/>
  <c r="E14" i="2"/>
  <c r="AI13" i="2"/>
  <c r="AI14" i="2" s="1"/>
  <c r="AA16" i="2" s="1"/>
  <c r="AA17" i="2" s="1"/>
  <c r="AH13" i="2"/>
  <c r="R13" i="2"/>
  <c r="L13" i="2"/>
  <c r="H13" i="2"/>
  <c r="E13" i="2"/>
  <c r="R12" i="2"/>
  <c r="L12" i="2"/>
  <c r="H12" i="2"/>
  <c r="E12" i="2"/>
  <c r="R11" i="2"/>
  <c r="L11" i="2"/>
  <c r="H11" i="2"/>
  <c r="E11" i="2"/>
  <c r="R10" i="2"/>
  <c r="L10" i="2"/>
  <c r="H10" i="2"/>
  <c r="E10" i="2"/>
  <c r="R9" i="2"/>
  <c r="L9" i="2"/>
  <c r="H9" i="2"/>
  <c r="E9" i="2"/>
  <c r="AC8" i="2"/>
  <c r="AC13" i="3" s="1"/>
  <c r="R8" i="2"/>
  <c r="L8" i="2"/>
  <c r="H8" i="2"/>
  <c r="E8" i="2"/>
  <c r="R7" i="2"/>
  <c r="L7" i="2"/>
  <c r="H7" i="2"/>
  <c r="E7" i="2"/>
  <c r="R6" i="2"/>
  <c r="L6" i="2"/>
  <c r="H6" i="2"/>
  <c r="E6" i="2"/>
  <c r="R5" i="2"/>
  <c r="L5" i="2"/>
  <c r="H5" i="2"/>
  <c r="E5" i="2"/>
  <c r="R3" i="2"/>
  <c r="H208" i="2" l="1"/>
  <c r="H200" i="2"/>
  <c r="H192" i="2"/>
  <c r="H184" i="2"/>
  <c r="H136" i="2"/>
  <c r="H128" i="2"/>
  <c r="H120" i="2"/>
  <c r="H112" i="2"/>
  <c r="H207" i="2"/>
  <c r="H199" i="2"/>
  <c r="H191" i="2"/>
  <c r="H183" i="2"/>
  <c r="H143" i="2"/>
  <c r="H135" i="2"/>
  <c r="H127" i="2"/>
  <c r="H119" i="2"/>
  <c r="H111" i="2"/>
  <c r="H206" i="2"/>
  <c r="H198" i="2"/>
  <c r="H190" i="2"/>
  <c r="H182" i="2"/>
  <c r="H142" i="2"/>
  <c r="H134" i="2"/>
  <c r="H126" i="2"/>
  <c r="H118" i="2"/>
  <c r="H110" i="2"/>
  <c r="H205" i="2"/>
  <c r="H197" i="2"/>
  <c r="H189" i="2"/>
  <c r="H181" i="2"/>
  <c r="H141" i="2"/>
  <c r="H133" i="2"/>
  <c r="H125" i="2"/>
  <c r="H117" i="2"/>
  <c r="H210" i="2"/>
  <c r="H194" i="2"/>
  <c r="H178" i="2"/>
  <c r="H130" i="2"/>
  <c r="H114" i="2"/>
  <c r="H209" i="2"/>
  <c r="H204" i="2"/>
  <c r="H193" i="2"/>
  <c r="H188" i="2"/>
  <c r="H140" i="2"/>
  <c r="H129" i="2"/>
  <c r="H124" i="2"/>
  <c r="H113" i="2"/>
  <c r="H195" i="2"/>
  <c r="H115" i="2"/>
  <c r="H203" i="2"/>
  <c r="H187" i="2"/>
  <c r="H139" i="2"/>
  <c r="H123" i="2"/>
  <c r="H179" i="2"/>
  <c r="H202" i="2"/>
  <c r="H186" i="2"/>
  <c r="H138" i="2"/>
  <c r="H122" i="2"/>
  <c r="H121" i="2"/>
  <c r="H116" i="2"/>
  <c r="H131" i="2"/>
  <c r="H137" i="2"/>
  <c r="H201" i="2"/>
  <c r="H196" i="2"/>
  <c r="H185" i="2"/>
  <c r="H180" i="2"/>
  <c r="H132" i="2"/>
  <c r="H211" i="2"/>
  <c r="E128" i="2"/>
  <c r="E196" i="2"/>
  <c r="E138" i="2"/>
  <c r="E206" i="2"/>
  <c r="E202" i="2"/>
  <c r="E134" i="2"/>
  <c r="E242" i="2"/>
  <c r="E174" i="2"/>
  <c r="E168" i="2"/>
  <c r="E236" i="2"/>
  <c r="H240" i="2"/>
  <c r="H232" i="2"/>
  <c r="H224" i="2"/>
  <c r="H216" i="2"/>
  <c r="H176" i="2"/>
  <c r="H168" i="2"/>
  <c r="H160" i="2"/>
  <c r="H152" i="2"/>
  <c r="H144" i="2"/>
  <c r="H239" i="2"/>
  <c r="H231" i="2"/>
  <c r="H223" i="2"/>
  <c r="H215" i="2"/>
  <c r="H175" i="2"/>
  <c r="H167" i="2"/>
  <c r="H159" i="2"/>
  <c r="H151" i="2"/>
  <c r="H238" i="2"/>
  <c r="H230" i="2"/>
  <c r="H222" i="2"/>
  <c r="H214" i="2"/>
  <c r="H174" i="2"/>
  <c r="H166" i="2"/>
  <c r="H158" i="2"/>
  <c r="H150" i="2"/>
  <c r="H245" i="2"/>
  <c r="H237" i="2"/>
  <c r="H229" i="2"/>
  <c r="H221" i="2"/>
  <c r="H213" i="2"/>
  <c r="H173" i="2"/>
  <c r="H165" i="2"/>
  <c r="H157" i="2"/>
  <c r="H149" i="2"/>
  <c r="H244" i="2"/>
  <c r="H226" i="2"/>
  <c r="H162" i="2"/>
  <c r="H146" i="2"/>
  <c r="H242" i="2"/>
  <c r="H243" i="2"/>
  <c r="H241" i="2"/>
  <c r="H236" i="2"/>
  <c r="H225" i="2"/>
  <c r="H220" i="2"/>
  <c r="H177" i="2"/>
  <c r="H172" i="2"/>
  <c r="H161" i="2"/>
  <c r="H156" i="2"/>
  <c r="H145" i="2"/>
  <c r="H235" i="2"/>
  <c r="H219" i="2"/>
  <c r="H171" i="2"/>
  <c r="H155" i="2"/>
  <c r="H234" i="2"/>
  <c r="H218" i="2"/>
  <c r="H170" i="2"/>
  <c r="H154" i="2"/>
  <c r="H153" i="2"/>
  <c r="H163" i="2"/>
  <c r="H227" i="2"/>
  <c r="H233" i="2"/>
  <c r="H228" i="2"/>
  <c r="H217" i="2"/>
  <c r="H212" i="2"/>
  <c r="H169" i="2"/>
  <c r="H164" i="2"/>
  <c r="H148" i="2"/>
  <c r="H147" i="2"/>
  <c r="E234" i="2"/>
  <c r="E166" i="2"/>
  <c r="E163" i="2"/>
  <c r="E231" i="2"/>
  <c r="E147" i="2"/>
  <c r="E215" i="2"/>
  <c r="E28" i="2"/>
  <c r="C28" i="2" s="1"/>
  <c r="E33" i="2"/>
  <c r="C33" i="2" s="1"/>
  <c r="E65" i="2"/>
  <c r="H28" i="2"/>
  <c r="F28" i="2" s="1"/>
  <c r="E32" i="2"/>
  <c r="C32" i="2" s="1"/>
  <c r="H33" i="2"/>
  <c r="F33" i="2" s="1"/>
  <c r="E35" i="2"/>
  <c r="C35" i="2" s="1"/>
  <c r="L68" i="2"/>
  <c r="H75" i="2"/>
  <c r="K165" i="2"/>
  <c r="K181" i="2"/>
  <c r="K197" i="2"/>
  <c r="K213" i="2"/>
  <c r="K229" i="2"/>
  <c r="C108" i="3"/>
  <c r="C106" i="3"/>
  <c r="C104" i="3"/>
  <c r="C102" i="3"/>
  <c r="C100" i="3"/>
  <c r="C98" i="3"/>
  <c r="C96" i="3"/>
  <c r="C94" i="3"/>
  <c r="C92" i="3"/>
  <c r="C90" i="3"/>
  <c r="C88" i="3"/>
  <c r="C86" i="3"/>
  <c r="C84" i="3"/>
  <c r="C82" i="3"/>
  <c r="C80" i="3"/>
  <c r="C78" i="3"/>
  <c r="C76" i="3"/>
  <c r="C74" i="3"/>
  <c r="C72" i="3"/>
  <c r="C70" i="3"/>
  <c r="C68" i="3"/>
  <c r="C66" i="3"/>
  <c r="E107" i="3"/>
  <c r="E105" i="3"/>
  <c r="E103" i="3"/>
  <c r="E101" i="3"/>
  <c r="E99" i="3"/>
  <c r="E97" i="3"/>
  <c r="E95" i="3"/>
  <c r="E93" i="3"/>
  <c r="E91" i="3"/>
  <c r="E89" i="3"/>
  <c r="E87" i="3"/>
  <c r="E85" i="3"/>
  <c r="E83" i="3"/>
  <c r="E81" i="3"/>
  <c r="E79" i="3"/>
  <c r="E77" i="3"/>
  <c r="E75" i="3"/>
  <c r="E73" i="3"/>
  <c r="E71" i="3"/>
  <c r="E69" i="3"/>
  <c r="E67" i="3"/>
  <c r="E65" i="3"/>
  <c r="C107" i="3"/>
  <c r="C105" i="3"/>
  <c r="C103" i="3"/>
  <c r="C101" i="3"/>
  <c r="C99" i="3"/>
  <c r="C97" i="3"/>
  <c r="C95" i="3"/>
  <c r="C93" i="3"/>
  <c r="C91" i="3"/>
  <c r="C89" i="3"/>
  <c r="C87" i="3"/>
  <c r="C85" i="3"/>
  <c r="C83" i="3"/>
  <c r="C81" i="3"/>
  <c r="C79" i="3"/>
  <c r="C77" i="3"/>
  <c r="C75" i="3"/>
  <c r="C73" i="3"/>
  <c r="C71" i="3"/>
  <c r="C69" i="3"/>
  <c r="C67" i="3"/>
  <c r="C65" i="3"/>
  <c r="E108" i="3"/>
  <c r="E106" i="3"/>
  <c r="E104" i="3"/>
  <c r="E102" i="3"/>
  <c r="E100" i="3"/>
  <c r="E98" i="3"/>
  <c r="E96" i="3"/>
  <c r="E94" i="3"/>
  <c r="E92" i="3"/>
  <c r="E90" i="3"/>
  <c r="E88" i="3"/>
  <c r="E86" i="3"/>
  <c r="E84" i="3"/>
  <c r="E82" i="3"/>
  <c r="E80" i="3"/>
  <c r="E78" i="3"/>
  <c r="E76" i="3"/>
  <c r="E74" i="3"/>
  <c r="E72" i="3"/>
  <c r="E70" i="3"/>
  <c r="E68" i="3"/>
  <c r="E66" i="3"/>
  <c r="M72" i="2"/>
  <c r="E30" i="2"/>
  <c r="C30" i="2" s="1"/>
  <c r="F70" i="2"/>
  <c r="L73" i="2"/>
  <c r="H29" i="2"/>
  <c r="F29" i="2" s="1"/>
  <c r="M68" i="2"/>
  <c r="K81" i="2"/>
  <c r="C81" i="2"/>
  <c r="J81" i="2"/>
  <c r="I81" i="2"/>
  <c r="H81" i="2"/>
  <c r="K89" i="2"/>
  <c r="C89" i="2"/>
  <c r="J89" i="2"/>
  <c r="I89" i="2"/>
  <c r="H89" i="2"/>
  <c r="K245" i="2"/>
  <c r="L12" i="3"/>
  <c r="D108" i="3"/>
  <c r="D106" i="3"/>
  <c r="D104" i="3"/>
  <c r="D102" i="3"/>
  <c r="D100" i="3"/>
  <c r="D98" i="3"/>
  <c r="D96" i="3"/>
  <c r="D94" i="3"/>
  <c r="D92" i="3"/>
  <c r="D90" i="3"/>
  <c r="D88" i="3"/>
  <c r="D86" i="3"/>
  <c r="D84" i="3"/>
  <c r="D82" i="3"/>
  <c r="D80" i="3"/>
  <c r="D78" i="3"/>
  <c r="D76" i="3"/>
  <c r="D74" i="3"/>
  <c r="D72" i="3"/>
  <c r="D70" i="3"/>
  <c r="D68" i="3"/>
  <c r="D66" i="3"/>
  <c r="F107" i="3"/>
  <c r="F105" i="3"/>
  <c r="F103" i="3"/>
  <c r="F101" i="3"/>
  <c r="F99" i="3"/>
  <c r="F97" i="3"/>
  <c r="F95" i="3"/>
  <c r="F93" i="3"/>
  <c r="F91" i="3"/>
  <c r="F89" i="3"/>
  <c r="F87" i="3"/>
  <c r="F85" i="3"/>
  <c r="F83" i="3"/>
  <c r="F81" i="3"/>
  <c r="F79" i="3"/>
  <c r="F77" i="3"/>
  <c r="F75" i="3"/>
  <c r="F73" i="3"/>
  <c r="F71" i="3"/>
  <c r="F69" i="3"/>
  <c r="F67" i="3"/>
  <c r="F65" i="3"/>
  <c r="D107" i="3"/>
  <c r="D105" i="3"/>
  <c r="D103" i="3"/>
  <c r="D101" i="3"/>
  <c r="D99" i="3"/>
  <c r="D97" i="3"/>
  <c r="D95" i="3"/>
  <c r="D93" i="3"/>
  <c r="D91" i="3"/>
  <c r="D89" i="3"/>
  <c r="D87" i="3"/>
  <c r="D85" i="3"/>
  <c r="D83" i="3"/>
  <c r="D81" i="3"/>
  <c r="D79" i="3"/>
  <c r="D77" i="3"/>
  <c r="D75" i="3"/>
  <c r="D73" i="3"/>
  <c r="D71" i="3"/>
  <c r="D69" i="3"/>
  <c r="D67" i="3"/>
  <c r="D65" i="3"/>
  <c r="F108" i="3"/>
  <c r="F106" i="3"/>
  <c r="F104" i="3"/>
  <c r="F102" i="3"/>
  <c r="F100" i="3"/>
  <c r="F98" i="3"/>
  <c r="F96" i="3"/>
  <c r="F94" i="3"/>
  <c r="F92" i="3"/>
  <c r="F90" i="3"/>
  <c r="F88" i="3"/>
  <c r="F86" i="3"/>
  <c r="F84" i="3"/>
  <c r="F82" i="3"/>
  <c r="F80" i="3"/>
  <c r="R37" i="3" s="1"/>
  <c r="F78" i="3"/>
  <c r="F76" i="3"/>
  <c r="F74" i="3"/>
  <c r="F72" i="3"/>
  <c r="R29" i="3" s="1"/>
  <c r="F70" i="3"/>
  <c r="F68" i="3"/>
  <c r="F66" i="3"/>
  <c r="L23" i="3"/>
  <c r="L32" i="3"/>
  <c r="L24" i="3"/>
  <c r="L43" i="3"/>
  <c r="L52" i="3"/>
  <c r="L25" i="3"/>
  <c r="R40" i="3"/>
  <c r="H27" i="2"/>
  <c r="F27" i="2" s="1"/>
  <c r="F65" i="2"/>
  <c r="J69" i="2"/>
  <c r="K149" i="2"/>
  <c r="E23" i="2"/>
  <c r="C23" i="2" s="1"/>
  <c r="H54" i="2"/>
  <c r="F54" i="2" s="1"/>
  <c r="G70" i="2"/>
  <c r="M73" i="2"/>
  <c r="E21" i="2"/>
  <c r="C21" i="2" s="1"/>
  <c r="H22" i="2"/>
  <c r="F22" i="2" s="1"/>
  <c r="E24" i="2"/>
  <c r="C24" i="2" s="1"/>
  <c r="H30" i="2"/>
  <c r="F30" i="2" s="1"/>
  <c r="H32" i="2"/>
  <c r="F32" i="2" s="1"/>
  <c r="E38" i="2"/>
  <c r="C38" i="2" s="1"/>
  <c r="E48" i="2"/>
  <c r="C48" i="2" s="1"/>
  <c r="J65" i="2"/>
  <c r="F66" i="2"/>
  <c r="C67" i="2"/>
  <c r="L69" i="2"/>
  <c r="H70" i="2"/>
  <c r="H71" i="2"/>
  <c r="E72" i="2"/>
  <c r="N73" i="2"/>
  <c r="L74" i="2"/>
  <c r="F77" i="2"/>
  <c r="N78" i="2"/>
  <c r="K79" i="2"/>
  <c r="G81" i="2"/>
  <c r="L84" i="2"/>
  <c r="M89" i="2"/>
  <c r="I88" i="2"/>
  <c r="M82" i="2"/>
  <c r="E82" i="2"/>
  <c r="L82" i="2"/>
  <c r="D82" i="2"/>
  <c r="K82" i="2"/>
  <c r="C82" i="2"/>
  <c r="J82" i="2"/>
  <c r="K118" i="2"/>
  <c r="K123" i="2"/>
  <c r="K134" i="2"/>
  <c r="K139" i="2"/>
  <c r="K150" i="2"/>
  <c r="K155" i="2"/>
  <c r="K166" i="2"/>
  <c r="K171" i="2"/>
  <c r="K182" i="2"/>
  <c r="K187" i="2"/>
  <c r="K198" i="2"/>
  <c r="K203" i="2"/>
  <c r="K214" i="2"/>
  <c r="K219" i="2"/>
  <c r="K230" i="2"/>
  <c r="K235" i="2"/>
  <c r="K244" i="2"/>
  <c r="R48" i="3"/>
  <c r="E22" i="2"/>
  <c r="C22" i="2" s="1"/>
  <c r="H49" i="2"/>
  <c r="F49" i="2" s="1"/>
  <c r="E54" i="2"/>
  <c r="C54" i="2" s="1"/>
  <c r="K117" i="2"/>
  <c r="K133" i="2"/>
  <c r="E31" i="2"/>
  <c r="C31" i="2" s="1"/>
  <c r="H40" i="2"/>
  <c r="F40" i="2" s="1"/>
  <c r="H47" i="2"/>
  <c r="F47" i="2" s="1"/>
  <c r="E55" i="2"/>
  <c r="C55" i="2" s="1"/>
  <c r="E47" i="2"/>
  <c r="C47" i="2" s="1"/>
  <c r="E39" i="2"/>
  <c r="C39" i="2" s="1"/>
  <c r="E53" i="2"/>
  <c r="C53" i="2" s="1"/>
  <c r="E45" i="2"/>
  <c r="C45" i="2" s="1"/>
  <c r="E37" i="2"/>
  <c r="C37" i="2" s="1"/>
  <c r="E52" i="2"/>
  <c r="C52" i="2" s="1"/>
  <c r="E44" i="2"/>
  <c r="C44" i="2" s="1"/>
  <c r="E36" i="2"/>
  <c r="C36" i="2" s="1"/>
  <c r="H23" i="2"/>
  <c r="F23" i="2" s="1"/>
  <c r="E25" i="2"/>
  <c r="C25" i="2" s="1"/>
  <c r="H31" i="2"/>
  <c r="F31" i="2" s="1"/>
  <c r="H38" i="2"/>
  <c r="F38" i="2" s="1"/>
  <c r="E41" i="2"/>
  <c r="C41" i="2" s="1"/>
  <c r="E43" i="2"/>
  <c r="C43" i="2" s="1"/>
  <c r="G66" i="2"/>
  <c r="F67" i="2"/>
  <c r="D68" i="2"/>
  <c r="M69" i="2"/>
  <c r="I70" i="2"/>
  <c r="I71" i="2"/>
  <c r="H72" i="2"/>
  <c r="E73" i="2"/>
  <c r="N74" i="2"/>
  <c r="L81" i="2"/>
  <c r="O75" i="2"/>
  <c r="G75" i="2"/>
  <c r="H80" i="2"/>
  <c r="M75" i="2"/>
  <c r="E75" i="2"/>
  <c r="L75" i="2"/>
  <c r="D75" i="2"/>
  <c r="N89" i="2"/>
  <c r="O83" i="2"/>
  <c r="G83" i="2"/>
  <c r="H88" i="2"/>
  <c r="N83" i="2"/>
  <c r="F83" i="2"/>
  <c r="M83" i="2"/>
  <c r="E83" i="2"/>
  <c r="L83" i="2"/>
  <c r="D83" i="2"/>
  <c r="E158" i="2"/>
  <c r="AI13" i="3"/>
  <c r="AI14" i="3" s="1"/>
  <c r="AA16" i="3" s="1"/>
  <c r="AA17" i="3" s="1"/>
  <c r="E39" i="3"/>
  <c r="E23" i="3"/>
  <c r="C23" i="3" s="1"/>
  <c r="E21" i="3"/>
  <c r="C21" i="3" s="1"/>
  <c r="E50" i="3"/>
  <c r="C50" i="3" s="1"/>
  <c r="E54" i="3"/>
  <c r="C54" i="3" s="1"/>
  <c r="E37" i="3"/>
  <c r="C37" i="3" s="1"/>
  <c r="E29" i="3"/>
  <c r="C29" i="3" s="1"/>
  <c r="E53" i="3"/>
  <c r="C53" i="3" s="1"/>
  <c r="E24" i="3"/>
  <c r="C24" i="3" s="1"/>
  <c r="E52" i="3"/>
  <c r="C52" i="3" s="1"/>
  <c r="E43" i="3"/>
  <c r="C43" i="3" s="1"/>
  <c r="E35" i="3"/>
  <c r="C35" i="3" s="1"/>
  <c r="E55" i="3"/>
  <c r="C55" i="3" s="1"/>
  <c r="E36" i="3"/>
  <c r="C36" i="3" s="1"/>
  <c r="E28" i="3"/>
  <c r="C28" i="3" s="1"/>
  <c r="L17" i="3"/>
  <c r="L20" i="3"/>
  <c r="L22" i="3"/>
  <c r="C39" i="3"/>
  <c r="E41" i="3"/>
  <c r="C41" i="3" s="1"/>
  <c r="H26" i="2"/>
  <c r="F26" i="2" s="1"/>
  <c r="E29" i="2"/>
  <c r="C29" i="2" s="1"/>
  <c r="E42" i="2"/>
  <c r="C42" i="2" s="1"/>
  <c r="H53" i="2"/>
  <c r="F53" i="2" s="1"/>
  <c r="H45" i="2"/>
  <c r="F45" i="2" s="1"/>
  <c r="H37" i="2"/>
  <c r="F37" i="2" s="1"/>
  <c r="H51" i="2"/>
  <c r="F51" i="2" s="1"/>
  <c r="H43" i="2"/>
  <c r="F43" i="2" s="1"/>
  <c r="H35" i="2"/>
  <c r="F35" i="2" s="1"/>
  <c r="H50" i="2"/>
  <c r="F50" i="2" s="1"/>
  <c r="H42" i="2"/>
  <c r="F42" i="2" s="1"/>
  <c r="H34" i="2"/>
  <c r="F34" i="2" s="1"/>
  <c r="E20" i="2"/>
  <c r="C20" i="2" s="1"/>
  <c r="H21" i="2"/>
  <c r="F21" i="2" s="1"/>
  <c r="H24" i="2"/>
  <c r="F24" i="2" s="1"/>
  <c r="E26" i="2"/>
  <c r="C26" i="2" s="1"/>
  <c r="E34" i="2"/>
  <c r="C34" i="2" s="1"/>
  <c r="H48" i="2"/>
  <c r="F48" i="2" s="1"/>
  <c r="H55" i="2"/>
  <c r="F55" i="2" s="1"/>
  <c r="H67" i="2"/>
  <c r="N69" i="2"/>
  <c r="L70" i="2"/>
  <c r="J71" i="2"/>
  <c r="F73" i="2"/>
  <c r="N75" i="2"/>
  <c r="J77" i="2"/>
  <c r="M66" i="2"/>
  <c r="E66" i="2"/>
  <c r="K66" i="2"/>
  <c r="C66" i="2"/>
  <c r="J66" i="2"/>
  <c r="O67" i="2"/>
  <c r="G67" i="2"/>
  <c r="I73" i="2"/>
  <c r="M67" i="2"/>
  <c r="E67" i="2"/>
  <c r="L67" i="2"/>
  <c r="D67" i="2"/>
  <c r="M81" i="2"/>
  <c r="O71" i="2"/>
  <c r="G71" i="2"/>
  <c r="I77" i="2"/>
  <c r="M71" i="2"/>
  <c r="E71" i="2"/>
  <c r="J78" i="2"/>
  <c r="L71" i="2"/>
  <c r="D71" i="2"/>
  <c r="I72" i="2"/>
  <c r="I80" i="2"/>
  <c r="M74" i="2"/>
  <c r="E74" i="2"/>
  <c r="K74" i="2"/>
  <c r="C74" i="2"/>
  <c r="J74" i="2"/>
  <c r="O89" i="2"/>
  <c r="E86" i="2"/>
  <c r="I84" i="2"/>
  <c r="F87" i="2"/>
  <c r="H84" i="2"/>
  <c r="G88" i="2"/>
  <c r="O84" i="2"/>
  <c r="G84" i="2"/>
  <c r="N84" i="2"/>
  <c r="F84" i="2"/>
  <c r="H6" i="3"/>
  <c r="H15" i="3"/>
  <c r="E17" i="3"/>
  <c r="E47" i="3" s="1"/>
  <c r="C47" i="3" s="1"/>
  <c r="R17" i="3"/>
  <c r="R49" i="3"/>
  <c r="E49" i="3"/>
  <c r="C49" i="3" s="1"/>
  <c r="L30" i="3"/>
  <c r="H39" i="2"/>
  <c r="F39" i="2" s="1"/>
  <c r="E49" i="2"/>
  <c r="C49" i="2" s="1"/>
  <c r="E51" i="2"/>
  <c r="C51" i="2" s="1"/>
  <c r="L72" i="2"/>
  <c r="M70" i="2"/>
  <c r="E70" i="2"/>
  <c r="K78" i="2"/>
  <c r="K70" i="2"/>
  <c r="C70" i="2"/>
  <c r="J70" i="2"/>
  <c r="K115" i="2"/>
  <c r="K131" i="2"/>
  <c r="K147" i="2"/>
  <c r="K163" i="2"/>
  <c r="K179" i="2"/>
  <c r="K195" i="2"/>
  <c r="K211" i="2"/>
  <c r="K227" i="2"/>
  <c r="AH13" i="3"/>
  <c r="AH14" i="3" s="1"/>
  <c r="Z16" i="3" s="1"/>
  <c r="Z17" i="3" s="1"/>
  <c r="R15" i="3"/>
  <c r="R13" i="3"/>
  <c r="R11" i="3"/>
  <c r="R8" i="3"/>
  <c r="R6" i="3"/>
  <c r="R25" i="3"/>
  <c r="L21" i="3"/>
  <c r="R18" i="3"/>
  <c r="L15" i="3"/>
  <c r="R14" i="3"/>
  <c r="L13" i="3"/>
  <c r="L11" i="3"/>
  <c r="R9" i="3"/>
  <c r="L8" i="3"/>
  <c r="L6" i="3"/>
  <c r="R34" i="3"/>
  <c r="R26" i="3"/>
  <c r="R20" i="3"/>
  <c r="R12" i="3"/>
  <c r="R10" i="3"/>
  <c r="R45" i="3"/>
  <c r="R27" i="3"/>
  <c r="L27" i="3"/>
  <c r="L46" i="3"/>
  <c r="E27" i="2"/>
  <c r="C27" i="2" s="1"/>
  <c r="L38" i="3"/>
  <c r="L33" i="3"/>
  <c r="R35" i="3"/>
  <c r="L41" i="3"/>
  <c r="R43" i="3"/>
  <c r="L49" i="3"/>
  <c r="L51" i="3"/>
  <c r="L40" i="3"/>
  <c r="R42" i="3"/>
  <c r="L48" i="3"/>
  <c r="R50" i="3"/>
  <c r="F68" i="2"/>
  <c r="N68" i="2"/>
  <c r="F72" i="2"/>
  <c r="N72" i="2"/>
  <c r="H73" i="2"/>
  <c r="F76" i="2"/>
  <c r="N76" i="2"/>
  <c r="H77" i="2"/>
  <c r="D79" i="2"/>
  <c r="L79" i="2"/>
  <c r="J86" i="2"/>
  <c r="D87" i="2"/>
  <c r="L87" i="2"/>
  <c r="N88" i="2"/>
  <c r="L5" i="3"/>
  <c r="L16" i="3"/>
  <c r="R23" i="3"/>
  <c r="L29" i="3"/>
  <c r="R31" i="3"/>
  <c r="L37" i="3"/>
  <c r="R39" i="3"/>
  <c r="L45" i="3"/>
  <c r="R47" i="3"/>
  <c r="G68" i="2"/>
  <c r="O68" i="2"/>
  <c r="G72" i="2"/>
  <c r="O72" i="2"/>
  <c r="G76" i="2"/>
  <c r="O76" i="2"/>
  <c r="E79" i="2"/>
  <c r="M79" i="2"/>
  <c r="G80" i="2"/>
  <c r="O80" i="2"/>
  <c r="I85" i="2"/>
  <c r="E87" i="2"/>
  <c r="M87" i="2"/>
  <c r="R5" i="3"/>
  <c r="L9" i="3"/>
  <c r="L14" i="3"/>
  <c r="R16" i="3"/>
  <c r="L18" i="3"/>
  <c r="L26" i="3"/>
  <c r="R28" i="3"/>
  <c r="L34" i="3"/>
  <c r="R36" i="3"/>
  <c r="L42" i="3"/>
  <c r="R44" i="3"/>
  <c r="L50" i="3"/>
  <c r="R51" i="3"/>
  <c r="R52" i="3"/>
  <c r="R54" i="3"/>
  <c r="L31" i="3"/>
  <c r="R33" i="3"/>
  <c r="L39" i="3"/>
  <c r="R41" i="3"/>
  <c r="L47" i="3"/>
  <c r="I68" i="2"/>
  <c r="I76" i="2"/>
  <c r="E78" i="2"/>
  <c r="G79" i="2"/>
  <c r="G87" i="2"/>
  <c r="L55" i="3"/>
  <c r="R55" i="3"/>
  <c r="L53" i="3"/>
  <c r="L54" i="3"/>
  <c r="R21" i="3"/>
  <c r="R22" i="3"/>
  <c r="L28" i="3"/>
  <c r="R30" i="3"/>
  <c r="L36" i="3"/>
  <c r="R38" i="3"/>
  <c r="L44" i="3"/>
  <c r="R46" i="3"/>
  <c r="R53" i="3"/>
  <c r="F1168" i="3" l="1"/>
  <c r="F1164" i="3"/>
  <c r="F1174" i="3"/>
  <c r="F1172" i="3"/>
  <c r="F1169" i="3"/>
  <c r="F1165" i="3"/>
  <c r="F1175" i="3"/>
  <c r="F1173" i="3"/>
  <c r="F1171" i="3"/>
  <c r="F1167" i="3"/>
  <c r="F1166" i="3"/>
  <c r="F1170" i="3"/>
  <c r="F358" i="3"/>
  <c r="F354" i="3"/>
  <c r="F350" i="3"/>
  <c r="F359" i="3"/>
  <c r="F355" i="3"/>
  <c r="F351" i="3"/>
  <c r="F357" i="3"/>
  <c r="F348" i="3"/>
  <c r="F352" i="3"/>
  <c r="F353" i="3"/>
  <c r="F349" i="3"/>
  <c r="F356" i="3"/>
  <c r="F1103" i="3"/>
  <c r="F1098" i="3"/>
  <c r="F1094" i="3"/>
  <c r="F1102" i="3"/>
  <c r="F1099" i="3"/>
  <c r="F1095" i="3"/>
  <c r="F1100" i="3"/>
  <c r="F1097" i="3"/>
  <c r="F1093" i="3"/>
  <c r="F1101" i="3"/>
  <c r="F1092" i="3"/>
  <c r="F1096" i="3"/>
  <c r="F283" i="3"/>
  <c r="F282" i="3"/>
  <c r="F281" i="3"/>
  <c r="F278" i="3"/>
  <c r="F280" i="3"/>
  <c r="F277" i="3"/>
  <c r="F286" i="3"/>
  <c r="F276" i="3"/>
  <c r="F285" i="3"/>
  <c r="F287" i="3"/>
  <c r="F284" i="3"/>
  <c r="F279" i="3"/>
  <c r="F1281" i="3"/>
  <c r="F1277" i="3"/>
  <c r="F1273" i="3"/>
  <c r="F1282" i="3"/>
  <c r="F1278" i="3"/>
  <c r="F1274" i="3"/>
  <c r="F1283" i="3"/>
  <c r="F1279" i="3"/>
  <c r="F1275" i="3"/>
  <c r="F1272" i="3"/>
  <c r="F1280" i="3"/>
  <c r="F1276" i="3"/>
  <c r="F467" i="3"/>
  <c r="F463" i="3"/>
  <c r="F465" i="3"/>
  <c r="F462" i="3"/>
  <c r="F461" i="3"/>
  <c r="F457" i="3"/>
  <c r="F466" i="3"/>
  <c r="F456" i="3"/>
  <c r="F464" i="3"/>
  <c r="F458" i="3"/>
  <c r="F460" i="3"/>
  <c r="F459" i="3"/>
  <c r="L244" i="2"/>
  <c r="U244" i="2" s="1"/>
  <c r="F955" i="3"/>
  <c r="F950" i="3"/>
  <c r="F956" i="3"/>
  <c r="F949" i="3"/>
  <c r="F957" i="3"/>
  <c r="F958" i="3"/>
  <c r="F959" i="3"/>
  <c r="F953" i="3"/>
  <c r="F952" i="3"/>
  <c r="F954" i="3"/>
  <c r="F951" i="3"/>
  <c r="F948" i="3"/>
  <c r="F143" i="3"/>
  <c r="F140" i="3"/>
  <c r="F133" i="3"/>
  <c r="F142" i="3"/>
  <c r="F139" i="3"/>
  <c r="F136" i="3"/>
  <c r="F138" i="3"/>
  <c r="F135" i="3"/>
  <c r="F132" i="3"/>
  <c r="F141" i="3"/>
  <c r="F134" i="3"/>
  <c r="F137" i="3"/>
  <c r="L133" i="2"/>
  <c r="Q133" i="2" s="1"/>
  <c r="L131" i="2"/>
  <c r="Q131" i="2" s="1"/>
  <c r="F1245" i="3"/>
  <c r="F1241" i="3"/>
  <c r="F1240" i="3"/>
  <c r="F1243" i="3"/>
  <c r="F1242" i="3"/>
  <c r="F1239" i="3"/>
  <c r="F1244" i="3"/>
  <c r="F1238" i="3"/>
  <c r="F1237" i="3"/>
  <c r="F1236" i="3"/>
  <c r="F1247" i="3"/>
  <c r="F1246" i="3"/>
  <c r="F422" i="3"/>
  <c r="F431" i="3"/>
  <c r="F421" i="3"/>
  <c r="F430" i="3"/>
  <c r="F420" i="3"/>
  <c r="F429" i="3"/>
  <c r="F425" i="3"/>
  <c r="F424" i="3"/>
  <c r="F423" i="3"/>
  <c r="F426" i="3"/>
  <c r="F428" i="3"/>
  <c r="F427" i="3"/>
  <c r="E224" i="2"/>
  <c r="E156" i="2"/>
  <c r="E243" i="2"/>
  <c r="E175" i="2"/>
  <c r="E46" i="3"/>
  <c r="C46" i="3" s="1"/>
  <c r="E32" i="3"/>
  <c r="C32" i="3" s="1"/>
  <c r="E26" i="3"/>
  <c r="C26" i="3" s="1"/>
  <c r="E129" i="2"/>
  <c r="E197" i="2"/>
  <c r="E193" i="2"/>
  <c r="E125" i="2"/>
  <c r="E187" i="2"/>
  <c r="E119" i="2"/>
  <c r="E217" i="2"/>
  <c r="E149" i="2"/>
  <c r="C118" i="3"/>
  <c r="AC9" i="3" s="1"/>
  <c r="E123" i="2"/>
  <c r="E191" i="2"/>
  <c r="J233" i="2"/>
  <c r="I233" i="2"/>
  <c r="J155" i="2"/>
  <c r="I155" i="2"/>
  <c r="M155" i="2" s="1"/>
  <c r="J177" i="2"/>
  <c r="I177" i="2"/>
  <c r="I162" i="2"/>
  <c r="J162" i="2"/>
  <c r="J221" i="2"/>
  <c r="I221" i="2"/>
  <c r="J214" i="2"/>
  <c r="I214" i="2"/>
  <c r="M214" i="2" s="1"/>
  <c r="I215" i="2"/>
  <c r="J215" i="2"/>
  <c r="J176" i="2"/>
  <c r="I176" i="2"/>
  <c r="J201" i="2"/>
  <c r="I201" i="2"/>
  <c r="J202" i="2"/>
  <c r="I202" i="2"/>
  <c r="J113" i="2"/>
  <c r="I113" i="2"/>
  <c r="J114" i="2"/>
  <c r="I114" i="2"/>
  <c r="J141" i="2"/>
  <c r="I141" i="2"/>
  <c r="J134" i="2"/>
  <c r="I134" i="2"/>
  <c r="M134" i="2" s="1"/>
  <c r="I127" i="2"/>
  <c r="J127" i="2"/>
  <c r="I120" i="2"/>
  <c r="J120" i="2"/>
  <c r="E22" i="3"/>
  <c r="C22" i="3" s="1"/>
  <c r="E30" i="3"/>
  <c r="C30" i="3" s="1"/>
  <c r="E25" i="3"/>
  <c r="C25" i="3" s="1"/>
  <c r="E177" i="2"/>
  <c r="E245" i="2"/>
  <c r="E232" i="2"/>
  <c r="E164" i="2"/>
  <c r="E130" i="2"/>
  <c r="E198" i="2"/>
  <c r="E51" i="3"/>
  <c r="C51" i="3" s="1"/>
  <c r="E40" i="3"/>
  <c r="C40" i="3" s="1"/>
  <c r="E34" i="3"/>
  <c r="C34" i="3" s="1"/>
  <c r="G1749" i="3"/>
  <c r="G1750" i="3"/>
  <c r="G1751" i="3"/>
  <c r="G1748" i="3"/>
  <c r="G1744" i="3"/>
  <c r="G1740" i="3"/>
  <c r="G1736" i="3"/>
  <c r="G1732" i="3"/>
  <c r="G1728" i="3"/>
  <c r="G1724" i="3"/>
  <c r="G1720" i="3"/>
  <c r="G1716" i="3"/>
  <c r="G1712" i="3"/>
  <c r="G1708" i="3"/>
  <c r="G1704" i="3"/>
  <c r="G1739" i="3"/>
  <c r="G1737" i="3"/>
  <c r="G1722" i="3"/>
  <c r="G1735" i="3"/>
  <c r="G1733" i="3"/>
  <c r="G1718" i="3"/>
  <c r="G1703" i="3"/>
  <c r="G1699" i="3"/>
  <c r="G1695" i="3"/>
  <c r="G1746" i="3"/>
  <c r="G1731" i="3"/>
  <c r="G1729" i="3"/>
  <c r="G1714" i="3"/>
  <c r="G1742" i="3"/>
  <c r="G1727" i="3"/>
  <c r="G1725" i="3"/>
  <c r="G1710" i="3"/>
  <c r="G1738" i="3"/>
  <c r="G1723" i="3"/>
  <c r="G1721" i="3"/>
  <c r="G1747" i="3"/>
  <c r="G1745" i="3"/>
  <c r="G1730" i="3"/>
  <c r="G1715" i="3"/>
  <c r="G1713" i="3"/>
  <c r="G1743" i="3"/>
  <c r="G1741" i="3"/>
  <c r="G1726" i="3"/>
  <c r="G1711" i="3"/>
  <c r="G1709" i="3"/>
  <c r="G1702" i="3"/>
  <c r="G1698" i="3"/>
  <c r="G1694" i="3"/>
  <c r="G1717" i="3"/>
  <c r="G1705" i="3"/>
  <c r="G1701" i="3"/>
  <c r="G1719" i="3"/>
  <c r="G1700" i="3"/>
  <c r="G1697" i="3"/>
  <c r="G1690" i="3"/>
  <c r="G1686" i="3"/>
  <c r="G1682" i="3"/>
  <c r="G1678" i="3"/>
  <c r="G1674" i="3"/>
  <c r="G1670" i="3"/>
  <c r="G1666" i="3"/>
  <c r="G1662" i="3"/>
  <c r="G1696" i="3"/>
  <c r="G1693" i="3"/>
  <c r="G1691" i="3"/>
  <c r="G1687" i="3"/>
  <c r="G1683" i="3"/>
  <c r="G1679" i="3"/>
  <c r="G1675" i="3"/>
  <c r="G1671" i="3"/>
  <c r="G1667" i="3"/>
  <c r="G1663" i="3"/>
  <c r="G1665" i="3"/>
  <c r="G1659" i="3"/>
  <c r="G1655" i="3"/>
  <c r="G1651" i="3"/>
  <c r="G1647" i="3"/>
  <c r="G1643" i="3"/>
  <c r="G1639" i="3"/>
  <c r="G1635" i="3"/>
  <c r="G1631" i="3"/>
  <c r="G1734" i="3"/>
  <c r="G1689" i="3"/>
  <c r="G1685" i="3"/>
  <c r="G1681" i="3"/>
  <c r="G1677" i="3"/>
  <c r="G1673" i="3"/>
  <c r="G1706" i="3"/>
  <c r="G1669" i="3"/>
  <c r="G1684" i="3"/>
  <c r="G1668" i="3"/>
  <c r="G1664" i="3"/>
  <c r="G1672" i="3"/>
  <c r="G1661" i="3"/>
  <c r="G1652" i="3"/>
  <c r="G1644" i="3"/>
  <c r="G1642" i="3"/>
  <c r="G1640" i="3"/>
  <c r="G1627" i="3"/>
  <c r="G1623" i="3"/>
  <c r="G1619" i="3"/>
  <c r="G1615" i="3"/>
  <c r="G1611" i="3"/>
  <c r="G1607" i="3"/>
  <c r="G1603" i="3"/>
  <c r="G1692" i="3"/>
  <c r="G1680" i="3"/>
  <c r="G1634" i="3"/>
  <c r="G1632" i="3"/>
  <c r="G1624" i="3"/>
  <c r="G1620" i="3"/>
  <c r="G1616" i="3"/>
  <c r="G1612" i="3"/>
  <c r="G1608" i="3"/>
  <c r="G1630" i="3"/>
  <c r="G1628" i="3"/>
  <c r="G1688" i="3"/>
  <c r="G1657" i="3"/>
  <c r="G1656" i="3"/>
  <c r="G1650" i="3"/>
  <c r="G1649" i="3"/>
  <c r="G1646" i="3"/>
  <c r="G1641" i="3"/>
  <c r="G1676" i="3"/>
  <c r="G1658" i="3"/>
  <c r="G1648" i="3"/>
  <c r="G1637" i="3"/>
  <c r="G1633" i="3"/>
  <c r="G1621" i="3"/>
  <c r="G1618" i="3"/>
  <c r="G1636" i="3"/>
  <c r="G1645" i="3"/>
  <c r="G1617" i="3"/>
  <c r="G1614" i="3"/>
  <c r="G1605" i="3"/>
  <c r="G1597" i="3"/>
  <c r="G1593" i="3"/>
  <c r="G1589" i="3"/>
  <c r="G1585" i="3"/>
  <c r="G1581" i="3"/>
  <c r="G1577" i="3"/>
  <c r="G1573" i="3"/>
  <c r="G1569" i="3"/>
  <c r="G1565" i="3"/>
  <c r="G1561" i="3"/>
  <c r="G1557" i="3"/>
  <c r="G1553" i="3"/>
  <c r="G1549" i="3"/>
  <c r="G1545" i="3"/>
  <c r="G1541" i="3"/>
  <c r="G1654" i="3"/>
  <c r="G1601" i="3"/>
  <c r="G1707" i="3"/>
  <c r="G1660" i="3"/>
  <c r="G1653" i="3"/>
  <c r="G1638" i="3"/>
  <c r="G1622" i="3"/>
  <c r="G1609" i="3"/>
  <c r="G1606" i="3"/>
  <c r="G1604" i="3"/>
  <c r="G1599" i="3"/>
  <c r="G1595" i="3"/>
  <c r="G1591" i="3"/>
  <c r="G1587" i="3"/>
  <c r="G1583" i="3"/>
  <c r="G1579" i="3"/>
  <c r="G1575" i="3"/>
  <c r="G1571" i="3"/>
  <c r="G1567" i="3"/>
  <c r="G1563" i="3"/>
  <c r="G1559" i="3"/>
  <c r="G1555" i="3"/>
  <c r="G1551" i="3"/>
  <c r="G1547" i="3"/>
  <c r="G1543" i="3"/>
  <c r="G1625" i="3"/>
  <c r="G1568" i="3"/>
  <c r="G1550" i="3"/>
  <c r="G1576" i="3"/>
  <c r="G1574" i="3"/>
  <c r="G1566" i="3"/>
  <c r="G1556" i="3"/>
  <c r="G1537" i="3"/>
  <c r="G1533" i="3"/>
  <c r="G1529" i="3"/>
  <c r="G1525" i="3"/>
  <c r="G1521" i="3"/>
  <c r="G1517" i="3"/>
  <c r="G1513" i="3"/>
  <c r="G1509" i="3"/>
  <c r="G1505" i="3"/>
  <c r="G1501" i="3"/>
  <c r="G1497" i="3"/>
  <c r="G1493" i="3"/>
  <c r="G1489" i="3"/>
  <c r="G1485" i="3"/>
  <c r="G1610" i="3"/>
  <c r="G1598" i="3"/>
  <c r="G1594" i="3"/>
  <c r="G1590" i="3"/>
  <c r="G1586" i="3"/>
  <c r="G1582" i="3"/>
  <c r="G1578" i="3"/>
  <c r="G1562" i="3"/>
  <c r="G1602" i="3"/>
  <c r="G1552" i="3"/>
  <c r="G1538" i="3"/>
  <c r="G1534" i="3"/>
  <c r="G1530" i="3"/>
  <c r="G1526" i="3"/>
  <c r="G1522" i="3"/>
  <c r="G1518" i="3"/>
  <c r="G1514" i="3"/>
  <c r="G1510" i="3"/>
  <c r="G1506" i="3"/>
  <c r="G1502" i="3"/>
  <c r="G1498" i="3"/>
  <c r="G1494" i="3"/>
  <c r="G1490" i="3"/>
  <c r="G1486" i="3"/>
  <c r="G1572" i="3"/>
  <c r="G1558" i="3"/>
  <c r="G1626" i="3"/>
  <c r="G1570" i="3"/>
  <c r="G1564" i="3"/>
  <c r="G1548" i="3"/>
  <c r="G1542" i="3"/>
  <c r="G1539" i="3"/>
  <c r="G1535" i="3"/>
  <c r="G1531" i="3"/>
  <c r="G1527" i="3"/>
  <c r="G1523" i="3"/>
  <c r="G1519" i="3"/>
  <c r="G1515" i="3"/>
  <c r="G1629" i="3"/>
  <c r="G1600" i="3"/>
  <c r="G1596" i="3"/>
  <c r="G1592" i="3"/>
  <c r="G1588" i="3"/>
  <c r="G1584" i="3"/>
  <c r="G1580" i="3"/>
  <c r="G1540" i="3"/>
  <c r="G1511" i="3"/>
  <c r="G1508" i="3"/>
  <c r="G1495" i="3"/>
  <c r="G1492" i="3"/>
  <c r="G1480" i="3"/>
  <c r="G1532" i="3"/>
  <c r="G1520" i="3"/>
  <c r="G1546" i="3"/>
  <c r="G1507" i="3"/>
  <c r="G1504" i="3"/>
  <c r="G1491" i="3"/>
  <c r="G1488" i="3"/>
  <c r="G1613" i="3"/>
  <c r="G1544" i="3"/>
  <c r="G1528" i="3"/>
  <c r="G1560" i="3"/>
  <c r="G1516" i="3"/>
  <c r="G1503" i="3"/>
  <c r="G1500" i="3"/>
  <c r="G1482" i="3"/>
  <c r="G1477" i="3"/>
  <c r="G1473" i="3"/>
  <c r="G1469" i="3"/>
  <c r="G1465" i="3"/>
  <c r="G1461" i="3"/>
  <c r="G1457" i="3"/>
  <c r="G1453" i="3"/>
  <c r="G1449" i="3"/>
  <c r="G1445" i="3"/>
  <c r="G1441" i="3"/>
  <c r="G1536" i="3"/>
  <c r="G1496" i="3"/>
  <c r="G1487" i="3"/>
  <c r="G1478" i="3"/>
  <c r="G1474" i="3"/>
  <c r="G1470" i="3"/>
  <c r="G1466" i="3"/>
  <c r="G1462" i="3"/>
  <c r="G1458" i="3"/>
  <c r="G1454" i="3"/>
  <c r="G1450" i="3"/>
  <c r="G1446" i="3"/>
  <c r="G1442" i="3"/>
  <c r="G1438" i="3"/>
  <c r="G1484" i="3"/>
  <c r="G1524" i="3"/>
  <c r="G1483" i="3"/>
  <c r="G1481" i="3"/>
  <c r="G1475" i="3"/>
  <c r="G1471" i="3"/>
  <c r="G1467" i="3"/>
  <c r="G1463" i="3"/>
  <c r="G1459" i="3"/>
  <c r="G1455" i="3"/>
  <c r="G1451" i="3"/>
  <c r="G1447" i="3"/>
  <c r="G1443" i="3"/>
  <c r="G1439" i="3"/>
  <c r="G1435" i="3"/>
  <c r="G1431" i="3"/>
  <c r="G1427" i="3"/>
  <c r="G1423" i="3"/>
  <c r="G1419" i="3"/>
  <c r="G1415" i="3"/>
  <c r="G1411" i="3"/>
  <c r="G1407" i="3"/>
  <c r="G1403" i="3"/>
  <c r="G1499" i="3"/>
  <c r="G1476" i="3"/>
  <c r="G1472" i="3"/>
  <c r="G1468" i="3"/>
  <c r="G1464" i="3"/>
  <c r="G1460" i="3"/>
  <c r="G1456" i="3"/>
  <c r="G1452" i="3"/>
  <c r="G1448" i="3"/>
  <c r="G1444" i="3"/>
  <c r="G1440" i="3"/>
  <c r="G1436" i="3"/>
  <c r="G1432" i="3"/>
  <c r="G1428" i="3"/>
  <c r="G1424" i="3"/>
  <c r="G1420" i="3"/>
  <c r="G1416" i="3"/>
  <c r="G1412" i="3"/>
  <c r="G1408" i="3"/>
  <c r="G1404" i="3"/>
  <c r="G1479" i="3"/>
  <c r="G1430" i="3"/>
  <c r="G1417" i="3"/>
  <c r="G1414" i="3"/>
  <c r="G1437" i="3"/>
  <c r="G1429" i="3"/>
  <c r="G1401" i="3"/>
  <c r="G1397" i="3"/>
  <c r="G1393" i="3"/>
  <c r="G1389" i="3"/>
  <c r="G1385" i="3"/>
  <c r="G1381" i="3"/>
  <c r="G1377" i="3"/>
  <c r="G1373" i="3"/>
  <c r="G1369" i="3"/>
  <c r="G1365" i="3"/>
  <c r="G1361" i="3"/>
  <c r="G1357" i="3"/>
  <c r="G1353" i="3"/>
  <c r="G1349" i="3"/>
  <c r="G1554" i="3"/>
  <c r="G1413" i="3"/>
  <c r="G1410" i="3"/>
  <c r="G1398" i="3"/>
  <c r="G1394" i="3"/>
  <c r="G1390" i="3"/>
  <c r="G1434" i="3"/>
  <c r="G1426" i="3"/>
  <c r="G1422" i="3"/>
  <c r="G1409" i="3"/>
  <c r="G1406" i="3"/>
  <c r="G1433" i="3"/>
  <c r="G1425" i="3"/>
  <c r="G1399" i="3"/>
  <c r="G1395" i="3"/>
  <c r="G1391" i="3"/>
  <c r="G1387" i="3"/>
  <c r="G1383" i="3"/>
  <c r="G1379" i="3"/>
  <c r="G1375" i="3"/>
  <c r="G1371" i="3"/>
  <c r="G1367" i="3"/>
  <c r="G1363" i="3"/>
  <c r="G1359" i="3"/>
  <c r="G1355" i="3"/>
  <c r="G1351" i="3"/>
  <c r="G1347" i="3"/>
  <c r="G1396" i="3"/>
  <c r="G1372" i="3"/>
  <c r="G1364" i="3"/>
  <c r="G1354" i="3"/>
  <c r="G1512" i="3"/>
  <c r="G1405" i="3"/>
  <c r="G1378" i="3"/>
  <c r="G1376" i="3"/>
  <c r="G1370" i="3"/>
  <c r="G1360" i="3"/>
  <c r="G1350" i="3"/>
  <c r="G1421" i="3"/>
  <c r="G1382" i="3"/>
  <c r="G1380" i="3"/>
  <c r="G1356" i="3"/>
  <c r="G1402" i="3"/>
  <c r="G1400" i="3"/>
  <c r="G1368" i="3"/>
  <c r="G1362" i="3"/>
  <c r="G1346" i="3"/>
  <c r="G1386" i="3"/>
  <c r="G1384" i="3"/>
  <c r="G1366" i="3"/>
  <c r="G1352" i="3"/>
  <c r="G1344" i="3"/>
  <c r="G1418" i="3"/>
  <c r="G1358" i="3"/>
  <c r="G1392" i="3"/>
  <c r="G1374" i="3"/>
  <c r="G1345" i="3"/>
  <c r="G1348" i="3"/>
  <c r="G1388" i="3"/>
  <c r="G934" i="3"/>
  <c r="G930" i="3"/>
  <c r="G926" i="3"/>
  <c r="G922" i="3"/>
  <c r="G918" i="3"/>
  <c r="G914" i="3"/>
  <c r="G910" i="3"/>
  <c r="G906" i="3"/>
  <c r="G902" i="3"/>
  <c r="G898" i="3"/>
  <c r="G894" i="3"/>
  <c r="G890" i="3"/>
  <c r="G886" i="3"/>
  <c r="G882" i="3"/>
  <c r="G878" i="3"/>
  <c r="G874" i="3"/>
  <c r="G870" i="3"/>
  <c r="G866" i="3"/>
  <c r="G862" i="3"/>
  <c r="G858" i="3"/>
  <c r="G854" i="3"/>
  <c r="G850" i="3"/>
  <c r="G846" i="3"/>
  <c r="G842" i="3"/>
  <c r="G838" i="3"/>
  <c r="G834" i="3"/>
  <c r="G830" i="3"/>
  <c r="G826" i="3"/>
  <c r="G822" i="3"/>
  <c r="G818" i="3"/>
  <c r="G814" i="3"/>
  <c r="G810" i="3"/>
  <c r="G806" i="3"/>
  <c r="G802" i="3"/>
  <c r="G798" i="3"/>
  <c r="G794" i="3"/>
  <c r="G935" i="3"/>
  <c r="G931" i="3"/>
  <c r="G927" i="3"/>
  <c r="G923" i="3"/>
  <c r="G919" i="3"/>
  <c r="G915" i="3"/>
  <c r="G911" i="3"/>
  <c r="G907" i="3"/>
  <c r="G903" i="3"/>
  <c r="G899" i="3"/>
  <c r="G895" i="3"/>
  <c r="G891" i="3"/>
  <c r="G887" i="3"/>
  <c r="G883" i="3"/>
  <c r="G879" i="3"/>
  <c r="G875" i="3"/>
  <c r="G871" i="3"/>
  <c r="G867" i="3"/>
  <c r="G863" i="3"/>
  <c r="G859" i="3"/>
  <c r="G855" i="3"/>
  <c r="G851" i="3"/>
  <c r="G847" i="3"/>
  <c r="G843" i="3"/>
  <c r="G839" i="3"/>
  <c r="G835" i="3"/>
  <c r="G831" i="3"/>
  <c r="G827" i="3"/>
  <c r="G823" i="3"/>
  <c r="G819" i="3"/>
  <c r="G815" i="3"/>
  <c r="G811" i="3"/>
  <c r="G807" i="3"/>
  <c r="G803" i="3"/>
  <c r="G799" i="3"/>
  <c r="G795" i="3"/>
  <c r="G932" i="3"/>
  <c r="G928" i="3"/>
  <c r="G924" i="3"/>
  <c r="G920" i="3"/>
  <c r="G916" i="3"/>
  <c r="G912" i="3"/>
  <c r="G908" i="3"/>
  <c r="G904" i="3"/>
  <c r="G900" i="3"/>
  <c r="G896" i="3"/>
  <c r="G892" i="3"/>
  <c r="G888" i="3"/>
  <c r="G884" i="3"/>
  <c r="G880" i="3"/>
  <c r="G876" i="3"/>
  <c r="G872" i="3"/>
  <c r="G868" i="3"/>
  <c r="G864" i="3"/>
  <c r="G860" i="3"/>
  <c r="G856" i="3"/>
  <c r="G852" i="3"/>
  <c r="G848" i="3"/>
  <c r="G844" i="3"/>
  <c r="G840" i="3"/>
  <c r="G836" i="3"/>
  <c r="G832" i="3"/>
  <c r="G828" i="3"/>
  <c r="G824" i="3"/>
  <c r="G820" i="3"/>
  <c r="G816" i="3"/>
  <c r="G812" i="3"/>
  <c r="G808" i="3"/>
  <c r="G804" i="3"/>
  <c r="G800" i="3"/>
  <c r="G796" i="3"/>
  <c r="G933" i="3"/>
  <c r="G905" i="3"/>
  <c r="G873" i="3"/>
  <c r="G841" i="3"/>
  <c r="G809" i="3"/>
  <c r="G929" i="3"/>
  <c r="G909" i="3"/>
  <c r="G861" i="3"/>
  <c r="G829" i="3"/>
  <c r="G797" i="3"/>
  <c r="G791" i="3"/>
  <c r="G787" i="3"/>
  <c r="G783" i="3"/>
  <c r="G779" i="3"/>
  <c r="G775" i="3"/>
  <c r="G771" i="3"/>
  <c r="G767" i="3"/>
  <c r="G763" i="3"/>
  <c r="G759" i="3"/>
  <c r="G755" i="3"/>
  <c r="G751" i="3"/>
  <c r="G747" i="3"/>
  <c r="G743" i="3"/>
  <c r="G739" i="3"/>
  <c r="G735" i="3"/>
  <c r="G731" i="3"/>
  <c r="G727" i="3"/>
  <c r="G723" i="3"/>
  <c r="G719" i="3"/>
  <c r="G715" i="3"/>
  <c r="G711" i="3"/>
  <c r="G707" i="3"/>
  <c r="G703" i="3"/>
  <c r="G699" i="3"/>
  <c r="G695" i="3"/>
  <c r="G691" i="3"/>
  <c r="G687" i="3"/>
  <c r="G683" i="3"/>
  <c r="G679" i="3"/>
  <c r="G675" i="3"/>
  <c r="G913" i="3"/>
  <c r="G849" i="3"/>
  <c r="G817" i="3"/>
  <c r="G917" i="3"/>
  <c r="G885" i="3"/>
  <c r="G881" i="3"/>
  <c r="G869" i="3"/>
  <c r="G837" i="3"/>
  <c r="G805" i="3"/>
  <c r="G792" i="3"/>
  <c r="G788" i="3"/>
  <c r="G784" i="3"/>
  <c r="G780" i="3"/>
  <c r="G776" i="3"/>
  <c r="G772" i="3"/>
  <c r="G768" i="3"/>
  <c r="G764" i="3"/>
  <c r="G760" i="3"/>
  <c r="G756" i="3"/>
  <c r="G752" i="3"/>
  <c r="G748" i="3"/>
  <c r="G744" i="3"/>
  <c r="G740" i="3"/>
  <c r="G736" i="3"/>
  <c r="G732" i="3"/>
  <c r="G728" i="3"/>
  <c r="G724" i="3"/>
  <c r="G720" i="3"/>
  <c r="G716" i="3"/>
  <c r="G712" i="3"/>
  <c r="G708" i="3"/>
  <c r="G921" i="3"/>
  <c r="G889" i="3"/>
  <c r="G857" i="3"/>
  <c r="G825" i="3"/>
  <c r="G897" i="3"/>
  <c r="G865" i="3"/>
  <c r="G833" i="3"/>
  <c r="G801" i="3"/>
  <c r="G901" i="3"/>
  <c r="G853" i="3"/>
  <c r="G821" i="3"/>
  <c r="G790" i="3"/>
  <c r="G786" i="3"/>
  <c r="G782" i="3"/>
  <c r="G778" i="3"/>
  <c r="G774" i="3"/>
  <c r="G770" i="3"/>
  <c r="G766" i="3"/>
  <c r="G762" i="3"/>
  <c r="G758" i="3"/>
  <c r="G754" i="3"/>
  <c r="G750" i="3"/>
  <c r="G746" i="3"/>
  <c r="G742" i="3"/>
  <c r="G738" i="3"/>
  <c r="G734" i="3"/>
  <c r="G730" i="3"/>
  <c r="G726" i="3"/>
  <c r="G722" i="3"/>
  <c r="G718" i="3"/>
  <c r="G714" i="3"/>
  <c r="G710" i="3"/>
  <c r="G706" i="3"/>
  <c r="G702" i="3"/>
  <c r="G698" i="3"/>
  <c r="G694" i="3"/>
  <c r="G690" i="3"/>
  <c r="G686" i="3"/>
  <c r="G682" i="3"/>
  <c r="G678" i="3"/>
  <c r="G674" i="3"/>
  <c r="G813" i="3"/>
  <c r="G781" i="3"/>
  <c r="G749" i="3"/>
  <c r="G721" i="3"/>
  <c r="G671" i="3"/>
  <c r="G667" i="3"/>
  <c r="G663" i="3"/>
  <c r="G659" i="3"/>
  <c r="G655" i="3"/>
  <c r="G651" i="3"/>
  <c r="G647" i="3"/>
  <c r="G643" i="3"/>
  <c r="G639" i="3"/>
  <c r="G635" i="3"/>
  <c r="G631" i="3"/>
  <c r="G627" i="3"/>
  <c r="G623" i="3"/>
  <c r="G619" i="3"/>
  <c r="G615" i="3"/>
  <c r="G611" i="3"/>
  <c r="G607" i="3"/>
  <c r="G603" i="3"/>
  <c r="G599" i="3"/>
  <c r="G595" i="3"/>
  <c r="G591" i="3"/>
  <c r="G587" i="3"/>
  <c r="G583" i="3"/>
  <c r="G579" i="3"/>
  <c r="G575" i="3"/>
  <c r="G571" i="3"/>
  <c r="G567" i="3"/>
  <c r="G563" i="3"/>
  <c r="G559" i="3"/>
  <c r="G555" i="3"/>
  <c r="G551" i="3"/>
  <c r="G547" i="3"/>
  <c r="G543" i="3"/>
  <c r="G539" i="3"/>
  <c r="G845" i="3"/>
  <c r="G769" i="3"/>
  <c r="G741" i="3"/>
  <c r="G709" i="3"/>
  <c r="G705" i="3"/>
  <c r="G692" i="3"/>
  <c r="G689" i="3"/>
  <c r="G676" i="3"/>
  <c r="G673" i="3"/>
  <c r="G877" i="3"/>
  <c r="G789" i="3"/>
  <c r="G757" i="3"/>
  <c r="G729" i="3"/>
  <c r="G668" i="3"/>
  <c r="G664" i="3"/>
  <c r="G660" i="3"/>
  <c r="G656" i="3"/>
  <c r="G652" i="3"/>
  <c r="G648" i="3"/>
  <c r="G644" i="3"/>
  <c r="G640" i="3"/>
  <c r="G636" i="3"/>
  <c r="G632" i="3"/>
  <c r="G628" i="3"/>
  <c r="G624" i="3"/>
  <c r="G620" i="3"/>
  <c r="G616" i="3"/>
  <c r="G612" i="3"/>
  <c r="G608" i="3"/>
  <c r="G604" i="3"/>
  <c r="G600" i="3"/>
  <c r="G596" i="3"/>
  <c r="G592" i="3"/>
  <c r="G588" i="3"/>
  <c r="G584" i="3"/>
  <c r="G580" i="3"/>
  <c r="G576" i="3"/>
  <c r="G572" i="3"/>
  <c r="G568" i="3"/>
  <c r="G564" i="3"/>
  <c r="G560" i="3"/>
  <c r="G925" i="3"/>
  <c r="G765" i="3"/>
  <c r="G745" i="3"/>
  <c r="G737" i="3"/>
  <c r="G669" i="3"/>
  <c r="G665" i="3"/>
  <c r="G661" i="3"/>
  <c r="G657" i="3"/>
  <c r="G653" i="3"/>
  <c r="G649" i="3"/>
  <c r="G645" i="3"/>
  <c r="G641" i="3"/>
  <c r="G637" i="3"/>
  <c r="G633" i="3"/>
  <c r="G629" i="3"/>
  <c r="G625" i="3"/>
  <c r="G621" i="3"/>
  <c r="G617" i="3"/>
  <c r="G613" i="3"/>
  <c r="G609" i="3"/>
  <c r="G605" i="3"/>
  <c r="G601" i="3"/>
  <c r="G597" i="3"/>
  <c r="G593" i="3"/>
  <c r="G589" i="3"/>
  <c r="G585" i="3"/>
  <c r="G581" i="3"/>
  <c r="G577" i="3"/>
  <c r="G573" i="3"/>
  <c r="G569" i="3"/>
  <c r="G565" i="3"/>
  <c r="G561" i="3"/>
  <c r="G557" i="3"/>
  <c r="G553" i="3"/>
  <c r="G549" i="3"/>
  <c r="G545" i="3"/>
  <c r="G541" i="3"/>
  <c r="G773" i="3"/>
  <c r="G713" i="3"/>
  <c r="G670" i="3"/>
  <c r="G666" i="3"/>
  <c r="G662" i="3"/>
  <c r="G658" i="3"/>
  <c r="G654" i="3"/>
  <c r="G650" i="3"/>
  <c r="G646" i="3"/>
  <c r="G642" i="3"/>
  <c r="G638" i="3"/>
  <c r="G634" i="3"/>
  <c r="G630" i="3"/>
  <c r="G626" i="3"/>
  <c r="G622" i="3"/>
  <c r="G618" i="3"/>
  <c r="G614" i="3"/>
  <c r="G610" i="3"/>
  <c r="G606" i="3"/>
  <c r="G602" i="3"/>
  <c r="G598" i="3"/>
  <c r="G594" i="3"/>
  <c r="G590" i="3"/>
  <c r="G586" i="3"/>
  <c r="G582" i="3"/>
  <c r="G578" i="3"/>
  <c r="G574" i="3"/>
  <c r="G570" i="3"/>
  <c r="G566" i="3"/>
  <c r="G562" i="3"/>
  <c r="G893" i="3"/>
  <c r="G793" i="3"/>
  <c r="G761" i="3"/>
  <c r="G733" i="3"/>
  <c r="G696" i="3"/>
  <c r="G693" i="3"/>
  <c r="G680" i="3"/>
  <c r="G677" i="3"/>
  <c r="G777" i="3"/>
  <c r="G550" i="3"/>
  <c r="G534" i="3"/>
  <c r="G530" i="3"/>
  <c r="G704" i="3"/>
  <c r="G688" i="3"/>
  <c r="G672" i="3"/>
  <c r="G556" i="3"/>
  <c r="G725" i="3"/>
  <c r="G717" i="3"/>
  <c r="G697" i="3"/>
  <c r="G681" i="3"/>
  <c r="G546" i="3"/>
  <c r="G540" i="3"/>
  <c r="G535" i="3"/>
  <c r="G531" i="3"/>
  <c r="G753" i="3"/>
  <c r="G701" i="3"/>
  <c r="G685" i="3"/>
  <c r="G552" i="3"/>
  <c r="G538" i="3"/>
  <c r="G554" i="3"/>
  <c r="G533" i="3"/>
  <c r="G529" i="3"/>
  <c r="G700" i="3"/>
  <c r="G684" i="3"/>
  <c r="G544" i="3"/>
  <c r="G537" i="3"/>
  <c r="G532" i="3"/>
  <c r="G528" i="3"/>
  <c r="G558" i="3"/>
  <c r="G548" i="3"/>
  <c r="G542" i="3"/>
  <c r="G536" i="3"/>
  <c r="G785" i="3"/>
  <c r="E160" i="2"/>
  <c r="E228" i="2"/>
  <c r="E201" i="2"/>
  <c r="E133" i="2"/>
  <c r="E136" i="2"/>
  <c r="E204" i="2"/>
  <c r="E155" i="2"/>
  <c r="E223" i="2"/>
  <c r="J147" i="2"/>
  <c r="I147" i="2"/>
  <c r="J227" i="2"/>
  <c r="I227" i="2"/>
  <c r="M227" i="2" s="1"/>
  <c r="J171" i="2"/>
  <c r="I171" i="2"/>
  <c r="M171" i="2" s="1"/>
  <c r="J220" i="2"/>
  <c r="I220" i="2"/>
  <c r="I226" i="2"/>
  <c r="J226" i="2"/>
  <c r="J229" i="2"/>
  <c r="I229" i="2"/>
  <c r="M229" i="2" s="1"/>
  <c r="J222" i="2"/>
  <c r="I222" i="2"/>
  <c r="I223" i="2"/>
  <c r="J223" i="2"/>
  <c r="I216" i="2"/>
  <c r="J216" i="2"/>
  <c r="J137" i="2"/>
  <c r="I137" i="2"/>
  <c r="J179" i="2"/>
  <c r="I179" i="2"/>
  <c r="J124" i="2"/>
  <c r="I124" i="2"/>
  <c r="J130" i="2"/>
  <c r="I130" i="2"/>
  <c r="J181" i="2"/>
  <c r="I181" i="2"/>
  <c r="J142" i="2"/>
  <c r="I142" i="2"/>
  <c r="I135" i="2"/>
  <c r="J135" i="2"/>
  <c r="J128" i="2"/>
  <c r="I128" i="2"/>
  <c r="H54" i="3"/>
  <c r="F54" i="3" s="1"/>
  <c r="H53" i="3"/>
  <c r="F53" i="3" s="1"/>
  <c r="H48" i="3"/>
  <c r="F48" i="3" s="1"/>
  <c r="H40" i="3"/>
  <c r="F40" i="3" s="1"/>
  <c r="H32" i="3"/>
  <c r="F32" i="3" s="1"/>
  <c r="H24" i="3"/>
  <c r="F24" i="3" s="1"/>
  <c r="H20" i="3"/>
  <c r="F20" i="3" s="1"/>
  <c r="H43" i="3"/>
  <c r="F43" i="3" s="1"/>
  <c r="H35" i="3"/>
  <c r="F35" i="3" s="1"/>
  <c r="H27" i="3"/>
  <c r="F27" i="3" s="1"/>
  <c r="H52" i="3"/>
  <c r="F52" i="3" s="1"/>
  <c r="H46" i="3"/>
  <c r="F46" i="3" s="1"/>
  <c r="H38" i="3"/>
  <c r="F38" i="3" s="1"/>
  <c r="H30" i="3"/>
  <c r="F30" i="3" s="1"/>
  <c r="H22" i="3"/>
  <c r="F22" i="3" s="1"/>
  <c r="H51" i="3"/>
  <c r="F51" i="3" s="1"/>
  <c r="H49" i="3"/>
  <c r="F49" i="3" s="1"/>
  <c r="H41" i="3"/>
  <c r="F41" i="3" s="1"/>
  <c r="H33" i="3"/>
  <c r="F33" i="3" s="1"/>
  <c r="H25" i="3"/>
  <c r="F25" i="3" s="1"/>
  <c r="H55" i="3"/>
  <c r="F55" i="3" s="1"/>
  <c r="H44" i="3"/>
  <c r="F44" i="3" s="1"/>
  <c r="H36" i="3"/>
  <c r="F36" i="3" s="1"/>
  <c r="H28" i="3"/>
  <c r="F28" i="3" s="1"/>
  <c r="H47" i="3"/>
  <c r="F47" i="3" s="1"/>
  <c r="H50" i="3"/>
  <c r="F50" i="3" s="1"/>
  <c r="H45" i="3"/>
  <c r="F45" i="3" s="1"/>
  <c r="H37" i="3"/>
  <c r="F37" i="3" s="1"/>
  <c r="H29" i="3"/>
  <c r="F29" i="3" s="1"/>
  <c r="H39" i="3"/>
  <c r="F39" i="3" s="1"/>
  <c r="H34" i="3"/>
  <c r="F34" i="3" s="1"/>
  <c r="H42" i="3"/>
  <c r="F42" i="3" s="1"/>
  <c r="H31" i="3"/>
  <c r="F31" i="3" s="1"/>
  <c r="H26" i="3"/>
  <c r="F26" i="3" s="1"/>
  <c r="H23" i="3"/>
  <c r="F23" i="3" s="1"/>
  <c r="H21" i="3"/>
  <c r="F21" i="3" s="1"/>
  <c r="E170" i="2"/>
  <c r="E238" i="2"/>
  <c r="E240" i="2"/>
  <c r="E172" i="2"/>
  <c r="E185" i="2"/>
  <c r="E117" i="2"/>
  <c r="E27" i="3"/>
  <c r="C27" i="3" s="1"/>
  <c r="E48" i="3"/>
  <c r="C48" i="3" s="1"/>
  <c r="E42" i="3"/>
  <c r="C42" i="3" s="1"/>
  <c r="E153" i="2"/>
  <c r="E221" i="2"/>
  <c r="E209" i="2"/>
  <c r="E141" i="2"/>
  <c r="E194" i="2"/>
  <c r="E126" i="2"/>
  <c r="E176" i="2"/>
  <c r="E244" i="2"/>
  <c r="R32" i="3"/>
  <c r="E186" i="2"/>
  <c r="E118" i="2"/>
  <c r="E120" i="2"/>
  <c r="E188" i="2"/>
  <c r="J148" i="2"/>
  <c r="I148" i="2"/>
  <c r="J163" i="2"/>
  <c r="I163" i="2"/>
  <c r="M163" i="2" s="1"/>
  <c r="J219" i="2"/>
  <c r="I219" i="2"/>
  <c r="M219" i="2" s="1"/>
  <c r="J225" i="2"/>
  <c r="I225" i="2"/>
  <c r="J244" i="2"/>
  <c r="I244" i="2"/>
  <c r="M244" i="2" s="1"/>
  <c r="P244" i="2"/>
  <c r="J237" i="2"/>
  <c r="I237" i="2"/>
  <c r="J230" i="2"/>
  <c r="I230" i="2"/>
  <c r="M230" i="2" s="1"/>
  <c r="I231" i="2"/>
  <c r="J231" i="2"/>
  <c r="J224" i="2"/>
  <c r="I224" i="2"/>
  <c r="J131" i="2"/>
  <c r="I131" i="2"/>
  <c r="M131" i="2" s="1"/>
  <c r="J123" i="2"/>
  <c r="I123" i="2"/>
  <c r="M123" i="2" s="1"/>
  <c r="J129" i="2"/>
  <c r="I129" i="2"/>
  <c r="I178" i="2"/>
  <c r="J178" i="2"/>
  <c r="J189" i="2"/>
  <c r="I189" i="2"/>
  <c r="J182" i="2"/>
  <c r="I182" i="2"/>
  <c r="M182" i="2" s="1"/>
  <c r="I143" i="2"/>
  <c r="J143" i="2"/>
  <c r="I136" i="2"/>
  <c r="J136" i="2"/>
  <c r="E115" i="2"/>
  <c r="E183" i="2"/>
  <c r="F1269" i="3"/>
  <c r="F1265" i="3"/>
  <c r="F1261" i="3"/>
  <c r="F1271" i="3"/>
  <c r="F1267" i="3"/>
  <c r="F1263" i="3"/>
  <c r="F1262" i="3"/>
  <c r="F1270" i="3"/>
  <c r="F1268" i="3"/>
  <c r="F1266" i="3"/>
  <c r="F1264" i="3"/>
  <c r="F1260" i="3"/>
  <c r="F454" i="3"/>
  <c r="F444" i="3"/>
  <c r="F453" i="3"/>
  <c r="F452" i="3"/>
  <c r="F451" i="3"/>
  <c r="F450" i="3"/>
  <c r="F446" i="3"/>
  <c r="F455" i="3"/>
  <c r="F445" i="3"/>
  <c r="F448" i="3"/>
  <c r="F447" i="3"/>
  <c r="F449" i="3"/>
  <c r="E122" i="2"/>
  <c r="E190" i="2"/>
  <c r="E225" i="2"/>
  <c r="E157" i="2"/>
  <c r="E216" i="2"/>
  <c r="E148" i="2"/>
  <c r="F1311" i="3"/>
  <c r="F1308" i="3"/>
  <c r="F1314" i="3"/>
  <c r="F1317" i="3"/>
  <c r="F1310" i="3"/>
  <c r="F1319" i="3"/>
  <c r="F1316" i="3"/>
  <c r="F1313" i="3"/>
  <c r="F1315" i="3"/>
  <c r="F1312" i="3"/>
  <c r="F1309" i="3"/>
  <c r="F1318" i="3"/>
  <c r="F502" i="3"/>
  <c r="F503" i="3"/>
  <c r="F499" i="3"/>
  <c r="F495" i="3"/>
  <c r="F501" i="3"/>
  <c r="F497" i="3"/>
  <c r="F493" i="3"/>
  <c r="F492" i="3"/>
  <c r="F496" i="3"/>
  <c r="F494" i="3"/>
  <c r="F498" i="3"/>
  <c r="F500" i="3"/>
  <c r="E113" i="2"/>
  <c r="E181" i="2"/>
  <c r="E195" i="2"/>
  <c r="E127" i="2"/>
  <c r="E210" i="2"/>
  <c r="E142" i="2"/>
  <c r="E154" i="2"/>
  <c r="E222" i="2"/>
  <c r="E179" i="2"/>
  <c r="E111" i="2"/>
  <c r="E218" i="2"/>
  <c r="E150" i="2"/>
  <c r="J164" i="2"/>
  <c r="I164" i="2"/>
  <c r="J153" i="2"/>
  <c r="I153" i="2"/>
  <c r="J235" i="2"/>
  <c r="I235" i="2"/>
  <c r="M235" i="2" s="1"/>
  <c r="J236" i="2"/>
  <c r="I236" i="2"/>
  <c r="J149" i="2"/>
  <c r="I149" i="2"/>
  <c r="M149" i="2" s="1"/>
  <c r="J245" i="2"/>
  <c r="I245" i="2"/>
  <c r="M245" i="2" s="1"/>
  <c r="J238" i="2"/>
  <c r="I238" i="2"/>
  <c r="I239" i="2"/>
  <c r="J239" i="2"/>
  <c r="I232" i="2"/>
  <c r="J232" i="2"/>
  <c r="J211" i="2"/>
  <c r="I211" i="2"/>
  <c r="J116" i="2"/>
  <c r="I116" i="2"/>
  <c r="J139" i="2"/>
  <c r="I139" i="2"/>
  <c r="M139" i="2" s="1"/>
  <c r="J140" i="2"/>
  <c r="I140" i="2"/>
  <c r="I194" i="2"/>
  <c r="J194" i="2"/>
  <c r="J197" i="2"/>
  <c r="I197" i="2"/>
  <c r="M197" i="2" s="1"/>
  <c r="J190" i="2"/>
  <c r="I190" i="2"/>
  <c r="I183" i="2"/>
  <c r="J183" i="2"/>
  <c r="I184" i="2"/>
  <c r="J184" i="2"/>
  <c r="G1342" i="3"/>
  <c r="G1338" i="3"/>
  <c r="G1334" i="3"/>
  <c r="G1330" i="3"/>
  <c r="G1326" i="3"/>
  <c r="G1322" i="3"/>
  <c r="G1318" i="3"/>
  <c r="G1314" i="3"/>
  <c r="G1310" i="3"/>
  <c r="G1306" i="3"/>
  <c r="G1302" i="3"/>
  <c r="G1298" i="3"/>
  <c r="G1294" i="3"/>
  <c r="G1290" i="3"/>
  <c r="G1286" i="3"/>
  <c r="G1343" i="3"/>
  <c r="G1339" i="3"/>
  <c r="G1335" i="3"/>
  <c r="G1331" i="3"/>
  <c r="G1327" i="3"/>
  <c r="G1323" i="3"/>
  <c r="G1319" i="3"/>
  <c r="G1315" i="3"/>
  <c r="G1311" i="3"/>
  <c r="G1307" i="3"/>
  <c r="G1303" i="3"/>
  <c r="G1299" i="3"/>
  <c r="G1295" i="3"/>
  <c r="G1291" i="3"/>
  <c r="G1287" i="3"/>
  <c r="G1340" i="3"/>
  <c r="G1332" i="3"/>
  <c r="G1281" i="3"/>
  <c r="G1277" i="3"/>
  <c r="G1273" i="3"/>
  <c r="G1269" i="3"/>
  <c r="G1341" i="3"/>
  <c r="G1333" i="3"/>
  <c r="G1320" i="3"/>
  <c r="G1317" i="3"/>
  <c r="G1304" i="3"/>
  <c r="G1301" i="3"/>
  <c r="G1288" i="3"/>
  <c r="G1285" i="3"/>
  <c r="G1282" i="3"/>
  <c r="G1278" i="3"/>
  <c r="G1274" i="3"/>
  <c r="G1270" i="3"/>
  <c r="G1266" i="3"/>
  <c r="G1262" i="3"/>
  <c r="G1258" i="3"/>
  <c r="G1254" i="3"/>
  <c r="G1250" i="3"/>
  <c r="G1246" i="3"/>
  <c r="G1242" i="3"/>
  <c r="G1238" i="3"/>
  <c r="G1234" i="3"/>
  <c r="G1230" i="3"/>
  <c r="G1226" i="3"/>
  <c r="G1316" i="3"/>
  <c r="G1313" i="3"/>
  <c r="G1300" i="3"/>
  <c r="G1297" i="3"/>
  <c r="G1336" i="3"/>
  <c r="G1324" i="3"/>
  <c r="G1283" i="3"/>
  <c r="G1279" i="3"/>
  <c r="G1275" i="3"/>
  <c r="G1271" i="3"/>
  <c r="G1267" i="3"/>
  <c r="G1263" i="3"/>
  <c r="G1259" i="3"/>
  <c r="G1255" i="3"/>
  <c r="G1251" i="3"/>
  <c r="G1247" i="3"/>
  <c r="G1243" i="3"/>
  <c r="G1239" i="3"/>
  <c r="G1235" i="3"/>
  <c r="G1231" i="3"/>
  <c r="G1325" i="3"/>
  <c r="G1312" i="3"/>
  <c r="G1309" i="3"/>
  <c r="G1296" i="3"/>
  <c r="G1293" i="3"/>
  <c r="G1337" i="3"/>
  <c r="G1328" i="3"/>
  <c r="G1284" i="3"/>
  <c r="G1280" i="3"/>
  <c r="G1276" i="3"/>
  <c r="G1272" i="3"/>
  <c r="G1268" i="3"/>
  <c r="G1264" i="3"/>
  <c r="G1260" i="3"/>
  <c r="G1256" i="3"/>
  <c r="G1252" i="3"/>
  <c r="G1248" i="3"/>
  <c r="G1244" i="3"/>
  <c r="G1240" i="3"/>
  <c r="G1236" i="3"/>
  <c r="G1232" i="3"/>
  <c r="G1228" i="3"/>
  <c r="G1224" i="3"/>
  <c r="G1261" i="3"/>
  <c r="G1225" i="3"/>
  <c r="G1223" i="3"/>
  <c r="G1219" i="3"/>
  <c r="G1215" i="3"/>
  <c r="G1211" i="3"/>
  <c r="G1207" i="3"/>
  <c r="G1203" i="3"/>
  <c r="G1199" i="3"/>
  <c r="G1195" i="3"/>
  <c r="G1191" i="3"/>
  <c r="G1187" i="3"/>
  <c r="G1183" i="3"/>
  <c r="G1179" i="3"/>
  <c r="G1175" i="3"/>
  <c r="G1171" i="3"/>
  <c r="G1305" i="3"/>
  <c r="G1241" i="3"/>
  <c r="G1229" i="3"/>
  <c r="G1308" i="3"/>
  <c r="G1253" i="3"/>
  <c r="G1220" i="3"/>
  <c r="G1216" i="3"/>
  <c r="G1212" i="3"/>
  <c r="G1208" i="3"/>
  <c r="G1204" i="3"/>
  <c r="G1200" i="3"/>
  <c r="G1196" i="3"/>
  <c r="G1192" i="3"/>
  <c r="G1188" i="3"/>
  <c r="G1237" i="3"/>
  <c r="G1227" i="3"/>
  <c r="G1245" i="3"/>
  <c r="G1221" i="3"/>
  <c r="G1217" i="3"/>
  <c r="G1213" i="3"/>
  <c r="G1209" i="3"/>
  <c r="G1205" i="3"/>
  <c r="G1201" i="3"/>
  <c r="G1197" i="3"/>
  <c r="G1193" i="3"/>
  <c r="G1189" i="3"/>
  <c r="G1185" i="3"/>
  <c r="G1181" i="3"/>
  <c r="G1292" i="3"/>
  <c r="G1265" i="3"/>
  <c r="G1233" i="3"/>
  <c r="G1222" i="3"/>
  <c r="G1218" i="3"/>
  <c r="G1214" i="3"/>
  <c r="G1210" i="3"/>
  <c r="G1206" i="3"/>
  <c r="G1202" i="3"/>
  <c r="G1198" i="3"/>
  <c r="G1194" i="3"/>
  <c r="G1190" i="3"/>
  <c r="G1249" i="3"/>
  <c r="G1329" i="3"/>
  <c r="G1186" i="3"/>
  <c r="G1180" i="3"/>
  <c r="G1168" i="3"/>
  <c r="G1164" i="3"/>
  <c r="G1160" i="3"/>
  <c r="G1156" i="3"/>
  <c r="G1152" i="3"/>
  <c r="G1148" i="3"/>
  <c r="G1144" i="3"/>
  <c r="G1140" i="3"/>
  <c r="G1136" i="3"/>
  <c r="G1132" i="3"/>
  <c r="G1128" i="3"/>
  <c r="G1124" i="3"/>
  <c r="G1120" i="3"/>
  <c r="G1116" i="3"/>
  <c r="G1112" i="3"/>
  <c r="G1108" i="3"/>
  <c r="G1104" i="3"/>
  <c r="G1100" i="3"/>
  <c r="G1178" i="3"/>
  <c r="G1176" i="3"/>
  <c r="G1321" i="3"/>
  <c r="G1182" i="3"/>
  <c r="G1174" i="3"/>
  <c r="G1172" i="3"/>
  <c r="G1169" i="3"/>
  <c r="G1165" i="3"/>
  <c r="G1161" i="3"/>
  <c r="G1157" i="3"/>
  <c r="G1153" i="3"/>
  <c r="G1149" i="3"/>
  <c r="G1145" i="3"/>
  <c r="G1141" i="3"/>
  <c r="G1137" i="3"/>
  <c r="G1133" i="3"/>
  <c r="G1129" i="3"/>
  <c r="G1125" i="3"/>
  <c r="G1121" i="3"/>
  <c r="G1117" i="3"/>
  <c r="G1113" i="3"/>
  <c r="G1109" i="3"/>
  <c r="G1170" i="3"/>
  <c r="G1166" i="3"/>
  <c r="G1162" i="3"/>
  <c r="G1158" i="3"/>
  <c r="G1154" i="3"/>
  <c r="G1150" i="3"/>
  <c r="G1146" i="3"/>
  <c r="G1142" i="3"/>
  <c r="G1138" i="3"/>
  <c r="G1134" i="3"/>
  <c r="G1130" i="3"/>
  <c r="G1126" i="3"/>
  <c r="G1122" i="3"/>
  <c r="G1118" i="3"/>
  <c r="G1114" i="3"/>
  <c r="G1110" i="3"/>
  <c r="G1106" i="3"/>
  <c r="G1102" i="3"/>
  <c r="G1289" i="3"/>
  <c r="G1257" i="3"/>
  <c r="G1173" i="3"/>
  <c r="G1167" i="3"/>
  <c r="G1163" i="3"/>
  <c r="G1159" i="3"/>
  <c r="G1155" i="3"/>
  <c r="G1151" i="3"/>
  <c r="G1147" i="3"/>
  <c r="G1143" i="3"/>
  <c r="G1139" i="3"/>
  <c r="G1135" i="3"/>
  <c r="G1131" i="3"/>
  <c r="G1111" i="3"/>
  <c r="G1098" i="3"/>
  <c r="G1094" i="3"/>
  <c r="G1090" i="3"/>
  <c r="G1086" i="3"/>
  <c r="G1082" i="3"/>
  <c r="G1078" i="3"/>
  <c r="G1074" i="3"/>
  <c r="G1070" i="3"/>
  <c r="G1066" i="3"/>
  <c r="G1062" i="3"/>
  <c r="G1058" i="3"/>
  <c r="G1054" i="3"/>
  <c r="G1050" i="3"/>
  <c r="G1046" i="3"/>
  <c r="G1042" i="3"/>
  <c r="G1038" i="3"/>
  <c r="G1034" i="3"/>
  <c r="G1030" i="3"/>
  <c r="G1026" i="3"/>
  <c r="G1022" i="3"/>
  <c r="G1018" i="3"/>
  <c r="G1014" i="3"/>
  <c r="G1010" i="3"/>
  <c r="G1006" i="3"/>
  <c r="G1002" i="3"/>
  <c r="G998" i="3"/>
  <c r="G994" i="3"/>
  <c r="G990" i="3"/>
  <c r="G986" i="3"/>
  <c r="G982" i="3"/>
  <c r="G978" i="3"/>
  <c r="G974" i="3"/>
  <c r="G970" i="3"/>
  <c r="G966" i="3"/>
  <c r="G962" i="3"/>
  <c r="G958" i="3"/>
  <c r="G954" i="3"/>
  <c r="G950" i="3"/>
  <c r="G1119" i="3"/>
  <c r="G1105" i="3"/>
  <c r="G1099" i="3"/>
  <c r="G1095" i="3"/>
  <c r="G1091" i="3"/>
  <c r="G1087" i="3"/>
  <c r="G1083" i="3"/>
  <c r="G1079" i="3"/>
  <c r="G1075" i="3"/>
  <c r="G1071" i="3"/>
  <c r="G1067" i="3"/>
  <c r="G1063" i="3"/>
  <c r="G1059" i="3"/>
  <c r="G1055" i="3"/>
  <c r="G1051" i="3"/>
  <c r="G1047" i="3"/>
  <c r="G1043" i="3"/>
  <c r="G1039" i="3"/>
  <c r="G1035" i="3"/>
  <c r="G1031" i="3"/>
  <c r="G1027" i="3"/>
  <c r="G1023" i="3"/>
  <c r="G1019" i="3"/>
  <c r="G1015" i="3"/>
  <c r="G1011" i="3"/>
  <c r="G1007" i="3"/>
  <c r="G1003" i="3"/>
  <c r="G999" i="3"/>
  <c r="G995" i="3"/>
  <c r="G991" i="3"/>
  <c r="G987" i="3"/>
  <c r="G983" i="3"/>
  <c r="G979" i="3"/>
  <c r="G975" i="3"/>
  <c r="G971" i="3"/>
  <c r="G967" i="3"/>
  <c r="G963" i="3"/>
  <c r="G959" i="3"/>
  <c r="G955" i="3"/>
  <c r="G951" i="3"/>
  <c r="G1127" i="3"/>
  <c r="G1101" i="3"/>
  <c r="G1096" i="3"/>
  <c r="G1092" i="3"/>
  <c r="G1088" i="3"/>
  <c r="G1084" i="3"/>
  <c r="G1080" i="3"/>
  <c r="G1076" i="3"/>
  <c r="G1072" i="3"/>
  <c r="G1068" i="3"/>
  <c r="G1064" i="3"/>
  <c r="G1060" i="3"/>
  <c r="G1056" i="3"/>
  <c r="G1052" i="3"/>
  <c r="G1048" i="3"/>
  <c r="G1044" i="3"/>
  <c r="G1040" i="3"/>
  <c r="G1036" i="3"/>
  <c r="G1032" i="3"/>
  <c r="G1028" i="3"/>
  <c r="G1024" i="3"/>
  <c r="G1020" i="3"/>
  <c r="G1016" i="3"/>
  <c r="G1012" i="3"/>
  <c r="G1008" i="3"/>
  <c r="G1004" i="3"/>
  <c r="G1000" i="3"/>
  <c r="G996" i="3"/>
  <c r="G992" i="3"/>
  <c r="G988" i="3"/>
  <c r="G984" i="3"/>
  <c r="G980" i="3"/>
  <c r="G976" i="3"/>
  <c r="G972" i="3"/>
  <c r="G968" i="3"/>
  <c r="G964" i="3"/>
  <c r="G960" i="3"/>
  <c r="G956" i="3"/>
  <c r="G952" i="3"/>
  <c r="G1177" i="3"/>
  <c r="G1097" i="3"/>
  <c r="G1093" i="3"/>
  <c r="G1089" i="3"/>
  <c r="G1085" i="3"/>
  <c r="G1081" i="3"/>
  <c r="G1077" i="3"/>
  <c r="G1073" i="3"/>
  <c r="G1069" i="3"/>
  <c r="G1065" i="3"/>
  <c r="G1061" i="3"/>
  <c r="G1057" i="3"/>
  <c r="G1053" i="3"/>
  <c r="G1049" i="3"/>
  <c r="G1045" i="3"/>
  <c r="G1041" i="3"/>
  <c r="G1037" i="3"/>
  <c r="G1033" i="3"/>
  <c r="G1029" i="3"/>
  <c r="G1025" i="3"/>
  <c r="G1021" i="3"/>
  <c r="G1017" i="3"/>
  <c r="G1013" i="3"/>
  <c r="G1009" i="3"/>
  <c r="G1005" i="3"/>
  <c r="G1001" i="3"/>
  <c r="G997" i="3"/>
  <c r="G993" i="3"/>
  <c r="G989" i="3"/>
  <c r="G985" i="3"/>
  <c r="G981" i="3"/>
  <c r="G977" i="3"/>
  <c r="G973" i="3"/>
  <c r="G969" i="3"/>
  <c r="G965" i="3"/>
  <c r="G961" i="3"/>
  <c r="G957" i="3"/>
  <c r="G953" i="3"/>
  <c r="G1123" i="3"/>
  <c r="G1103" i="3"/>
  <c r="G949" i="3"/>
  <c r="G946" i="3"/>
  <c r="G942" i="3"/>
  <c r="G938" i="3"/>
  <c r="G1184" i="3"/>
  <c r="G947" i="3"/>
  <c r="G943" i="3"/>
  <c r="G939" i="3"/>
  <c r="G1115" i="3"/>
  <c r="G1107" i="3"/>
  <c r="G948" i="3"/>
  <c r="G944" i="3"/>
  <c r="G940" i="3"/>
  <c r="G936" i="3"/>
  <c r="G945" i="3"/>
  <c r="G941" i="3"/>
  <c r="G937" i="3"/>
  <c r="G526" i="3"/>
  <c r="G522" i="3"/>
  <c r="G518" i="3"/>
  <c r="G514" i="3"/>
  <c r="G510" i="3"/>
  <c r="G506" i="3"/>
  <c r="G502" i="3"/>
  <c r="G498" i="3"/>
  <c r="G494" i="3"/>
  <c r="G490" i="3"/>
  <c r="G486" i="3"/>
  <c r="G482" i="3"/>
  <c r="G478" i="3"/>
  <c r="G474" i="3"/>
  <c r="G470" i="3"/>
  <c r="G466" i="3"/>
  <c r="G462" i="3"/>
  <c r="G458" i="3"/>
  <c r="G454" i="3"/>
  <c r="G450" i="3"/>
  <c r="G446" i="3"/>
  <c r="G442" i="3"/>
  <c r="G438" i="3"/>
  <c r="G434" i="3"/>
  <c r="G430" i="3"/>
  <c r="G426" i="3"/>
  <c r="G422" i="3"/>
  <c r="G418" i="3"/>
  <c r="G414" i="3"/>
  <c r="G410" i="3"/>
  <c r="G406" i="3"/>
  <c r="G527" i="3"/>
  <c r="G523" i="3"/>
  <c r="G519" i="3"/>
  <c r="G515" i="3"/>
  <c r="G511" i="3"/>
  <c r="G507" i="3"/>
  <c r="G503" i="3"/>
  <c r="G499" i="3"/>
  <c r="G495" i="3"/>
  <c r="G491" i="3"/>
  <c r="G487" i="3"/>
  <c r="G483" i="3"/>
  <c r="G479" i="3"/>
  <c r="G475" i="3"/>
  <c r="G471" i="3"/>
  <c r="G467" i="3"/>
  <c r="G463" i="3"/>
  <c r="G459" i="3"/>
  <c r="G455" i="3"/>
  <c r="G451" i="3"/>
  <c r="G447" i="3"/>
  <c r="G443" i="3"/>
  <c r="G439" i="3"/>
  <c r="G435" i="3"/>
  <c r="G431" i="3"/>
  <c r="G427" i="3"/>
  <c r="G423" i="3"/>
  <c r="G419" i="3"/>
  <c r="G415" i="3"/>
  <c r="G411" i="3"/>
  <c r="G407" i="3"/>
  <c r="G525" i="3"/>
  <c r="G521" i="3"/>
  <c r="G517" i="3"/>
  <c r="G513" i="3"/>
  <c r="G509" i="3"/>
  <c r="G505" i="3"/>
  <c r="G501" i="3"/>
  <c r="G497" i="3"/>
  <c r="G493" i="3"/>
  <c r="G489" i="3"/>
  <c r="G485" i="3"/>
  <c r="G481" i="3"/>
  <c r="G477" i="3"/>
  <c r="G473" i="3"/>
  <c r="G469" i="3"/>
  <c r="G465" i="3"/>
  <c r="G461" i="3"/>
  <c r="G457" i="3"/>
  <c r="G453" i="3"/>
  <c r="G449" i="3"/>
  <c r="G445" i="3"/>
  <c r="G441" i="3"/>
  <c r="G437" i="3"/>
  <c r="G433" i="3"/>
  <c r="G429" i="3"/>
  <c r="G425" i="3"/>
  <c r="G421" i="3"/>
  <c r="G417" i="3"/>
  <c r="G413" i="3"/>
  <c r="G409" i="3"/>
  <c r="G488" i="3"/>
  <c r="G432" i="3"/>
  <c r="G492" i="3"/>
  <c r="G452" i="3"/>
  <c r="G420" i="3"/>
  <c r="G403" i="3"/>
  <c r="G399" i="3"/>
  <c r="G395" i="3"/>
  <c r="G391" i="3"/>
  <c r="G387" i="3"/>
  <c r="G383" i="3"/>
  <c r="G379" i="3"/>
  <c r="G375" i="3"/>
  <c r="G371" i="3"/>
  <c r="G367" i="3"/>
  <c r="G363" i="3"/>
  <c r="G359" i="3"/>
  <c r="G355" i="3"/>
  <c r="G351" i="3"/>
  <c r="G347" i="3"/>
  <c r="G343" i="3"/>
  <c r="G339" i="3"/>
  <c r="G335" i="3"/>
  <c r="G331" i="3"/>
  <c r="G327" i="3"/>
  <c r="G323" i="3"/>
  <c r="G319" i="3"/>
  <c r="G315" i="3"/>
  <c r="G311" i="3"/>
  <c r="G307" i="3"/>
  <c r="G303" i="3"/>
  <c r="G299" i="3"/>
  <c r="G295" i="3"/>
  <c r="G291" i="3"/>
  <c r="G287" i="3"/>
  <c r="G283" i="3"/>
  <c r="G279" i="3"/>
  <c r="G275" i="3"/>
  <c r="G524" i="3"/>
  <c r="G496" i="3"/>
  <c r="G440" i="3"/>
  <c r="G408" i="3"/>
  <c r="G520" i="3"/>
  <c r="G500" i="3"/>
  <c r="G468" i="3"/>
  <c r="G464" i="3"/>
  <c r="G460" i="3"/>
  <c r="G428" i="3"/>
  <c r="G404" i="3"/>
  <c r="G400" i="3"/>
  <c r="G396" i="3"/>
  <c r="G392" i="3"/>
  <c r="G388" i="3"/>
  <c r="G384" i="3"/>
  <c r="G380" i="3"/>
  <c r="G376" i="3"/>
  <c r="G372" i="3"/>
  <c r="G368" i="3"/>
  <c r="G364" i="3"/>
  <c r="G360" i="3"/>
  <c r="G356" i="3"/>
  <c r="G352" i="3"/>
  <c r="G348" i="3"/>
  <c r="G344" i="3"/>
  <c r="G340" i="3"/>
  <c r="G336" i="3"/>
  <c r="G332" i="3"/>
  <c r="G328" i="3"/>
  <c r="G324" i="3"/>
  <c r="G320" i="3"/>
  <c r="G316" i="3"/>
  <c r="G312" i="3"/>
  <c r="G308" i="3"/>
  <c r="G304" i="3"/>
  <c r="G300" i="3"/>
  <c r="G296" i="3"/>
  <c r="G292" i="3"/>
  <c r="G288" i="3"/>
  <c r="G284" i="3"/>
  <c r="G280" i="3"/>
  <c r="G276" i="3"/>
  <c r="G508" i="3"/>
  <c r="G480" i="3"/>
  <c r="G456" i="3"/>
  <c r="G424" i="3"/>
  <c r="G504" i="3"/>
  <c r="G484" i="3"/>
  <c r="G444" i="3"/>
  <c r="G412" i="3"/>
  <c r="G402" i="3"/>
  <c r="G398" i="3"/>
  <c r="G394" i="3"/>
  <c r="G390" i="3"/>
  <c r="G386" i="3"/>
  <c r="G382" i="3"/>
  <c r="G378" i="3"/>
  <c r="G374" i="3"/>
  <c r="G370" i="3"/>
  <c r="G366" i="3"/>
  <c r="G362" i="3"/>
  <c r="G358" i="3"/>
  <c r="G354" i="3"/>
  <c r="G350" i="3"/>
  <c r="G346" i="3"/>
  <c r="G342" i="3"/>
  <c r="G338" i="3"/>
  <c r="G334" i="3"/>
  <c r="G330" i="3"/>
  <c r="G326" i="3"/>
  <c r="G322" i="3"/>
  <c r="G318" i="3"/>
  <c r="G314" i="3"/>
  <c r="G310" i="3"/>
  <c r="G306" i="3"/>
  <c r="G302" i="3"/>
  <c r="G298" i="3"/>
  <c r="G294" i="3"/>
  <c r="G290" i="3"/>
  <c r="G286" i="3"/>
  <c r="G282" i="3"/>
  <c r="G401" i="3"/>
  <c r="G369" i="3"/>
  <c r="G325" i="3"/>
  <c r="G293" i="3"/>
  <c r="G271" i="3"/>
  <c r="G267" i="3"/>
  <c r="G263" i="3"/>
  <c r="G259" i="3"/>
  <c r="G255" i="3"/>
  <c r="G251" i="3"/>
  <c r="G247" i="3"/>
  <c r="G243" i="3"/>
  <c r="G239" i="3"/>
  <c r="G235" i="3"/>
  <c r="G231" i="3"/>
  <c r="G227" i="3"/>
  <c r="G223" i="3"/>
  <c r="G219" i="3"/>
  <c r="G215" i="3"/>
  <c r="G211" i="3"/>
  <c r="G207" i="3"/>
  <c r="G203" i="3"/>
  <c r="G199" i="3"/>
  <c r="G195" i="3"/>
  <c r="G191" i="3"/>
  <c r="G187" i="3"/>
  <c r="G183" i="3"/>
  <c r="G179" i="3"/>
  <c r="G175" i="3"/>
  <c r="G171" i="3"/>
  <c r="G167" i="3"/>
  <c r="G163" i="3"/>
  <c r="G159" i="3"/>
  <c r="G397" i="3"/>
  <c r="G365" i="3"/>
  <c r="G345" i="3"/>
  <c r="G313" i="3"/>
  <c r="G281" i="3"/>
  <c r="G278" i="3"/>
  <c r="G512" i="3"/>
  <c r="G436" i="3"/>
  <c r="G393" i="3"/>
  <c r="G361" i="3"/>
  <c r="G333" i="3"/>
  <c r="G301" i="3"/>
  <c r="G272" i="3"/>
  <c r="G268" i="3"/>
  <c r="G264" i="3"/>
  <c r="G260" i="3"/>
  <c r="G256" i="3"/>
  <c r="G252" i="3"/>
  <c r="G248" i="3"/>
  <c r="G244" i="3"/>
  <c r="G240" i="3"/>
  <c r="G236" i="3"/>
  <c r="G232" i="3"/>
  <c r="G228" i="3"/>
  <c r="G224" i="3"/>
  <c r="G220" i="3"/>
  <c r="G216" i="3"/>
  <c r="G212" i="3"/>
  <c r="G208" i="3"/>
  <c r="G204" i="3"/>
  <c r="G200" i="3"/>
  <c r="G196" i="3"/>
  <c r="G192" i="3"/>
  <c r="G188" i="3"/>
  <c r="G184" i="3"/>
  <c r="G180" i="3"/>
  <c r="G176" i="3"/>
  <c r="G172" i="3"/>
  <c r="G168" i="3"/>
  <c r="G164" i="3"/>
  <c r="G160" i="3"/>
  <c r="G156" i="3"/>
  <c r="G516" i="3"/>
  <c r="G389" i="3"/>
  <c r="G357" i="3"/>
  <c r="G321" i="3"/>
  <c r="G289" i="3"/>
  <c r="G277" i="3"/>
  <c r="G385" i="3"/>
  <c r="G349" i="3"/>
  <c r="G341" i="3"/>
  <c r="G309" i="3"/>
  <c r="G273" i="3"/>
  <c r="G269" i="3"/>
  <c r="G265" i="3"/>
  <c r="G261" i="3"/>
  <c r="G257" i="3"/>
  <c r="G253" i="3"/>
  <c r="G249" i="3"/>
  <c r="G245" i="3"/>
  <c r="G241" i="3"/>
  <c r="G237" i="3"/>
  <c r="G233" i="3"/>
  <c r="G229" i="3"/>
  <c r="G225" i="3"/>
  <c r="G221" i="3"/>
  <c r="G217" i="3"/>
  <c r="G213" i="3"/>
  <c r="G209" i="3"/>
  <c r="G205" i="3"/>
  <c r="G201" i="3"/>
  <c r="G197" i="3"/>
  <c r="G193" i="3"/>
  <c r="G189" i="3"/>
  <c r="G185" i="3"/>
  <c r="G181" i="3"/>
  <c r="G177" i="3"/>
  <c r="G173" i="3"/>
  <c r="G169" i="3"/>
  <c r="G165" i="3"/>
  <c r="G161" i="3"/>
  <c r="G157" i="3"/>
  <c r="G153" i="3"/>
  <c r="G149" i="3"/>
  <c r="G145" i="3"/>
  <c r="G141" i="3"/>
  <c r="G137" i="3"/>
  <c r="G133" i="3"/>
  <c r="G129" i="3"/>
  <c r="G472" i="3"/>
  <c r="G377" i="3"/>
  <c r="G317" i="3"/>
  <c r="G285" i="3"/>
  <c r="G274" i="3"/>
  <c r="G270" i="3"/>
  <c r="G266" i="3"/>
  <c r="G262" i="3"/>
  <c r="G258" i="3"/>
  <c r="G254" i="3"/>
  <c r="G250" i="3"/>
  <c r="G246" i="3"/>
  <c r="G242" i="3"/>
  <c r="G238" i="3"/>
  <c r="G234" i="3"/>
  <c r="G230" i="3"/>
  <c r="G226" i="3"/>
  <c r="G222" i="3"/>
  <c r="G218" i="3"/>
  <c r="G214" i="3"/>
  <c r="G210" i="3"/>
  <c r="G206" i="3"/>
  <c r="G202" i="3"/>
  <c r="G198" i="3"/>
  <c r="G194" i="3"/>
  <c r="G190" i="3"/>
  <c r="G186" i="3"/>
  <c r="G182" i="3"/>
  <c r="G178" i="3"/>
  <c r="G174" i="3"/>
  <c r="G170" i="3"/>
  <c r="G166" i="3"/>
  <c r="G162" i="3"/>
  <c r="G158" i="3"/>
  <c r="G154" i="3"/>
  <c r="G150" i="3"/>
  <c r="G146" i="3"/>
  <c r="G142" i="3"/>
  <c r="G138" i="3"/>
  <c r="G134" i="3"/>
  <c r="G416" i="3"/>
  <c r="G476" i="3"/>
  <c r="G448" i="3"/>
  <c r="G405" i="3"/>
  <c r="G152" i="3"/>
  <c r="G139" i="3"/>
  <c r="G136" i="3"/>
  <c r="G130" i="3"/>
  <c r="G127" i="3"/>
  <c r="G123" i="3"/>
  <c r="G305" i="3"/>
  <c r="G297" i="3"/>
  <c r="G373" i="3"/>
  <c r="G151" i="3"/>
  <c r="G148" i="3"/>
  <c r="G135" i="3"/>
  <c r="G132" i="3"/>
  <c r="G128" i="3"/>
  <c r="G124" i="3"/>
  <c r="G120" i="3"/>
  <c r="G381" i="3"/>
  <c r="G337" i="3"/>
  <c r="G329" i="3"/>
  <c r="G155" i="3"/>
  <c r="G147" i="3"/>
  <c r="G144" i="3"/>
  <c r="G131" i="3"/>
  <c r="G125" i="3"/>
  <c r="G121" i="3"/>
  <c r="G353" i="3"/>
  <c r="G143" i="3"/>
  <c r="G140" i="3"/>
  <c r="G126" i="3"/>
  <c r="G122" i="3"/>
  <c r="E139" i="2"/>
  <c r="E207" i="2"/>
  <c r="E114" i="2"/>
  <c r="E182" i="2"/>
  <c r="E233" i="2"/>
  <c r="E165" i="2"/>
  <c r="F1018" i="3"/>
  <c r="F1019" i="3"/>
  <c r="F1017" i="3"/>
  <c r="F1011" i="3"/>
  <c r="F1012" i="3"/>
  <c r="F1013" i="3"/>
  <c r="F1014" i="3"/>
  <c r="F1015" i="3"/>
  <c r="F1016" i="3"/>
  <c r="F1009" i="3"/>
  <c r="F1010" i="3"/>
  <c r="F1008" i="3"/>
  <c r="F203" i="3"/>
  <c r="F199" i="3"/>
  <c r="F195" i="3"/>
  <c r="F200" i="3"/>
  <c r="F196" i="3"/>
  <c r="F192" i="3"/>
  <c r="F202" i="3"/>
  <c r="F198" i="3"/>
  <c r="F194" i="3"/>
  <c r="F201" i="3"/>
  <c r="F197" i="3"/>
  <c r="F193" i="3"/>
  <c r="F1194" i="3"/>
  <c r="F1195" i="3"/>
  <c r="F1196" i="3"/>
  <c r="F1197" i="3"/>
  <c r="F1189" i="3"/>
  <c r="F1198" i="3"/>
  <c r="F1190" i="3"/>
  <c r="F1188" i="3"/>
  <c r="F1192" i="3"/>
  <c r="F1193" i="3"/>
  <c r="F1199" i="3"/>
  <c r="F1191" i="3"/>
  <c r="F382" i="3"/>
  <c r="F378" i="3"/>
  <c r="F374" i="3"/>
  <c r="F383" i="3"/>
  <c r="F379" i="3"/>
  <c r="F375" i="3"/>
  <c r="F381" i="3"/>
  <c r="F377" i="3"/>
  <c r="F373" i="3"/>
  <c r="F380" i="3"/>
  <c r="F376" i="3"/>
  <c r="F372" i="3"/>
  <c r="F1030" i="3"/>
  <c r="F1026" i="3"/>
  <c r="F1022" i="3"/>
  <c r="F1031" i="3"/>
  <c r="F1027" i="3"/>
  <c r="F1023" i="3"/>
  <c r="F1029" i="3"/>
  <c r="F1025" i="3"/>
  <c r="F1021" i="3"/>
  <c r="F1024" i="3"/>
  <c r="F1020" i="3"/>
  <c r="F1028" i="3"/>
  <c r="F215" i="3"/>
  <c r="F211" i="3"/>
  <c r="F207" i="3"/>
  <c r="F212" i="3"/>
  <c r="F208" i="3"/>
  <c r="F204" i="3"/>
  <c r="F214" i="3"/>
  <c r="F210" i="3"/>
  <c r="F206" i="3"/>
  <c r="F213" i="3"/>
  <c r="F209" i="3"/>
  <c r="F205" i="3"/>
  <c r="E145" i="2"/>
  <c r="E213" i="2"/>
  <c r="E203" i="2"/>
  <c r="E135" i="2"/>
  <c r="E171" i="2"/>
  <c r="E239" i="2"/>
  <c r="E152" i="2"/>
  <c r="E220" i="2"/>
  <c r="J169" i="2"/>
  <c r="I169" i="2"/>
  <c r="J154" i="2"/>
  <c r="I154" i="2"/>
  <c r="J145" i="2"/>
  <c r="I145" i="2"/>
  <c r="J241" i="2"/>
  <c r="I241" i="2"/>
  <c r="J157" i="2"/>
  <c r="I157" i="2"/>
  <c r="J150" i="2"/>
  <c r="I150" i="2"/>
  <c r="M150" i="2" s="1"/>
  <c r="I151" i="2"/>
  <c r="J151" i="2"/>
  <c r="J144" i="2"/>
  <c r="I144" i="2"/>
  <c r="J240" i="2"/>
  <c r="I240" i="2"/>
  <c r="E33" i="3"/>
  <c r="C33" i="3" s="1"/>
  <c r="J132" i="2"/>
  <c r="I132" i="2"/>
  <c r="J121" i="2"/>
  <c r="I121" i="2"/>
  <c r="J187" i="2"/>
  <c r="I187" i="2"/>
  <c r="M187" i="2" s="1"/>
  <c r="J188" i="2"/>
  <c r="I188" i="2"/>
  <c r="I210" i="2"/>
  <c r="J210" i="2"/>
  <c r="J205" i="2"/>
  <c r="I205" i="2"/>
  <c r="J198" i="2"/>
  <c r="I198" i="2"/>
  <c r="M198" i="2" s="1"/>
  <c r="I191" i="2"/>
  <c r="J191" i="2"/>
  <c r="J192" i="2"/>
  <c r="I192" i="2"/>
  <c r="E137" i="2"/>
  <c r="E205" i="2"/>
  <c r="E146" i="2"/>
  <c r="E214" i="2"/>
  <c r="E241" i="2"/>
  <c r="E173" i="2"/>
  <c r="F1148" i="3"/>
  <c r="F1144" i="3"/>
  <c r="F1140" i="3"/>
  <c r="F1149" i="3"/>
  <c r="F1145" i="3"/>
  <c r="F1151" i="3"/>
  <c r="F1147" i="3"/>
  <c r="F1143" i="3"/>
  <c r="F1150" i="3"/>
  <c r="F1142" i="3"/>
  <c r="F1146" i="3"/>
  <c r="F1141" i="3"/>
  <c r="F326" i="3"/>
  <c r="F335" i="3"/>
  <c r="F325" i="3"/>
  <c r="F324" i="3"/>
  <c r="F334" i="3"/>
  <c r="F333" i="3"/>
  <c r="F332" i="3"/>
  <c r="F331" i="3"/>
  <c r="F329" i="3"/>
  <c r="F328" i="3"/>
  <c r="F330" i="3"/>
  <c r="F327" i="3"/>
  <c r="F1112" i="3"/>
  <c r="F1106" i="3"/>
  <c r="F1111" i="3"/>
  <c r="F1110" i="3"/>
  <c r="F1109" i="3"/>
  <c r="F1108" i="3"/>
  <c r="F1105" i="3"/>
  <c r="F1115" i="3"/>
  <c r="F1114" i="3"/>
  <c r="F1107" i="3"/>
  <c r="F1113" i="3"/>
  <c r="F1104" i="3"/>
  <c r="F294" i="3"/>
  <c r="F293" i="3"/>
  <c r="F292" i="3"/>
  <c r="F291" i="3"/>
  <c r="F290" i="3"/>
  <c r="F299" i="3"/>
  <c r="F289" i="3"/>
  <c r="F288" i="3"/>
  <c r="F297" i="3"/>
  <c r="F296" i="3"/>
  <c r="F295" i="3"/>
  <c r="F298" i="3"/>
  <c r="F1305" i="3"/>
  <c r="F1298" i="3"/>
  <c r="F1307" i="3"/>
  <c r="F1304" i="3"/>
  <c r="F1301" i="3"/>
  <c r="F1303" i="3"/>
  <c r="F1300" i="3"/>
  <c r="F1297" i="3"/>
  <c r="F1306" i="3"/>
  <c r="F1299" i="3"/>
  <c r="F1296" i="3"/>
  <c r="F1302" i="3"/>
  <c r="F491" i="3"/>
  <c r="F487" i="3"/>
  <c r="F483" i="3"/>
  <c r="F489" i="3"/>
  <c r="F485" i="3"/>
  <c r="F481" i="3"/>
  <c r="F484" i="3"/>
  <c r="F488" i="3"/>
  <c r="F482" i="3"/>
  <c r="F480" i="3"/>
  <c r="F490" i="3"/>
  <c r="F486" i="3"/>
  <c r="F1123" i="3"/>
  <c r="F1122" i="3"/>
  <c r="F1121" i="3"/>
  <c r="F1120" i="3"/>
  <c r="F1119" i="3"/>
  <c r="F1118" i="3"/>
  <c r="F1117" i="3"/>
  <c r="F1125" i="3"/>
  <c r="F1124" i="3"/>
  <c r="F1116" i="3"/>
  <c r="F1127" i="3"/>
  <c r="F1126" i="3"/>
  <c r="F305" i="3"/>
  <c r="F304" i="3"/>
  <c r="F303" i="3"/>
  <c r="F302" i="3"/>
  <c r="F311" i="3"/>
  <c r="F301" i="3"/>
  <c r="F300" i="3"/>
  <c r="F310" i="3"/>
  <c r="F307" i="3"/>
  <c r="F308" i="3"/>
  <c r="F309" i="3"/>
  <c r="F306" i="3"/>
  <c r="E192" i="2"/>
  <c r="E124" i="2"/>
  <c r="E211" i="2"/>
  <c r="E143" i="2"/>
  <c r="E178" i="2"/>
  <c r="E110" i="2"/>
  <c r="E112" i="2"/>
  <c r="E180" i="2"/>
  <c r="E121" i="2"/>
  <c r="E189" i="2"/>
  <c r="J212" i="2"/>
  <c r="I212" i="2"/>
  <c r="J170" i="2"/>
  <c r="I170" i="2"/>
  <c r="J156" i="2"/>
  <c r="I156" i="2"/>
  <c r="J243" i="2"/>
  <c r="I243" i="2"/>
  <c r="J165" i="2"/>
  <c r="I165" i="2"/>
  <c r="M165" i="2" s="1"/>
  <c r="J158" i="2"/>
  <c r="I158" i="2"/>
  <c r="I159" i="2"/>
  <c r="J159" i="2"/>
  <c r="I152" i="2"/>
  <c r="J152" i="2"/>
  <c r="J180" i="2"/>
  <c r="I180" i="2"/>
  <c r="J122" i="2"/>
  <c r="I122" i="2"/>
  <c r="J203" i="2"/>
  <c r="I203" i="2"/>
  <c r="M203" i="2" s="1"/>
  <c r="J193" i="2"/>
  <c r="I193" i="2"/>
  <c r="J117" i="2"/>
  <c r="I117" i="2"/>
  <c r="M117" i="2" s="1"/>
  <c r="J110" i="2"/>
  <c r="I110" i="2"/>
  <c r="J206" i="2"/>
  <c r="I206" i="2"/>
  <c r="I199" i="2"/>
  <c r="J199" i="2"/>
  <c r="I200" i="2"/>
  <c r="J200" i="2"/>
  <c r="E161" i="2"/>
  <c r="E229" i="2"/>
  <c r="E227" i="2"/>
  <c r="E159" i="2"/>
  <c r="E38" i="3"/>
  <c r="C38" i="3" s="1"/>
  <c r="E44" i="3"/>
  <c r="C44" i="3" s="1"/>
  <c r="E20" i="3"/>
  <c r="C20" i="3" s="1"/>
  <c r="E45" i="3"/>
  <c r="C45" i="3" s="1"/>
  <c r="E31" i="3"/>
  <c r="C31" i="3" s="1"/>
  <c r="E200" i="2"/>
  <c r="E132" i="2"/>
  <c r="E169" i="2"/>
  <c r="E237" i="2"/>
  <c r="E144" i="2"/>
  <c r="E212" i="2"/>
  <c r="R24" i="3"/>
  <c r="E184" i="2"/>
  <c r="E116" i="2"/>
  <c r="J217" i="2"/>
  <c r="I217" i="2"/>
  <c r="J218" i="2"/>
  <c r="I218" i="2"/>
  <c r="J161" i="2"/>
  <c r="I161" i="2"/>
  <c r="J242" i="2"/>
  <c r="I242" i="2"/>
  <c r="J173" i="2"/>
  <c r="I173" i="2"/>
  <c r="J166" i="2"/>
  <c r="I166" i="2"/>
  <c r="M166" i="2" s="1"/>
  <c r="I167" i="2"/>
  <c r="J167" i="2"/>
  <c r="J160" i="2"/>
  <c r="I160" i="2"/>
  <c r="J185" i="2"/>
  <c r="I185" i="2"/>
  <c r="J138" i="2"/>
  <c r="I138" i="2"/>
  <c r="J115" i="2"/>
  <c r="I115" i="2"/>
  <c r="M115" i="2" s="1"/>
  <c r="J204" i="2"/>
  <c r="I204" i="2"/>
  <c r="J125" i="2"/>
  <c r="I125" i="2"/>
  <c r="J118" i="2"/>
  <c r="I118" i="2"/>
  <c r="M118" i="2" s="1"/>
  <c r="I111" i="2"/>
  <c r="J111" i="2"/>
  <c r="I207" i="2"/>
  <c r="J207" i="2"/>
  <c r="J208" i="2"/>
  <c r="I208" i="2"/>
  <c r="E235" i="2"/>
  <c r="E167" i="2"/>
  <c r="F1342" i="3"/>
  <c r="F1338" i="3"/>
  <c r="F1334" i="3"/>
  <c r="F1343" i="3"/>
  <c r="F1339" i="3"/>
  <c r="F1335" i="3"/>
  <c r="F1340" i="3"/>
  <c r="F1336" i="3"/>
  <c r="F1332" i="3"/>
  <c r="F1341" i="3"/>
  <c r="F1333" i="3"/>
  <c r="F1337" i="3"/>
  <c r="F526" i="3"/>
  <c r="F522" i="3"/>
  <c r="F518" i="3"/>
  <c r="F527" i="3"/>
  <c r="F523" i="3"/>
  <c r="F519" i="3"/>
  <c r="F525" i="3"/>
  <c r="F521" i="3"/>
  <c r="F517" i="3"/>
  <c r="F524" i="3"/>
  <c r="F520" i="3"/>
  <c r="F516" i="3"/>
  <c r="F971" i="3"/>
  <c r="F963" i="3"/>
  <c r="F964" i="3"/>
  <c r="F965" i="3"/>
  <c r="F966" i="3"/>
  <c r="F967" i="3"/>
  <c r="F969" i="3"/>
  <c r="F961" i="3"/>
  <c r="F970" i="3"/>
  <c r="F962" i="3"/>
  <c r="F960" i="3"/>
  <c r="F968" i="3"/>
  <c r="F146" i="3"/>
  <c r="F149" i="3"/>
  <c r="F152" i="3"/>
  <c r="F145" i="3"/>
  <c r="F151" i="3"/>
  <c r="F148" i="3"/>
  <c r="F155" i="3"/>
  <c r="F154" i="3"/>
  <c r="F150" i="3"/>
  <c r="F147" i="3"/>
  <c r="F144" i="3"/>
  <c r="F153" i="3"/>
  <c r="F1330" i="3"/>
  <c r="F1326" i="3"/>
  <c r="F1322" i="3"/>
  <c r="F1328" i="3"/>
  <c r="F1324" i="3"/>
  <c r="F1331" i="3"/>
  <c r="F1329" i="3"/>
  <c r="F1321" i="3"/>
  <c r="F1320" i="3"/>
  <c r="F1323" i="3"/>
  <c r="F1327" i="3"/>
  <c r="F1325" i="3"/>
  <c r="F514" i="3"/>
  <c r="F510" i="3"/>
  <c r="F506" i="3"/>
  <c r="F515" i="3"/>
  <c r="F511" i="3"/>
  <c r="F507" i="3"/>
  <c r="F513" i="3"/>
  <c r="F509" i="3"/>
  <c r="F505" i="3"/>
  <c r="F504" i="3"/>
  <c r="F512" i="3"/>
  <c r="F508" i="3"/>
  <c r="E131" i="2"/>
  <c r="E199" i="2"/>
  <c r="E208" i="2"/>
  <c r="E140" i="2"/>
  <c r="E162" i="2"/>
  <c r="E230" i="2"/>
  <c r="E219" i="2"/>
  <c r="E151" i="2"/>
  <c r="J228" i="2"/>
  <c r="I228" i="2"/>
  <c r="J234" i="2"/>
  <c r="I234" i="2"/>
  <c r="J172" i="2"/>
  <c r="I172" i="2"/>
  <c r="I146" i="2"/>
  <c r="J146" i="2"/>
  <c r="J213" i="2"/>
  <c r="I213" i="2"/>
  <c r="M213" i="2" s="1"/>
  <c r="J174" i="2"/>
  <c r="I174" i="2"/>
  <c r="I175" i="2"/>
  <c r="J175" i="2"/>
  <c r="I168" i="2"/>
  <c r="J168" i="2"/>
  <c r="J196" i="2"/>
  <c r="I196" i="2"/>
  <c r="J186" i="2"/>
  <c r="I186" i="2"/>
  <c r="J195" i="2"/>
  <c r="I195" i="2"/>
  <c r="M195" i="2" s="1"/>
  <c r="J209" i="2"/>
  <c r="I209" i="2"/>
  <c r="R133" i="2"/>
  <c r="J133" i="2"/>
  <c r="I133" i="2"/>
  <c r="M133" i="2" s="1"/>
  <c r="N133" i="2"/>
  <c r="J126" i="2"/>
  <c r="I126" i="2"/>
  <c r="I119" i="2"/>
  <c r="J119" i="2"/>
  <c r="J112" i="2"/>
  <c r="I112" i="2"/>
  <c r="M188" i="2" l="1"/>
  <c r="L188" i="2"/>
  <c r="R148" i="3"/>
  <c r="M148" i="3"/>
  <c r="J148" i="3"/>
  <c r="I148" i="3"/>
  <c r="S148" i="3" s="1"/>
  <c r="L148" i="3"/>
  <c r="P148" i="3"/>
  <c r="K148" i="3"/>
  <c r="Q148" i="3"/>
  <c r="O148" i="3"/>
  <c r="N148" i="3"/>
  <c r="R133" i="3"/>
  <c r="O133" i="3"/>
  <c r="M133" i="3"/>
  <c r="Q133" i="3"/>
  <c r="P133" i="3"/>
  <c r="N133" i="3"/>
  <c r="I133" i="3"/>
  <c r="J133" i="3"/>
  <c r="K133" i="3"/>
  <c r="L133" i="3"/>
  <c r="Q164" i="3"/>
  <c r="I164" i="3"/>
  <c r="L164" i="3"/>
  <c r="M164" i="3"/>
  <c r="O164" i="3"/>
  <c r="R164" i="3"/>
  <c r="K164" i="3"/>
  <c r="J164" i="3"/>
  <c r="N164" i="3"/>
  <c r="P164" i="3"/>
  <c r="O191" i="3"/>
  <c r="P191" i="3"/>
  <c r="R191" i="3"/>
  <c r="L191" i="3"/>
  <c r="K191" i="3"/>
  <c r="N191" i="3"/>
  <c r="M191" i="3"/>
  <c r="Q191" i="3"/>
  <c r="I191" i="3"/>
  <c r="J191" i="3"/>
  <c r="M342" i="3"/>
  <c r="Q342" i="3"/>
  <c r="P342" i="3"/>
  <c r="L342" i="3"/>
  <c r="J342" i="3"/>
  <c r="O342" i="3"/>
  <c r="K342" i="3"/>
  <c r="N342" i="3"/>
  <c r="I342" i="3"/>
  <c r="R342" i="3"/>
  <c r="R372" i="3"/>
  <c r="J372" i="3"/>
  <c r="K372" i="3"/>
  <c r="M372" i="3"/>
  <c r="P372" i="3"/>
  <c r="O372" i="3"/>
  <c r="Q372" i="3"/>
  <c r="N372" i="3"/>
  <c r="I372" i="3"/>
  <c r="L372" i="3"/>
  <c r="O327" i="3"/>
  <c r="R327" i="3"/>
  <c r="P327" i="3"/>
  <c r="J327" i="3"/>
  <c r="K327" i="3"/>
  <c r="Q327" i="3"/>
  <c r="N327" i="3"/>
  <c r="M327" i="3"/>
  <c r="I327" i="3"/>
  <c r="L327" i="3"/>
  <c r="K501" i="3"/>
  <c r="P501" i="3"/>
  <c r="N501" i="3"/>
  <c r="O501" i="3"/>
  <c r="R501" i="3"/>
  <c r="Q501" i="3"/>
  <c r="L501" i="3"/>
  <c r="I501" i="3"/>
  <c r="M501" i="3"/>
  <c r="J501" i="3"/>
  <c r="I414" i="3"/>
  <c r="P414" i="3"/>
  <c r="L414" i="3"/>
  <c r="R414" i="3"/>
  <c r="O414" i="3"/>
  <c r="M414" i="3"/>
  <c r="N414" i="3"/>
  <c r="J414" i="3"/>
  <c r="K414" i="3"/>
  <c r="Q414" i="3"/>
  <c r="I947" i="3"/>
  <c r="K947" i="3"/>
  <c r="R947" i="3"/>
  <c r="J947" i="3"/>
  <c r="P947" i="3"/>
  <c r="O947" i="3"/>
  <c r="M947" i="3"/>
  <c r="N947" i="3"/>
  <c r="Q947" i="3"/>
  <c r="L947" i="3"/>
  <c r="M1081" i="3"/>
  <c r="L1081" i="3"/>
  <c r="K1081" i="3"/>
  <c r="J1081" i="3"/>
  <c r="R1081" i="3"/>
  <c r="O1081" i="3"/>
  <c r="P1081" i="3"/>
  <c r="Q1081" i="3"/>
  <c r="I1081" i="3"/>
  <c r="N1081" i="3"/>
  <c r="Q963" i="3"/>
  <c r="I963" i="3"/>
  <c r="O963" i="3"/>
  <c r="N963" i="3"/>
  <c r="P963" i="3"/>
  <c r="K963" i="3"/>
  <c r="J963" i="3"/>
  <c r="L963" i="3"/>
  <c r="M963" i="3"/>
  <c r="R963" i="3"/>
  <c r="Q1091" i="3"/>
  <c r="I1091" i="3"/>
  <c r="O1091" i="3"/>
  <c r="P1091" i="3"/>
  <c r="N1091" i="3"/>
  <c r="K1091" i="3"/>
  <c r="R1091" i="3"/>
  <c r="J1091" i="3"/>
  <c r="L1091" i="3"/>
  <c r="M1091" i="3"/>
  <c r="J1147" i="3"/>
  <c r="N1147" i="3"/>
  <c r="Q1147" i="3"/>
  <c r="L1147" i="3"/>
  <c r="I1147" i="3"/>
  <c r="K1147" i="3"/>
  <c r="M1147" i="3"/>
  <c r="R1147" i="3"/>
  <c r="O1147" i="3"/>
  <c r="P1147" i="3"/>
  <c r="Q1129" i="3"/>
  <c r="I1129" i="3"/>
  <c r="K1129" i="3"/>
  <c r="N1129" i="3"/>
  <c r="M1129" i="3"/>
  <c r="P1129" i="3"/>
  <c r="O1129" i="3"/>
  <c r="L1129" i="3"/>
  <c r="J1129" i="3"/>
  <c r="R1129" i="3"/>
  <c r="N1194" i="3"/>
  <c r="R1194" i="3"/>
  <c r="K1194" i="3"/>
  <c r="M1194" i="3"/>
  <c r="O1194" i="3"/>
  <c r="P1194" i="3"/>
  <c r="L1194" i="3"/>
  <c r="Q1194" i="3"/>
  <c r="J1194" i="3"/>
  <c r="I1194" i="3"/>
  <c r="O1216" i="3"/>
  <c r="R1216" i="3"/>
  <c r="L1216" i="3"/>
  <c r="Q1216" i="3"/>
  <c r="N1216" i="3"/>
  <c r="K1216" i="3"/>
  <c r="J1216" i="3"/>
  <c r="I1216" i="3"/>
  <c r="M1216" i="3"/>
  <c r="P1216" i="3"/>
  <c r="L1260" i="3"/>
  <c r="R1260" i="3"/>
  <c r="P1260" i="3"/>
  <c r="N1260" i="3"/>
  <c r="M1260" i="3"/>
  <c r="K1260" i="3"/>
  <c r="Q1260" i="3"/>
  <c r="I1260" i="3"/>
  <c r="O1260" i="3"/>
  <c r="J1260" i="3"/>
  <c r="J1313" i="3"/>
  <c r="N1313" i="3"/>
  <c r="K1313" i="3"/>
  <c r="O1313" i="3"/>
  <c r="Q1313" i="3"/>
  <c r="I1313" i="3"/>
  <c r="L1313" i="3"/>
  <c r="R1313" i="3"/>
  <c r="M1313" i="3"/>
  <c r="P1313" i="3"/>
  <c r="Q1323" i="3"/>
  <c r="I1323" i="3"/>
  <c r="P1323" i="3"/>
  <c r="K1323" i="3"/>
  <c r="O1323" i="3"/>
  <c r="J1323" i="3"/>
  <c r="N1323" i="3"/>
  <c r="R1323" i="3"/>
  <c r="L1323" i="3"/>
  <c r="M1323" i="3"/>
  <c r="M224" i="2"/>
  <c r="L224" i="2"/>
  <c r="F1676" i="3"/>
  <c r="F1672" i="3"/>
  <c r="F1668" i="3"/>
  <c r="F1677" i="3"/>
  <c r="F1673" i="3"/>
  <c r="F1678" i="3"/>
  <c r="F1674" i="3"/>
  <c r="F1670" i="3"/>
  <c r="F1679" i="3"/>
  <c r="F1675" i="3"/>
  <c r="F1671" i="3"/>
  <c r="F1669" i="3"/>
  <c r="F863" i="3"/>
  <c r="F853" i="3"/>
  <c r="F852" i="3"/>
  <c r="F862" i="3"/>
  <c r="F861" i="3"/>
  <c r="F860" i="3"/>
  <c r="F859" i="3"/>
  <c r="F858" i="3"/>
  <c r="F855" i="3"/>
  <c r="F854" i="3"/>
  <c r="F857" i="3"/>
  <c r="F856" i="3"/>
  <c r="N688" i="3"/>
  <c r="P688" i="3"/>
  <c r="M688" i="3"/>
  <c r="Q688" i="3"/>
  <c r="I688" i="3"/>
  <c r="K688" i="3"/>
  <c r="J688" i="3"/>
  <c r="R688" i="3"/>
  <c r="L688" i="3"/>
  <c r="O688" i="3"/>
  <c r="O666" i="3"/>
  <c r="Q666" i="3"/>
  <c r="I666" i="3"/>
  <c r="N666" i="3"/>
  <c r="M666" i="3"/>
  <c r="R666" i="3"/>
  <c r="J666" i="3"/>
  <c r="P666" i="3"/>
  <c r="K666" i="3"/>
  <c r="L666" i="3"/>
  <c r="Q588" i="3"/>
  <c r="O588" i="3"/>
  <c r="I588" i="3"/>
  <c r="P588" i="3"/>
  <c r="L588" i="3"/>
  <c r="M588" i="3"/>
  <c r="J588" i="3"/>
  <c r="R588" i="3"/>
  <c r="K588" i="3"/>
  <c r="N588" i="3"/>
  <c r="N595" i="3"/>
  <c r="M595" i="3"/>
  <c r="O595" i="3"/>
  <c r="Q595" i="3"/>
  <c r="I595" i="3"/>
  <c r="P595" i="3"/>
  <c r="K595" i="3"/>
  <c r="L595" i="3"/>
  <c r="J595" i="3"/>
  <c r="R595" i="3"/>
  <c r="R901" i="3"/>
  <c r="K901" i="3"/>
  <c r="Q901" i="3"/>
  <c r="N901" i="3"/>
  <c r="L901" i="3"/>
  <c r="I901" i="3"/>
  <c r="M901" i="3"/>
  <c r="O901" i="3"/>
  <c r="J901" i="3"/>
  <c r="P901" i="3"/>
  <c r="K837" i="3"/>
  <c r="Q837" i="3"/>
  <c r="O837" i="3"/>
  <c r="I837" i="3"/>
  <c r="R837" i="3"/>
  <c r="M837" i="3"/>
  <c r="J837" i="3"/>
  <c r="N837" i="3"/>
  <c r="L837" i="3"/>
  <c r="P837" i="3"/>
  <c r="M861" i="3"/>
  <c r="J861" i="3"/>
  <c r="P861" i="3"/>
  <c r="N861" i="3"/>
  <c r="R861" i="3"/>
  <c r="K861" i="3"/>
  <c r="Q861" i="3"/>
  <c r="L861" i="3"/>
  <c r="I861" i="3"/>
  <c r="O861" i="3"/>
  <c r="I924" i="3"/>
  <c r="O924" i="3"/>
  <c r="P924" i="3"/>
  <c r="K924" i="3"/>
  <c r="N924" i="3"/>
  <c r="L924" i="3"/>
  <c r="R924" i="3"/>
  <c r="M924" i="3"/>
  <c r="J924" i="3"/>
  <c r="Q924" i="3"/>
  <c r="J798" i="3"/>
  <c r="N798" i="3"/>
  <c r="M798" i="3"/>
  <c r="I798" i="3"/>
  <c r="K798" i="3"/>
  <c r="R798" i="3"/>
  <c r="P798" i="3"/>
  <c r="Q798" i="3"/>
  <c r="O798" i="3"/>
  <c r="L798" i="3"/>
  <c r="N1362" i="3"/>
  <c r="Q1362" i="3"/>
  <c r="M1362" i="3"/>
  <c r="P1362" i="3"/>
  <c r="I1362" i="3"/>
  <c r="O1362" i="3"/>
  <c r="L1362" i="3"/>
  <c r="J1362" i="3"/>
  <c r="K1362" i="3"/>
  <c r="R1362" i="3"/>
  <c r="M1399" i="3"/>
  <c r="R1399" i="3"/>
  <c r="L1399" i="3"/>
  <c r="K1399" i="3"/>
  <c r="J1399" i="3"/>
  <c r="P1399" i="3"/>
  <c r="O1399" i="3"/>
  <c r="Q1399" i="3"/>
  <c r="N1399" i="3"/>
  <c r="I1399" i="3"/>
  <c r="O1411" i="3"/>
  <c r="L1411" i="3"/>
  <c r="M1411" i="3"/>
  <c r="N1411" i="3"/>
  <c r="I1411" i="3"/>
  <c r="Q1411" i="3"/>
  <c r="P1411" i="3"/>
  <c r="K1411" i="3"/>
  <c r="R1411" i="3"/>
  <c r="J1411" i="3"/>
  <c r="R1461" i="3"/>
  <c r="N1461" i="3"/>
  <c r="Q1461" i="3"/>
  <c r="M1461" i="3"/>
  <c r="I1461" i="3"/>
  <c r="L1461" i="3"/>
  <c r="O1461" i="3"/>
  <c r="P1461" i="3"/>
  <c r="J1461" i="3"/>
  <c r="K1461" i="3"/>
  <c r="Q1490" i="3"/>
  <c r="I1490" i="3"/>
  <c r="O1490" i="3"/>
  <c r="J1490" i="3"/>
  <c r="P1490" i="3"/>
  <c r="R1490" i="3"/>
  <c r="M1490" i="3"/>
  <c r="K1490" i="3"/>
  <c r="L1490" i="3"/>
  <c r="N1490" i="3"/>
  <c r="K1559" i="3"/>
  <c r="N1559" i="3"/>
  <c r="I1559" i="3"/>
  <c r="R1559" i="3"/>
  <c r="Q1559" i="3"/>
  <c r="P1559" i="3"/>
  <c r="O1559" i="3"/>
  <c r="J1559" i="3"/>
  <c r="L1559" i="3"/>
  <c r="M1559" i="3"/>
  <c r="R1641" i="3"/>
  <c r="L1641" i="3"/>
  <c r="I1641" i="3"/>
  <c r="O1641" i="3"/>
  <c r="M1641" i="3"/>
  <c r="Q1641" i="3"/>
  <c r="K1641" i="3"/>
  <c r="P1641" i="3"/>
  <c r="N1641" i="3"/>
  <c r="J1641" i="3"/>
  <c r="L1689" i="3"/>
  <c r="M1689" i="3"/>
  <c r="K1689" i="3"/>
  <c r="R1689" i="3"/>
  <c r="P1689" i="3"/>
  <c r="Q1689" i="3"/>
  <c r="I1689" i="3"/>
  <c r="J1689" i="3"/>
  <c r="O1689" i="3"/>
  <c r="N1689" i="3"/>
  <c r="M1674" i="3"/>
  <c r="L1674" i="3"/>
  <c r="O1674" i="3"/>
  <c r="P1674" i="3"/>
  <c r="I1674" i="3"/>
  <c r="N1674" i="3"/>
  <c r="R1674" i="3"/>
  <c r="Q1674" i="3"/>
  <c r="J1674" i="3"/>
  <c r="K1674" i="3"/>
  <c r="L1720" i="3"/>
  <c r="R1720" i="3"/>
  <c r="I1720" i="3"/>
  <c r="P1720" i="3"/>
  <c r="N1720" i="3"/>
  <c r="M1720" i="3"/>
  <c r="J1720" i="3"/>
  <c r="O1720" i="3"/>
  <c r="K1720" i="3"/>
  <c r="Q1720" i="3"/>
  <c r="O133" i="2"/>
  <c r="S133" i="2"/>
  <c r="M125" i="2"/>
  <c r="L125" i="2"/>
  <c r="M173" i="2"/>
  <c r="L173" i="2"/>
  <c r="M242" i="2"/>
  <c r="L242" i="2"/>
  <c r="M144" i="2"/>
  <c r="L144" i="2"/>
  <c r="M151" i="2"/>
  <c r="L151" i="2"/>
  <c r="L353" i="3"/>
  <c r="P353" i="3"/>
  <c r="K353" i="3"/>
  <c r="R353" i="3"/>
  <c r="J353" i="3"/>
  <c r="O353" i="3"/>
  <c r="N353" i="3"/>
  <c r="M353" i="3"/>
  <c r="Q353" i="3"/>
  <c r="I353" i="3"/>
  <c r="R337" i="3"/>
  <c r="K337" i="3"/>
  <c r="P337" i="3"/>
  <c r="L337" i="3"/>
  <c r="J337" i="3"/>
  <c r="O337" i="3"/>
  <c r="M337" i="3"/>
  <c r="Q337" i="3"/>
  <c r="N337" i="3"/>
  <c r="I337" i="3"/>
  <c r="K151" i="3"/>
  <c r="L151" i="3"/>
  <c r="Q151" i="3"/>
  <c r="J151" i="3"/>
  <c r="I151" i="3"/>
  <c r="R151" i="3"/>
  <c r="P151" i="3"/>
  <c r="O151" i="3"/>
  <c r="N151" i="3"/>
  <c r="M151" i="3"/>
  <c r="K139" i="3"/>
  <c r="P139" i="3"/>
  <c r="Q139" i="3"/>
  <c r="I139" i="3"/>
  <c r="N139" i="3"/>
  <c r="J139" i="3"/>
  <c r="O139" i="3"/>
  <c r="R139" i="3"/>
  <c r="M139" i="3"/>
  <c r="L139" i="3"/>
  <c r="O142" i="3"/>
  <c r="J142" i="3"/>
  <c r="Q142" i="3"/>
  <c r="I142" i="3"/>
  <c r="P142" i="3"/>
  <c r="M142" i="3"/>
  <c r="L142" i="3"/>
  <c r="R142" i="3"/>
  <c r="N142" i="3"/>
  <c r="K142" i="3"/>
  <c r="O174" i="3"/>
  <c r="M174" i="3"/>
  <c r="L174" i="3"/>
  <c r="Q174" i="3"/>
  <c r="I174" i="3"/>
  <c r="R174" i="3"/>
  <c r="P174" i="3"/>
  <c r="N174" i="3"/>
  <c r="K174" i="3"/>
  <c r="J174" i="3"/>
  <c r="R206" i="3"/>
  <c r="O206" i="3"/>
  <c r="M206" i="3"/>
  <c r="J206" i="3"/>
  <c r="L206" i="3"/>
  <c r="Q206" i="3"/>
  <c r="I206" i="3"/>
  <c r="P206" i="3"/>
  <c r="K206" i="3"/>
  <c r="N206" i="3"/>
  <c r="R238" i="3"/>
  <c r="O238" i="3"/>
  <c r="M238" i="3"/>
  <c r="J238" i="3"/>
  <c r="L238" i="3"/>
  <c r="Q238" i="3"/>
  <c r="I238" i="3"/>
  <c r="P238" i="3"/>
  <c r="N238" i="3"/>
  <c r="K238" i="3"/>
  <c r="R270" i="3"/>
  <c r="O270" i="3"/>
  <c r="M270" i="3"/>
  <c r="J270" i="3"/>
  <c r="L270" i="3"/>
  <c r="Q270" i="3"/>
  <c r="I270" i="3"/>
  <c r="P270" i="3"/>
  <c r="N270" i="3"/>
  <c r="K270" i="3"/>
  <c r="N137" i="3"/>
  <c r="O137" i="3"/>
  <c r="P137" i="3"/>
  <c r="L137" i="3"/>
  <c r="I137" i="3"/>
  <c r="J137" i="3"/>
  <c r="Q137" i="3"/>
  <c r="M137" i="3"/>
  <c r="K137" i="3"/>
  <c r="R137" i="3"/>
  <c r="R169" i="3"/>
  <c r="K169" i="3"/>
  <c r="J169" i="3"/>
  <c r="P169" i="3"/>
  <c r="L169" i="3"/>
  <c r="O169" i="3"/>
  <c r="N169" i="3"/>
  <c r="Q169" i="3"/>
  <c r="I169" i="3"/>
  <c r="M169" i="3"/>
  <c r="R201" i="3"/>
  <c r="K201" i="3"/>
  <c r="J201" i="3"/>
  <c r="O201" i="3"/>
  <c r="N201" i="3"/>
  <c r="Q201" i="3"/>
  <c r="I201" i="3"/>
  <c r="M201" i="3"/>
  <c r="L201" i="3"/>
  <c r="P201" i="3"/>
  <c r="R233" i="3"/>
  <c r="K233" i="3"/>
  <c r="J233" i="3"/>
  <c r="O233" i="3"/>
  <c r="N233" i="3"/>
  <c r="Q233" i="3"/>
  <c r="I233" i="3"/>
  <c r="M233" i="3"/>
  <c r="L233" i="3"/>
  <c r="P233" i="3"/>
  <c r="R265" i="3"/>
  <c r="K265" i="3"/>
  <c r="J265" i="3"/>
  <c r="O265" i="3"/>
  <c r="N265" i="3"/>
  <c r="Q265" i="3"/>
  <c r="P265" i="3"/>
  <c r="L265" i="3"/>
  <c r="I265" i="3"/>
  <c r="M265" i="3"/>
  <c r="K289" i="3"/>
  <c r="R289" i="3"/>
  <c r="M289" i="3"/>
  <c r="O289" i="3"/>
  <c r="Q289" i="3"/>
  <c r="L289" i="3"/>
  <c r="P289" i="3"/>
  <c r="I289" i="3"/>
  <c r="N289" i="3"/>
  <c r="J289" i="3"/>
  <c r="O168" i="3"/>
  <c r="K168" i="3"/>
  <c r="Q168" i="3"/>
  <c r="P168" i="3"/>
  <c r="I168" i="3"/>
  <c r="J168" i="3"/>
  <c r="M168" i="3"/>
  <c r="L168" i="3"/>
  <c r="R168" i="3"/>
  <c r="N168" i="3"/>
  <c r="O200" i="3"/>
  <c r="N200" i="3"/>
  <c r="K200" i="3"/>
  <c r="Q200" i="3"/>
  <c r="P200" i="3"/>
  <c r="I200" i="3"/>
  <c r="M200" i="3"/>
  <c r="R200" i="3"/>
  <c r="J200" i="3"/>
  <c r="L200" i="3"/>
  <c r="O232" i="3"/>
  <c r="N232" i="3"/>
  <c r="K232" i="3"/>
  <c r="Q232" i="3"/>
  <c r="P232" i="3"/>
  <c r="I232" i="3"/>
  <c r="S232" i="3" s="1"/>
  <c r="M232" i="3"/>
  <c r="L232" i="3"/>
  <c r="R232" i="3"/>
  <c r="J232" i="3"/>
  <c r="O264" i="3"/>
  <c r="N264" i="3"/>
  <c r="K264" i="3"/>
  <c r="Q264" i="3"/>
  <c r="P264" i="3"/>
  <c r="I264" i="3"/>
  <c r="M264" i="3"/>
  <c r="R264" i="3"/>
  <c r="L264" i="3"/>
  <c r="J264" i="3"/>
  <c r="K512" i="3"/>
  <c r="I512" i="3"/>
  <c r="P512" i="3"/>
  <c r="N512" i="3"/>
  <c r="R512" i="3"/>
  <c r="J512" i="3"/>
  <c r="M512" i="3"/>
  <c r="O512" i="3"/>
  <c r="L512" i="3"/>
  <c r="Q512" i="3"/>
  <c r="Q163" i="3"/>
  <c r="I163" i="3"/>
  <c r="O163" i="3"/>
  <c r="K163" i="3"/>
  <c r="P163" i="3"/>
  <c r="M163" i="3"/>
  <c r="R163" i="3"/>
  <c r="L163" i="3"/>
  <c r="J163" i="3"/>
  <c r="N163" i="3"/>
  <c r="N195" i="3"/>
  <c r="Q195" i="3"/>
  <c r="R195" i="3"/>
  <c r="I195" i="3"/>
  <c r="O195" i="3"/>
  <c r="L195" i="3"/>
  <c r="K195" i="3"/>
  <c r="P195" i="3"/>
  <c r="M195" i="3"/>
  <c r="J195" i="3"/>
  <c r="N227" i="3"/>
  <c r="Q227" i="3"/>
  <c r="R227" i="3"/>
  <c r="I227" i="3"/>
  <c r="S227" i="3" s="1"/>
  <c r="O227" i="3"/>
  <c r="L227" i="3"/>
  <c r="K227" i="3"/>
  <c r="P227" i="3"/>
  <c r="J227" i="3"/>
  <c r="M227" i="3"/>
  <c r="N259" i="3"/>
  <c r="Q259" i="3"/>
  <c r="R259" i="3"/>
  <c r="I259" i="3"/>
  <c r="O259" i="3"/>
  <c r="L259" i="3"/>
  <c r="K259" i="3"/>
  <c r="P259" i="3"/>
  <c r="J259" i="3"/>
  <c r="M259" i="3"/>
  <c r="O282" i="3"/>
  <c r="K282" i="3"/>
  <c r="Q282" i="3"/>
  <c r="J282" i="3"/>
  <c r="M282" i="3"/>
  <c r="P282" i="3"/>
  <c r="L282" i="3"/>
  <c r="R282" i="3"/>
  <c r="N282" i="3"/>
  <c r="I282" i="3"/>
  <c r="O314" i="3"/>
  <c r="J314" i="3"/>
  <c r="K314" i="3"/>
  <c r="P314" i="3"/>
  <c r="M314" i="3"/>
  <c r="R314" i="3"/>
  <c r="N314" i="3"/>
  <c r="Q314" i="3"/>
  <c r="I314" i="3"/>
  <c r="L314" i="3"/>
  <c r="O346" i="3"/>
  <c r="I346" i="3"/>
  <c r="N346" i="3"/>
  <c r="K346" i="3"/>
  <c r="M346" i="3"/>
  <c r="Q346" i="3"/>
  <c r="L346" i="3"/>
  <c r="R346" i="3"/>
  <c r="P346" i="3"/>
  <c r="J346" i="3"/>
  <c r="O378" i="3"/>
  <c r="N378" i="3"/>
  <c r="K378" i="3"/>
  <c r="J378" i="3"/>
  <c r="L378" i="3"/>
  <c r="R378" i="3"/>
  <c r="M378" i="3"/>
  <c r="Q378" i="3"/>
  <c r="P378" i="3"/>
  <c r="I378" i="3"/>
  <c r="S378" i="3" s="1"/>
  <c r="R444" i="3"/>
  <c r="O444" i="3"/>
  <c r="M444" i="3"/>
  <c r="L444" i="3"/>
  <c r="P444" i="3"/>
  <c r="J444" i="3"/>
  <c r="Q444" i="3"/>
  <c r="I444" i="3"/>
  <c r="S444" i="3" s="1"/>
  <c r="N444" i="3"/>
  <c r="K444" i="3"/>
  <c r="R280" i="3"/>
  <c r="J280" i="3"/>
  <c r="O280" i="3"/>
  <c r="N280" i="3"/>
  <c r="P280" i="3"/>
  <c r="L280" i="3"/>
  <c r="Q280" i="3"/>
  <c r="M280" i="3"/>
  <c r="I280" i="3"/>
  <c r="K280" i="3"/>
  <c r="N312" i="3"/>
  <c r="M312" i="3"/>
  <c r="K312" i="3"/>
  <c r="J312" i="3"/>
  <c r="R312" i="3"/>
  <c r="O312" i="3"/>
  <c r="Q312" i="3"/>
  <c r="L312" i="3"/>
  <c r="P312" i="3"/>
  <c r="I312" i="3"/>
  <c r="M344" i="3"/>
  <c r="J344" i="3"/>
  <c r="R344" i="3"/>
  <c r="L344" i="3"/>
  <c r="K344" i="3"/>
  <c r="O344" i="3"/>
  <c r="P344" i="3"/>
  <c r="Q344" i="3"/>
  <c r="N344" i="3"/>
  <c r="I344" i="3"/>
  <c r="S344" i="3" s="1"/>
  <c r="L376" i="3"/>
  <c r="M376" i="3"/>
  <c r="N376" i="3"/>
  <c r="R376" i="3"/>
  <c r="K376" i="3"/>
  <c r="J376" i="3"/>
  <c r="O376" i="3"/>
  <c r="P376" i="3"/>
  <c r="Q376" i="3"/>
  <c r="I376" i="3"/>
  <c r="O428" i="3"/>
  <c r="K428" i="3"/>
  <c r="M428" i="3"/>
  <c r="L428" i="3"/>
  <c r="N428" i="3"/>
  <c r="Q428" i="3"/>
  <c r="P428" i="3"/>
  <c r="I428" i="3"/>
  <c r="J428" i="3"/>
  <c r="R428" i="3"/>
  <c r="I496" i="3"/>
  <c r="L496" i="3"/>
  <c r="R496" i="3"/>
  <c r="O496" i="3"/>
  <c r="M496" i="3"/>
  <c r="K496" i="3"/>
  <c r="P496" i="3"/>
  <c r="J496" i="3"/>
  <c r="N496" i="3"/>
  <c r="Q496" i="3"/>
  <c r="O299" i="3"/>
  <c r="J299" i="3"/>
  <c r="R299" i="3"/>
  <c r="N299" i="3"/>
  <c r="P299" i="3"/>
  <c r="Q299" i="3"/>
  <c r="L299" i="3"/>
  <c r="M299" i="3"/>
  <c r="I299" i="3"/>
  <c r="K299" i="3"/>
  <c r="J331" i="3"/>
  <c r="O331" i="3"/>
  <c r="R331" i="3"/>
  <c r="P331" i="3"/>
  <c r="L331" i="3"/>
  <c r="K331" i="3"/>
  <c r="Q331" i="3"/>
  <c r="M331" i="3"/>
  <c r="I331" i="3"/>
  <c r="N331" i="3"/>
  <c r="R363" i="3"/>
  <c r="J363" i="3"/>
  <c r="O363" i="3"/>
  <c r="P363" i="3"/>
  <c r="N363" i="3"/>
  <c r="Q363" i="3"/>
  <c r="K363" i="3"/>
  <c r="L363" i="3"/>
  <c r="M363" i="3"/>
  <c r="I363" i="3"/>
  <c r="R395" i="3"/>
  <c r="J395" i="3"/>
  <c r="O395" i="3"/>
  <c r="K395" i="3"/>
  <c r="P395" i="3"/>
  <c r="N395" i="3"/>
  <c r="Q395" i="3"/>
  <c r="I395" i="3"/>
  <c r="L395" i="3"/>
  <c r="M395" i="3"/>
  <c r="N409" i="3"/>
  <c r="K409" i="3"/>
  <c r="I409" i="3"/>
  <c r="J409" i="3"/>
  <c r="Q409" i="3"/>
  <c r="R409" i="3"/>
  <c r="P409" i="3"/>
  <c r="M409" i="3"/>
  <c r="O409" i="3"/>
  <c r="L409" i="3"/>
  <c r="I441" i="3"/>
  <c r="J441" i="3"/>
  <c r="K441" i="3"/>
  <c r="Q441" i="3"/>
  <c r="M441" i="3"/>
  <c r="R441" i="3"/>
  <c r="N441" i="3"/>
  <c r="L441" i="3"/>
  <c r="P441" i="3"/>
  <c r="O441" i="3"/>
  <c r="R473" i="3"/>
  <c r="K473" i="3"/>
  <c r="J473" i="3"/>
  <c r="I473" i="3"/>
  <c r="P473" i="3"/>
  <c r="Q473" i="3"/>
  <c r="L473" i="3"/>
  <c r="N473" i="3"/>
  <c r="O473" i="3"/>
  <c r="M473" i="3"/>
  <c r="R505" i="3"/>
  <c r="K505" i="3"/>
  <c r="J505" i="3"/>
  <c r="M505" i="3"/>
  <c r="Q505" i="3"/>
  <c r="L505" i="3"/>
  <c r="P505" i="3"/>
  <c r="N505" i="3"/>
  <c r="I505" i="3"/>
  <c r="O505" i="3"/>
  <c r="Q415" i="3"/>
  <c r="I415" i="3"/>
  <c r="O415" i="3"/>
  <c r="M415" i="3"/>
  <c r="R415" i="3"/>
  <c r="K415" i="3"/>
  <c r="J415" i="3"/>
  <c r="N415" i="3"/>
  <c r="P415" i="3"/>
  <c r="L415" i="3"/>
  <c r="M447" i="3"/>
  <c r="O447" i="3"/>
  <c r="R447" i="3"/>
  <c r="Q447" i="3"/>
  <c r="J447" i="3"/>
  <c r="I447" i="3"/>
  <c r="N447" i="3"/>
  <c r="L447" i="3"/>
  <c r="P447" i="3"/>
  <c r="K447" i="3"/>
  <c r="Q479" i="3"/>
  <c r="I479" i="3"/>
  <c r="O479" i="3"/>
  <c r="N479" i="3"/>
  <c r="M479" i="3"/>
  <c r="L479" i="3"/>
  <c r="K479" i="3"/>
  <c r="R479" i="3"/>
  <c r="P479" i="3"/>
  <c r="J479" i="3"/>
  <c r="L511" i="3"/>
  <c r="O511" i="3"/>
  <c r="M511" i="3"/>
  <c r="N511" i="3"/>
  <c r="Q511" i="3"/>
  <c r="P511" i="3"/>
  <c r="I511" i="3"/>
  <c r="K511" i="3"/>
  <c r="R511" i="3"/>
  <c r="J511" i="3"/>
  <c r="O418" i="3"/>
  <c r="N418" i="3"/>
  <c r="Q418" i="3"/>
  <c r="I418" i="3"/>
  <c r="R418" i="3"/>
  <c r="M418" i="3"/>
  <c r="K418" i="3"/>
  <c r="L418" i="3"/>
  <c r="J418" i="3"/>
  <c r="P418" i="3"/>
  <c r="O450" i="3"/>
  <c r="Q450" i="3"/>
  <c r="I450" i="3"/>
  <c r="K450" i="3"/>
  <c r="L450" i="3"/>
  <c r="M450" i="3"/>
  <c r="J450" i="3"/>
  <c r="R450" i="3"/>
  <c r="N450" i="3"/>
  <c r="P450" i="3"/>
  <c r="O482" i="3"/>
  <c r="J482" i="3"/>
  <c r="Q482" i="3"/>
  <c r="R482" i="3"/>
  <c r="I482" i="3"/>
  <c r="P482" i="3"/>
  <c r="M482" i="3"/>
  <c r="K482" i="3"/>
  <c r="N482" i="3"/>
  <c r="L482" i="3"/>
  <c r="O514" i="3"/>
  <c r="N514" i="3"/>
  <c r="Q514" i="3"/>
  <c r="K514" i="3"/>
  <c r="I514" i="3"/>
  <c r="P514" i="3"/>
  <c r="R514" i="3"/>
  <c r="M514" i="3"/>
  <c r="L514" i="3"/>
  <c r="J514" i="3"/>
  <c r="I940" i="3"/>
  <c r="O940" i="3"/>
  <c r="L940" i="3"/>
  <c r="K940" i="3"/>
  <c r="R940" i="3"/>
  <c r="M940" i="3"/>
  <c r="J940" i="3"/>
  <c r="N940" i="3"/>
  <c r="Q940" i="3"/>
  <c r="P940" i="3"/>
  <c r="L1184" i="3"/>
  <c r="Q1184" i="3"/>
  <c r="K1184" i="3"/>
  <c r="J1184" i="3"/>
  <c r="O1184" i="3"/>
  <c r="I1184" i="3"/>
  <c r="N1184" i="3"/>
  <c r="M1184" i="3"/>
  <c r="P1184" i="3"/>
  <c r="R1184" i="3"/>
  <c r="M957" i="3"/>
  <c r="K957" i="3"/>
  <c r="Q957" i="3"/>
  <c r="I957" i="3"/>
  <c r="J957" i="3"/>
  <c r="N957" i="3"/>
  <c r="O957" i="3"/>
  <c r="R957" i="3"/>
  <c r="L957" i="3"/>
  <c r="P957" i="3"/>
  <c r="M989" i="3"/>
  <c r="K989" i="3"/>
  <c r="Q989" i="3"/>
  <c r="I989" i="3"/>
  <c r="S989" i="3" s="1"/>
  <c r="P989" i="3"/>
  <c r="O989" i="3"/>
  <c r="J989" i="3"/>
  <c r="N989" i="3"/>
  <c r="R989" i="3"/>
  <c r="L989" i="3"/>
  <c r="M1021" i="3"/>
  <c r="L1021" i="3"/>
  <c r="K1021" i="3"/>
  <c r="J1021" i="3"/>
  <c r="Q1021" i="3"/>
  <c r="I1021" i="3"/>
  <c r="N1021" i="3"/>
  <c r="O1021" i="3"/>
  <c r="P1021" i="3"/>
  <c r="R1021" i="3"/>
  <c r="M1053" i="3"/>
  <c r="L1053" i="3"/>
  <c r="K1053" i="3"/>
  <c r="Q1053" i="3"/>
  <c r="I1053" i="3"/>
  <c r="R1053" i="3"/>
  <c r="N1053" i="3"/>
  <c r="J1053" i="3"/>
  <c r="O1053" i="3"/>
  <c r="P1053" i="3"/>
  <c r="M1085" i="3"/>
  <c r="L1085" i="3"/>
  <c r="K1085" i="3"/>
  <c r="Q1085" i="3"/>
  <c r="P1085" i="3"/>
  <c r="I1085" i="3"/>
  <c r="S1085" i="3" s="1"/>
  <c r="N1085" i="3"/>
  <c r="O1085" i="3"/>
  <c r="R1085" i="3"/>
  <c r="J1085" i="3"/>
  <c r="K964" i="3"/>
  <c r="M964" i="3"/>
  <c r="R964" i="3"/>
  <c r="N964" i="3"/>
  <c r="Q964" i="3"/>
  <c r="I964" i="3"/>
  <c r="L964" i="3"/>
  <c r="O964" i="3"/>
  <c r="P964" i="3"/>
  <c r="J964" i="3"/>
  <c r="K996" i="3"/>
  <c r="M996" i="3"/>
  <c r="L996" i="3"/>
  <c r="Q996" i="3"/>
  <c r="P996" i="3"/>
  <c r="J996" i="3"/>
  <c r="I996" i="3"/>
  <c r="R996" i="3"/>
  <c r="N996" i="3"/>
  <c r="O996" i="3"/>
  <c r="K1028" i="3"/>
  <c r="R1028" i="3"/>
  <c r="J1028" i="3"/>
  <c r="M1028" i="3"/>
  <c r="P1028" i="3"/>
  <c r="L1028" i="3"/>
  <c r="Q1028" i="3"/>
  <c r="I1028" i="3"/>
  <c r="S1028" i="3" s="1"/>
  <c r="N1028" i="3"/>
  <c r="O1028" i="3"/>
  <c r="K1060" i="3"/>
  <c r="R1060" i="3"/>
  <c r="J1060" i="3"/>
  <c r="Q1060" i="3"/>
  <c r="M1060" i="3"/>
  <c r="I1060" i="3"/>
  <c r="S1060" i="3" s="1"/>
  <c r="L1060" i="3"/>
  <c r="N1060" i="3"/>
  <c r="P1060" i="3"/>
  <c r="O1060" i="3"/>
  <c r="K1092" i="3"/>
  <c r="R1092" i="3"/>
  <c r="I1092" i="3"/>
  <c r="J1092" i="3"/>
  <c r="M1092" i="3"/>
  <c r="P1092" i="3"/>
  <c r="L1092" i="3"/>
  <c r="Q1092" i="3"/>
  <c r="O1092" i="3"/>
  <c r="N1092" i="3"/>
  <c r="Q967" i="3"/>
  <c r="I967" i="3"/>
  <c r="O967" i="3"/>
  <c r="M967" i="3"/>
  <c r="N967" i="3"/>
  <c r="R967" i="3"/>
  <c r="K967" i="3"/>
  <c r="L967" i="3"/>
  <c r="P967" i="3"/>
  <c r="J967" i="3"/>
  <c r="Q999" i="3"/>
  <c r="I999" i="3"/>
  <c r="L999" i="3"/>
  <c r="P999" i="3"/>
  <c r="O999" i="3"/>
  <c r="M999" i="3"/>
  <c r="J999" i="3"/>
  <c r="K999" i="3"/>
  <c r="N999" i="3"/>
  <c r="R999" i="3"/>
  <c r="P1031" i="3"/>
  <c r="Q1031" i="3"/>
  <c r="I1031" i="3"/>
  <c r="O1031" i="3"/>
  <c r="M1031" i="3"/>
  <c r="L1031" i="3"/>
  <c r="K1031" i="3"/>
  <c r="R1031" i="3"/>
  <c r="N1031" i="3"/>
  <c r="J1031" i="3"/>
  <c r="O1063" i="3"/>
  <c r="P1063" i="3"/>
  <c r="Q1063" i="3"/>
  <c r="I1063" i="3"/>
  <c r="S1063" i="3" s="1"/>
  <c r="M1063" i="3"/>
  <c r="N1063" i="3"/>
  <c r="K1063" i="3"/>
  <c r="R1063" i="3"/>
  <c r="J1063" i="3"/>
  <c r="L1063" i="3"/>
  <c r="O1095" i="3"/>
  <c r="P1095" i="3"/>
  <c r="Q1095" i="3"/>
  <c r="I1095" i="3"/>
  <c r="M1095" i="3"/>
  <c r="L1095" i="3"/>
  <c r="K1095" i="3"/>
  <c r="R1095" i="3"/>
  <c r="J1095" i="3"/>
  <c r="N1095" i="3"/>
  <c r="O966" i="3"/>
  <c r="M966" i="3"/>
  <c r="K966" i="3"/>
  <c r="L966" i="3"/>
  <c r="P966" i="3"/>
  <c r="R966" i="3"/>
  <c r="Q966" i="3"/>
  <c r="J966" i="3"/>
  <c r="N966" i="3"/>
  <c r="I966" i="3"/>
  <c r="O998" i="3"/>
  <c r="J998" i="3"/>
  <c r="N998" i="3"/>
  <c r="M998" i="3"/>
  <c r="K998" i="3"/>
  <c r="Q998" i="3"/>
  <c r="I998" i="3"/>
  <c r="L998" i="3"/>
  <c r="P998" i="3"/>
  <c r="R998" i="3"/>
  <c r="O1030" i="3"/>
  <c r="N1030" i="3"/>
  <c r="M1030" i="3"/>
  <c r="R1030" i="3"/>
  <c r="K1030" i="3"/>
  <c r="J1030" i="3"/>
  <c r="Q1030" i="3"/>
  <c r="I1030" i="3"/>
  <c r="L1030" i="3"/>
  <c r="P1030" i="3"/>
  <c r="O1062" i="3"/>
  <c r="N1062" i="3"/>
  <c r="K1062" i="3"/>
  <c r="L1062" i="3"/>
  <c r="Q1062" i="3"/>
  <c r="J1062" i="3"/>
  <c r="I1062" i="3"/>
  <c r="R1062" i="3"/>
  <c r="M1062" i="3"/>
  <c r="P1062" i="3"/>
  <c r="O1094" i="3"/>
  <c r="M1094" i="3"/>
  <c r="N1094" i="3"/>
  <c r="L1094" i="3"/>
  <c r="R1094" i="3"/>
  <c r="K1094" i="3"/>
  <c r="Q1094" i="3"/>
  <c r="I1094" i="3"/>
  <c r="S1094" i="3" s="1"/>
  <c r="P1094" i="3"/>
  <c r="J1094" i="3"/>
  <c r="M1151" i="3"/>
  <c r="O1151" i="3"/>
  <c r="R1151" i="3"/>
  <c r="J1151" i="3"/>
  <c r="N1151" i="3"/>
  <c r="Q1151" i="3"/>
  <c r="I1151" i="3"/>
  <c r="L1151" i="3"/>
  <c r="K1151" i="3"/>
  <c r="P1151" i="3"/>
  <c r="K1102" i="3"/>
  <c r="R1102" i="3"/>
  <c r="I1102" i="3"/>
  <c r="O1102" i="3"/>
  <c r="Q1102" i="3"/>
  <c r="N1102" i="3"/>
  <c r="P1102" i="3"/>
  <c r="L1102" i="3"/>
  <c r="J1102" i="3"/>
  <c r="M1102" i="3"/>
  <c r="I1134" i="3"/>
  <c r="L1134" i="3"/>
  <c r="P1134" i="3"/>
  <c r="K1134" i="3"/>
  <c r="M1134" i="3"/>
  <c r="R1134" i="3"/>
  <c r="N1134" i="3"/>
  <c r="O1134" i="3"/>
  <c r="Q1134" i="3"/>
  <c r="J1134" i="3"/>
  <c r="I1166" i="3"/>
  <c r="P1166" i="3"/>
  <c r="L1166" i="3"/>
  <c r="K1166" i="3"/>
  <c r="M1166" i="3"/>
  <c r="R1166" i="3"/>
  <c r="J1166" i="3"/>
  <c r="O1166" i="3"/>
  <c r="Q1166" i="3"/>
  <c r="N1166" i="3"/>
  <c r="O1133" i="3"/>
  <c r="R1133" i="3"/>
  <c r="J1133" i="3"/>
  <c r="Q1133" i="3"/>
  <c r="I1133" i="3"/>
  <c r="K1133" i="3"/>
  <c r="L1133" i="3"/>
  <c r="M1133" i="3"/>
  <c r="P1133" i="3"/>
  <c r="N1133" i="3"/>
  <c r="O1165" i="3"/>
  <c r="N1165" i="3"/>
  <c r="R1165" i="3"/>
  <c r="L1165" i="3"/>
  <c r="J1165" i="3"/>
  <c r="Q1165" i="3"/>
  <c r="I1165" i="3"/>
  <c r="K1165" i="3"/>
  <c r="P1165" i="3"/>
  <c r="M1165" i="3"/>
  <c r="K1100" i="3"/>
  <c r="M1100" i="3"/>
  <c r="N1100" i="3"/>
  <c r="O1100" i="3"/>
  <c r="L1100" i="3"/>
  <c r="P1100" i="3"/>
  <c r="Q1100" i="3"/>
  <c r="J1100" i="3"/>
  <c r="R1100" i="3"/>
  <c r="I1100" i="3"/>
  <c r="S1100" i="3" s="1"/>
  <c r="K1132" i="3"/>
  <c r="M1132" i="3"/>
  <c r="R1132" i="3"/>
  <c r="P1132" i="3"/>
  <c r="O1132" i="3"/>
  <c r="Q1132" i="3"/>
  <c r="I1132" i="3"/>
  <c r="L1132" i="3"/>
  <c r="N1132" i="3"/>
  <c r="J1132" i="3"/>
  <c r="K1164" i="3"/>
  <c r="M1164" i="3"/>
  <c r="L1164" i="3"/>
  <c r="R1164" i="3"/>
  <c r="P1164" i="3"/>
  <c r="O1164" i="3"/>
  <c r="Q1164" i="3"/>
  <c r="N1164" i="3"/>
  <c r="I1164" i="3"/>
  <c r="J1164" i="3"/>
  <c r="I1198" i="3"/>
  <c r="N1198" i="3"/>
  <c r="J1198" i="3"/>
  <c r="R1198" i="3"/>
  <c r="K1198" i="3"/>
  <c r="M1198" i="3"/>
  <c r="O1198" i="3"/>
  <c r="L1198" i="3"/>
  <c r="Q1198" i="3"/>
  <c r="P1198" i="3"/>
  <c r="O1265" i="3"/>
  <c r="R1265" i="3"/>
  <c r="I1265" i="3"/>
  <c r="J1265" i="3"/>
  <c r="P1265" i="3"/>
  <c r="L1265" i="3"/>
  <c r="N1265" i="3"/>
  <c r="M1265" i="3"/>
  <c r="K1265" i="3"/>
  <c r="Q1265" i="3"/>
  <c r="Q1205" i="3"/>
  <c r="R1205" i="3"/>
  <c r="I1205" i="3"/>
  <c r="M1205" i="3"/>
  <c r="K1205" i="3"/>
  <c r="J1205" i="3"/>
  <c r="N1205" i="3"/>
  <c r="O1205" i="3"/>
  <c r="P1205" i="3"/>
  <c r="L1205" i="3"/>
  <c r="P1188" i="3"/>
  <c r="O1188" i="3"/>
  <c r="Q1188" i="3"/>
  <c r="K1188" i="3"/>
  <c r="I1188" i="3"/>
  <c r="M1188" i="3"/>
  <c r="J1188" i="3"/>
  <c r="N1188" i="3"/>
  <c r="L1188" i="3"/>
  <c r="R1188" i="3"/>
  <c r="P1220" i="3"/>
  <c r="O1220" i="3"/>
  <c r="Q1220" i="3"/>
  <c r="K1220" i="3"/>
  <c r="R1220" i="3"/>
  <c r="L1220" i="3"/>
  <c r="I1220" i="3"/>
  <c r="N1220" i="3"/>
  <c r="J1220" i="3"/>
  <c r="M1220" i="3"/>
  <c r="L1179" i="3"/>
  <c r="J1179" i="3"/>
  <c r="I1179" i="3"/>
  <c r="O1179" i="3"/>
  <c r="N1179" i="3"/>
  <c r="Q1179" i="3"/>
  <c r="K1179" i="3"/>
  <c r="R1179" i="3"/>
  <c r="M1179" i="3"/>
  <c r="P1179" i="3"/>
  <c r="M1211" i="3"/>
  <c r="L1211" i="3"/>
  <c r="P1211" i="3"/>
  <c r="Q1211" i="3"/>
  <c r="O1211" i="3"/>
  <c r="I1211" i="3"/>
  <c r="J1211" i="3"/>
  <c r="N1211" i="3"/>
  <c r="R1211" i="3"/>
  <c r="K1211" i="3"/>
  <c r="K1232" i="3"/>
  <c r="Q1232" i="3"/>
  <c r="M1232" i="3"/>
  <c r="L1232" i="3"/>
  <c r="J1232" i="3"/>
  <c r="I1232" i="3"/>
  <c r="S1232" i="3" s="1"/>
  <c r="O1232" i="3"/>
  <c r="R1232" i="3"/>
  <c r="P1232" i="3"/>
  <c r="N1232" i="3"/>
  <c r="K1264" i="3"/>
  <c r="Q1264" i="3"/>
  <c r="M1264" i="3"/>
  <c r="I1264" i="3"/>
  <c r="S1264" i="3" s="1"/>
  <c r="O1264" i="3"/>
  <c r="R1264" i="3"/>
  <c r="P1264" i="3"/>
  <c r="N1264" i="3"/>
  <c r="J1264" i="3"/>
  <c r="L1264" i="3"/>
  <c r="K1293" i="3"/>
  <c r="I1293" i="3"/>
  <c r="J1293" i="3"/>
  <c r="R1293" i="3"/>
  <c r="L1293" i="3"/>
  <c r="N1293" i="3"/>
  <c r="P1293" i="3"/>
  <c r="M1293" i="3"/>
  <c r="Q1293" i="3"/>
  <c r="O1293" i="3"/>
  <c r="I1243" i="3"/>
  <c r="O1243" i="3"/>
  <c r="M1243" i="3"/>
  <c r="K1243" i="3"/>
  <c r="N1243" i="3"/>
  <c r="R1243" i="3"/>
  <c r="J1243" i="3"/>
  <c r="Q1243" i="3"/>
  <c r="L1243" i="3"/>
  <c r="P1243" i="3"/>
  <c r="I1275" i="3"/>
  <c r="O1275" i="3"/>
  <c r="M1275" i="3"/>
  <c r="K1275" i="3"/>
  <c r="L1275" i="3"/>
  <c r="N1275" i="3"/>
  <c r="R1275" i="3"/>
  <c r="P1275" i="3"/>
  <c r="J1275" i="3"/>
  <c r="Q1275" i="3"/>
  <c r="R1316" i="3"/>
  <c r="J1316" i="3"/>
  <c r="K1316" i="3"/>
  <c r="P1316" i="3"/>
  <c r="Q1316" i="3"/>
  <c r="L1316" i="3"/>
  <c r="N1316" i="3"/>
  <c r="I1316" i="3"/>
  <c r="M1316" i="3"/>
  <c r="O1316" i="3"/>
  <c r="K1254" i="3"/>
  <c r="R1254" i="3"/>
  <c r="L1254" i="3"/>
  <c r="P1254" i="3"/>
  <c r="J1254" i="3"/>
  <c r="Q1254" i="3"/>
  <c r="N1254" i="3"/>
  <c r="O1254" i="3"/>
  <c r="M1254" i="3"/>
  <c r="I1254" i="3"/>
  <c r="S1254" i="3" s="1"/>
  <c r="L1285" i="3"/>
  <c r="M1285" i="3"/>
  <c r="P1285" i="3"/>
  <c r="O1285" i="3"/>
  <c r="N1285" i="3"/>
  <c r="R1285" i="3"/>
  <c r="Q1285" i="3"/>
  <c r="J1285" i="3"/>
  <c r="I1285" i="3"/>
  <c r="K1285" i="3"/>
  <c r="M1269" i="3"/>
  <c r="P1269" i="3"/>
  <c r="L1269" i="3"/>
  <c r="K1269" i="3"/>
  <c r="Q1269" i="3"/>
  <c r="O1269" i="3"/>
  <c r="I1269" i="3"/>
  <c r="R1269" i="3"/>
  <c r="J1269" i="3"/>
  <c r="N1269" i="3"/>
  <c r="R1295" i="3"/>
  <c r="J1295" i="3"/>
  <c r="Q1295" i="3"/>
  <c r="I1295" i="3"/>
  <c r="S1295" i="3" s="1"/>
  <c r="O1295" i="3"/>
  <c r="K1295" i="3"/>
  <c r="M1295" i="3"/>
  <c r="P1295" i="3"/>
  <c r="N1295" i="3"/>
  <c r="L1295" i="3"/>
  <c r="M1327" i="3"/>
  <c r="Q1327" i="3"/>
  <c r="L1327" i="3"/>
  <c r="I1327" i="3"/>
  <c r="R1327" i="3"/>
  <c r="J1327" i="3"/>
  <c r="P1327" i="3"/>
  <c r="O1327" i="3"/>
  <c r="N1327" i="3"/>
  <c r="K1327" i="3"/>
  <c r="M1298" i="3"/>
  <c r="K1298" i="3"/>
  <c r="I1298" i="3"/>
  <c r="N1298" i="3"/>
  <c r="Q1298" i="3"/>
  <c r="P1298" i="3"/>
  <c r="L1298" i="3"/>
  <c r="O1298" i="3"/>
  <c r="R1298" i="3"/>
  <c r="J1298" i="3"/>
  <c r="M1330" i="3"/>
  <c r="N1330" i="3"/>
  <c r="L1330" i="3"/>
  <c r="P1330" i="3"/>
  <c r="I1330" i="3"/>
  <c r="K1330" i="3"/>
  <c r="O1330" i="3"/>
  <c r="R1330" i="3"/>
  <c r="Q1330" i="3"/>
  <c r="J1330" i="3"/>
  <c r="M239" i="2"/>
  <c r="L239" i="2"/>
  <c r="L238" i="2"/>
  <c r="M238" i="2"/>
  <c r="R131" i="2"/>
  <c r="M148" i="2"/>
  <c r="L148" i="2"/>
  <c r="F1592" i="3"/>
  <c r="F1588" i="3"/>
  <c r="F1584" i="3"/>
  <c r="F1593" i="3"/>
  <c r="F1589" i="3"/>
  <c r="F1585" i="3"/>
  <c r="F1594" i="3"/>
  <c r="F1590" i="3"/>
  <c r="F1586" i="3"/>
  <c r="F1595" i="3"/>
  <c r="F1591" i="3"/>
  <c r="F1587" i="3"/>
  <c r="F778" i="3"/>
  <c r="F774" i="3"/>
  <c r="F770" i="3"/>
  <c r="F779" i="3"/>
  <c r="F775" i="3"/>
  <c r="F771" i="3"/>
  <c r="F776" i="3"/>
  <c r="F772" i="3"/>
  <c r="F768" i="3"/>
  <c r="F777" i="3"/>
  <c r="F773" i="3"/>
  <c r="F769" i="3"/>
  <c r="F1425" i="3"/>
  <c r="F1420" i="3"/>
  <c r="F1417" i="3"/>
  <c r="F1423" i="3"/>
  <c r="F1427" i="3"/>
  <c r="F1416" i="3"/>
  <c r="F1419" i="3"/>
  <c r="F1426" i="3"/>
  <c r="F1422" i="3"/>
  <c r="F1424" i="3"/>
  <c r="F1421" i="3"/>
  <c r="F1418" i="3"/>
  <c r="F611" i="3"/>
  <c r="F607" i="3"/>
  <c r="F603" i="3"/>
  <c r="F610" i="3"/>
  <c r="F606" i="3"/>
  <c r="F602" i="3"/>
  <c r="F608" i="3"/>
  <c r="F604" i="3"/>
  <c r="F600" i="3"/>
  <c r="F601" i="3"/>
  <c r="F609" i="3"/>
  <c r="F605" i="3"/>
  <c r="F1695" i="3"/>
  <c r="F1698" i="3"/>
  <c r="F1692" i="3"/>
  <c r="F1701" i="3"/>
  <c r="F1694" i="3"/>
  <c r="F1703" i="3"/>
  <c r="F1700" i="3"/>
  <c r="F1697" i="3"/>
  <c r="F1699" i="3"/>
  <c r="F1696" i="3"/>
  <c r="F1693" i="3"/>
  <c r="F1702" i="3"/>
  <c r="F886" i="3"/>
  <c r="F882" i="3"/>
  <c r="F885" i="3"/>
  <c r="F881" i="3"/>
  <c r="F884" i="3"/>
  <c r="F880" i="3"/>
  <c r="F879" i="3"/>
  <c r="F883" i="3"/>
  <c r="F877" i="3"/>
  <c r="F876" i="3"/>
  <c r="F887" i="3"/>
  <c r="F878" i="3"/>
  <c r="F1600" i="3"/>
  <c r="F1596" i="3"/>
  <c r="F1605" i="3"/>
  <c r="F1603" i="3"/>
  <c r="F1597" i="3"/>
  <c r="F1598" i="3"/>
  <c r="F1607" i="3"/>
  <c r="F1604" i="3"/>
  <c r="F1601" i="3"/>
  <c r="F1602" i="3"/>
  <c r="F1599" i="3"/>
  <c r="F1606" i="3"/>
  <c r="F790" i="3"/>
  <c r="F786" i="3"/>
  <c r="F782" i="3"/>
  <c r="F791" i="3"/>
  <c r="F787" i="3"/>
  <c r="F783" i="3"/>
  <c r="F788" i="3"/>
  <c r="F784" i="3"/>
  <c r="F780" i="3"/>
  <c r="F789" i="3"/>
  <c r="F785" i="3"/>
  <c r="F781" i="3"/>
  <c r="M130" i="2"/>
  <c r="L130" i="2"/>
  <c r="M147" i="2"/>
  <c r="L147" i="2"/>
  <c r="P532" i="3"/>
  <c r="Q532" i="3"/>
  <c r="K532" i="3"/>
  <c r="R532" i="3"/>
  <c r="I532" i="3"/>
  <c r="J532" i="3"/>
  <c r="L532" i="3"/>
  <c r="N532" i="3"/>
  <c r="M532" i="3"/>
  <c r="O532" i="3"/>
  <c r="M538" i="3"/>
  <c r="Q538" i="3"/>
  <c r="P538" i="3"/>
  <c r="R538" i="3"/>
  <c r="I538" i="3"/>
  <c r="J538" i="3"/>
  <c r="K538" i="3"/>
  <c r="N538" i="3"/>
  <c r="L538" i="3"/>
  <c r="O538" i="3"/>
  <c r="M546" i="3"/>
  <c r="J546" i="3"/>
  <c r="R546" i="3"/>
  <c r="P546" i="3"/>
  <c r="Q546" i="3"/>
  <c r="I546" i="3"/>
  <c r="K546" i="3"/>
  <c r="O546" i="3"/>
  <c r="L546" i="3"/>
  <c r="N546" i="3"/>
  <c r="L704" i="3"/>
  <c r="N704" i="3"/>
  <c r="M704" i="3"/>
  <c r="Q704" i="3"/>
  <c r="P704" i="3"/>
  <c r="I704" i="3"/>
  <c r="K704" i="3"/>
  <c r="J704" i="3"/>
  <c r="O704" i="3"/>
  <c r="R704" i="3"/>
  <c r="Q696" i="3"/>
  <c r="P696" i="3"/>
  <c r="I696" i="3"/>
  <c r="K696" i="3"/>
  <c r="L696" i="3"/>
  <c r="R696" i="3"/>
  <c r="M696" i="3"/>
  <c r="J696" i="3"/>
  <c r="N696" i="3"/>
  <c r="O696" i="3"/>
  <c r="M574" i="3"/>
  <c r="K574" i="3"/>
  <c r="O574" i="3"/>
  <c r="Q574" i="3"/>
  <c r="I574" i="3"/>
  <c r="J574" i="3"/>
  <c r="L574" i="3"/>
  <c r="P574" i="3"/>
  <c r="R574" i="3"/>
  <c r="N574" i="3"/>
  <c r="M606" i="3"/>
  <c r="K606" i="3"/>
  <c r="L606" i="3"/>
  <c r="O606" i="3"/>
  <c r="Q606" i="3"/>
  <c r="I606" i="3"/>
  <c r="J606" i="3"/>
  <c r="P606" i="3"/>
  <c r="N606" i="3"/>
  <c r="R606" i="3"/>
  <c r="M638" i="3"/>
  <c r="K638" i="3"/>
  <c r="L638" i="3"/>
  <c r="O638" i="3"/>
  <c r="Q638" i="3"/>
  <c r="I638" i="3"/>
  <c r="P638" i="3"/>
  <c r="N638" i="3"/>
  <c r="R638" i="3"/>
  <c r="J638" i="3"/>
  <c r="M670" i="3"/>
  <c r="K670" i="3"/>
  <c r="L670" i="3"/>
  <c r="O670" i="3"/>
  <c r="Q670" i="3"/>
  <c r="I670" i="3"/>
  <c r="P670" i="3"/>
  <c r="J670" i="3"/>
  <c r="N670" i="3"/>
  <c r="R670" i="3"/>
  <c r="Q561" i="3"/>
  <c r="K561" i="3"/>
  <c r="I561" i="3"/>
  <c r="N561" i="3"/>
  <c r="L561" i="3"/>
  <c r="P561" i="3"/>
  <c r="R561" i="3"/>
  <c r="O561" i="3"/>
  <c r="J561" i="3"/>
  <c r="M561" i="3"/>
  <c r="R593" i="3"/>
  <c r="J593" i="3"/>
  <c r="Q593" i="3"/>
  <c r="K593" i="3"/>
  <c r="I593" i="3"/>
  <c r="S593" i="3" s="1"/>
  <c r="O593" i="3"/>
  <c r="N593" i="3"/>
  <c r="L593" i="3"/>
  <c r="M593" i="3"/>
  <c r="P593" i="3"/>
  <c r="R625" i="3"/>
  <c r="J625" i="3"/>
  <c r="Q625" i="3"/>
  <c r="K625" i="3"/>
  <c r="I625" i="3"/>
  <c r="M625" i="3"/>
  <c r="N625" i="3"/>
  <c r="L625" i="3"/>
  <c r="O625" i="3"/>
  <c r="P625" i="3"/>
  <c r="R657" i="3"/>
  <c r="J657" i="3"/>
  <c r="Q657" i="3"/>
  <c r="K657" i="3"/>
  <c r="I657" i="3"/>
  <c r="N657" i="3"/>
  <c r="L657" i="3"/>
  <c r="O657" i="3"/>
  <c r="P657" i="3"/>
  <c r="M657" i="3"/>
  <c r="M560" i="3"/>
  <c r="K560" i="3"/>
  <c r="Q560" i="3"/>
  <c r="O560" i="3"/>
  <c r="I560" i="3"/>
  <c r="P560" i="3"/>
  <c r="L560" i="3"/>
  <c r="J560" i="3"/>
  <c r="R560" i="3"/>
  <c r="N560" i="3"/>
  <c r="M592" i="3"/>
  <c r="P592" i="3"/>
  <c r="Q592" i="3"/>
  <c r="O592" i="3"/>
  <c r="I592" i="3"/>
  <c r="S592" i="3" s="1"/>
  <c r="L592" i="3"/>
  <c r="R592" i="3"/>
  <c r="J592" i="3"/>
  <c r="K592" i="3"/>
  <c r="N592" i="3"/>
  <c r="M624" i="3"/>
  <c r="P624" i="3"/>
  <c r="Q624" i="3"/>
  <c r="O624" i="3"/>
  <c r="I624" i="3"/>
  <c r="L624" i="3"/>
  <c r="K624" i="3"/>
  <c r="R624" i="3"/>
  <c r="J624" i="3"/>
  <c r="N624" i="3"/>
  <c r="M656" i="3"/>
  <c r="P656" i="3"/>
  <c r="Q656" i="3"/>
  <c r="O656" i="3"/>
  <c r="I656" i="3"/>
  <c r="K656" i="3"/>
  <c r="L656" i="3"/>
  <c r="R656" i="3"/>
  <c r="N656" i="3"/>
  <c r="J656" i="3"/>
  <c r="N673" i="3"/>
  <c r="K673" i="3"/>
  <c r="I673" i="3"/>
  <c r="M673" i="3"/>
  <c r="R673" i="3"/>
  <c r="P673" i="3"/>
  <c r="O673" i="3"/>
  <c r="Q673" i="3"/>
  <c r="J673" i="3"/>
  <c r="L673" i="3"/>
  <c r="M845" i="3"/>
  <c r="O845" i="3"/>
  <c r="R845" i="3"/>
  <c r="K845" i="3"/>
  <c r="Q845" i="3"/>
  <c r="N845" i="3"/>
  <c r="J845" i="3"/>
  <c r="I845" i="3"/>
  <c r="L845" i="3"/>
  <c r="P845" i="3"/>
  <c r="M567" i="3"/>
  <c r="O567" i="3"/>
  <c r="Q567" i="3"/>
  <c r="P567" i="3"/>
  <c r="I567" i="3"/>
  <c r="N567" i="3"/>
  <c r="L567" i="3"/>
  <c r="J567" i="3"/>
  <c r="R567" i="3"/>
  <c r="K567" i="3"/>
  <c r="M599" i="3"/>
  <c r="O599" i="3"/>
  <c r="N599" i="3"/>
  <c r="Q599" i="3"/>
  <c r="I599" i="3"/>
  <c r="P599" i="3"/>
  <c r="J599" i="3"/>
  <c r="R599" i="3"/>
  <c r="K599" i="3"/>
  <c r="L599" i="3"/>
  <c r="M631" i="3"/>
  <c r="O631" i="3"/>
  <c r="N631" i="3"/>
  <c r="Q631" i="3"/>
  <c r="P631" i="3"/>
  <c r="K631" i="3"/>
  <c r="J631" i="3"/>
  <c r="R631" i="3"/>
  <c r="I631" i="3"/>
  <c r="L631" i="3"/>
  <c r="M663" i="3"/>
  <c r="O663" i="3"/>
  <c r="N663" i="3"/>
  <c r="Q663" i="3"/>
  <c r="K663" i="3"/>
  <c r="J663" i="3"/>
  <c r="P663" i="3"/>
  <c r="I663" i="3"/>
  <c r="R663" i="3"/>
  <c r="L663" i="3"/>
  <c r="J678" i="3"/>
  <c r="L678" i="3"/>
  <c r="K678" i="3"/>
  <c r="P678" i="3"/>
  <c r="M678" i="3"/>
  <c r="R678" i="3"/>
  <c r="O678" i="3"/>
  <c r="I678" i="3"/>
  <c r="N678" i="3"/>
  <c r="Q678" i="3"/>
  <c r="R710" i="3"/>
  <c r="M710" i="3"/>
  <c r="Q710" i="3"/>
  <c r="K710" i="3"/>
  <c r="J710" i="3"/>
  <c r="I710" i="3"/>
  <c r="O710" i="3"/>
  <c r="L710" i="3"/>
  <c r="N710" i="3"/>
  <c r="P710" i="3"/>
  <c r="I742" i="3"/>
  <c r="N742" i="3"/>
  <c r="L742" i="3"/>
  <c r="J742" i="3"/>
  <c r="M742" i="3"/>
  <c r="K742" i="3"/>
  <c r="Q742" i="3"/>
  <c r="O742" i="3"/>
  <c r="P742" i="3"/>
  <c r="R742" i="3"/>
  <c r="I774" i="3"/>
  <c r="N774" i="3"/>
  <c r="M774" i="3"/>
  <c r="Q774" i="3"/>
  <c r="K774" i="3"/>
  <c r="R774" i="3"/>
  <c r="J774" i="3"/>
  <c r="P774" i="3"/>
  <c r="O774" i="3"/>
  <c r="L774" i="3"/>
  <c r="K801" i="3"/>
  <c r="Q801" i="3"/>
  <c r="I801" i="3"/>
  <c r="S801" i="3" s="1"/>
  <c r="M801" i="3"/>
  <c r="O801" i="3"/>
  <c r="L801" i="3"/>
  <c r="N801" i="3"/>
  <c r="R801" i="3"/>
  <c r="P801" i="3"/>
  <c r="J801" i="3"/>
  <c r="I708" i="3"/>
  <c r="K708" i="3"/>
  <c r="R708" i="3"/>
  <c r="J708" i="3"/>
  <c r="Q708" i="3"/>
  <c r="P708" i="3"/>
  <c r="N708" i="3"/>
  <c r="M708" i="3"/>
  <c r="O708" i="3"/>
  <c r="L708" i="3"/>
  <c r="I740" i="3"/>
  <c r="K740" i="3"/>
  <c r="J740" i="3"/>
  <c r="M740" i="3"/>
  <c r="L740" i="3"/>
  <c r="Q740" i="3"/>
  <c r="O740" i="3"/>
  <c r="P740" i="3"/>
  <c r="N740" i="3"/>
  <c r="R740" i="3"/>
  <c r="I772" i="3"/>
  <c r="K772" i="3"/>
  <c r="P772" i="3"/>
  <c r="M772" i="3"/>
  <c r="R772" i="3"/>
  <c r="J772" i="3"/>
  <c r="Q772" i="3"/>
  <c r="O772" i="3"/>
  <c r="L772" i="3"/>
  <c r="N772" i="3"/>
  <c r="R869" i="3"/>
  <c r="K869" i="3"/>
  <c r="Q869" i="3"/>
  <c r="J869" i="3"/>
  <c r="I869" i="3"/>
  <c r="N869" i="3"/>
  <c r="M869" i="3"/>
  <c r="L869" i="3"/>
  <c r="P869" i="3"/>
  <c r="O869" i="3"/>
  <c r="J679" i="3"/>
  <c r="L679" i="3"/>
  <c r="O679" i="3"/>
  <c r="Q679" i="3"/>
  <c r="N679" i="3"/>
  <c r="I679" i="3"/>
  <c r="K679" i="3"/>
  <c r="R679" i="3"/>
  <c r="P679" i="3"/>
  <c r="M679" i="3"/>
  <c r="R711" i="3"/>
  <c r="K711" i="3"/>
  <c r="O711" i="3"/>
  <c r="M711" i="3"/>
  <c r="P711" i="3"/>
  <c r="Q711" i="3"/>
  <c r="J711" i="3"/>
  <c r="I711" i="3"/>
  <c r="L711" i="3"/>
  <c r="N711" i="3"/>
  <c r="J743" i="3"/>
  <c r="P743" i="3"/>
  <c r="L743" i="3"/>
  <c r="K743" i="3"/>
  <c r="O743" i="3"/>
  <c r="M743" i="3"/>
  <c r="Q743" i="3"/>
  <c r="R743" i="3"/>
  <c r="I743" i="3"/>
  <c r="N743" i="3"/>
  <c r="P775" i="3"/>
  <c r="O775" i="3"/>
  <c r="M775" i="3"/>
  <c r="K775" i="3"/>
  <c r="L775" i="3"/>
  <c r="R775" i="3"/>
  <c r="Q775" i="3"/>
  <c r="J775" i="3"/>
  <c r="I775" i="3"/>
  <c r="N775" i="3"/>
  <c r="M909" i="3"/>
  <c r="N909" i="3"/>
  <c r="L909" i="3"/>
  <c r="R909" i="3"/>
  <c r="J909" i="3"/>
  <c r="P909" i="3"/>
  <c r="K909" i="3"/>
  <c r="Q909" i="3"/>
  <c r="I909" i="3"/>
  <c r="S909" i="3" s="1"/>
  <c r="O909" i="3"/>
  <c r="Q800" i="3"/>
  <c r="I800" i="3"/>
  <c r="O800" i="3"/>
  <c r="P800" i="3"/>
  <c r="M800" i="3"/>
  <c r="K800" i="3"/>
  <c r="N800" i="3"/>
  <c r="R800" i="3"/>
  <c r="L800" i="3"/>
  <c r="J800" i="3"/>
  <c r="Q832" i="3"/>
  <c r="P832" i="3"/>
  <c r="M832" i="3"/>
  <c r="I832" i="3"/>
  <c r="O832" i="3"/>
  <c r="N832" i="3"/>
  <c r="K832" i="3"/>
  <c r="R832" i="3"/>
  <c r="L832" i="3"/>
  <c r="J832" i="3"/>
  <c r="N864" i="3"/>
  <c r="Q864" i="3"/>
  <c r="I864" i="3"/>
  <c r="S864" i="3" s="1"/>
  <c r="O864" i="3"/>
  <c r="R864" i="3"/>
  <c r="K864" i="3"/>
  <c r="L864" i="3"/>
  <c r="P864" i="3"/>
  <c r="M864" i="3"/>
  <c r="J864" i="3"/>
  <c r="L896" i="3"/>
  <c r="M896" i="3"/>
  <c r="R896" i="3"/>
  <c r="Q896" i="3"/>
  <c r="J896" i="3"/>
  <c r="I896" i="3"/>
  <c r="O896" i="3"/>
  <c r="P896" i="3"/>
  <c r="K896" i="3"/>
  <c r="N896" i="3"/>
  <c r="L928" i="3"/>
  <c r="R928" i="3"/>
  <c r="Q928" i="3"/>
  <c r="J928" i="3"/>
  <c r="I928" i="3"/>
  <c r="O928" i="3"/>
  <c r="N928" i="3"/>
  <c r="M928" i="3"/>
  <c r="K928" i="3"/>
  <c r="P928" i="3"/>
  <c r="I819" i="3"/>
  <c r="N819" i="3"/>
  <c r="J819" i="3"/>
  <c r="P819" i="3"/>
  <c r="L819" i="3"/>
  <c r="O819" i="3"/>
  <c r="M819" i="3"/>
  <c r="R819" i="3"/>
  <c r="Q819" i="3"/>
  <c r="K819" i="3"/>
  <c r="I851" i="3"/>
  <c r="J851" i="3"/>
  <c r="P851" i="3"/>
  <c r="R851" i="3"/>
  <c r="O851" i="3"/>
  <c r="M851" i="3"/>
  <c r="K851" i="3"/>
  <c r="Q851" i="3"/>
  <c r="N851" i="3"/>
  <c r="L851" i="3"/>
  <c r="I883" i="3"/>
  <c r="R883" i="3"/>
  <c r="J883" i="3"/>
  <c r="N883" i="3"/>
  <c r="L883" i="3"/>
  <c r="P883" i="3"/>
  <c r="O883" i="3"/>
  <c r="M883" i="3"/>
  <c r="Q883" i="3"/>
  <c r="K883" i="3"/>
  <c r="I915" i="3"/>
  <c r="R915" i="3"/>
  <c r="J915" i="3"/>
  <c r="N915" i="3"/>
  <c r="L915" i="3"/>
  <c r="P915" i="3"/>
  <c r="O915" i="3"/>
  <c r="M915" i="3"/>
  <c r="Q915" i="3"/>
  <c r="K915" i="3"/>
  <c r="O802" i="3"/>
  <c r="N802" i="3"/>
  <c r="J802" i="3"/>
  <c r="L802" i="3"/>
  <c r="Q802" i="3"/>
  <c r="P802" i="3"/>
  <c r="M802" i="3"/>
  <c r="I802" i="3"/>
  <c r="K802" i="3"/>
  <c r="R802" i="3"/>
  <c r="L834" i="3"/>
  <c r="O834" i="3"/>
  <c r="P834" i="3"/>
  <c r="I834" i="3"/>
  <c r="R834" i="3"/>
  <c r="M834" i="3"/>
  <c r="K834" i="3"/>
  <c r="N834" i="3"/>
  <c r="J834" i="3"/>
  <c r="Q834" i="3"/>
  <c r="P866" i="3"/>
  <c r="O866" i="3"/>
  <c r="I866" i="3"/>
  <c r="R866" i="3"/>
  <c r="N866" i="3"/>
  <c r="J866" i="3"/>
  <c r="M866" i="3"/>
  <c r="L866" i="3"/>
  <c r="Q866" i="3"/>
  <c r="K866" i="3"/>
  <c r="O898" i="3"/>
  <c r="R898" i="3"/>
  <c r="I898" i="3"/>
  <c r="L898" i="3"/>
  <c r="M898" i="3"/>
  <c r="P898" i="3"/>
  <c r="Q898" i="3"/>
  <c r="J898" i="3"/>
  <c r="N898" i="3"/>
  <c r="K898" i="3"/>
  <c r="R930" i="3"/>
  <c r="O930" i="3"/>
  <c r="Q930" i="3"/>
  <c r="J930" i="3"/>
  <c r="L930" i="3"/>
  <c r="M930" i="3"/>
  <c r="P930" i="3"/>
  <c r="N930" i="3"/>
  <c r="K930" i="3"/>
  <c r="I930" i="3"/>
  <c r="K1418" i="3"/>
  <c r="P1418" i="3"/>
  <c r="J1418" i="3"/>
  <c r="Q1418" i="3"/>
  <c r="L1418" i="3"/>
  <c r="I1418" i="3"/>
  <c r="O1418" i="3"/>
  <c r="M1418" i="3"/>
  <c r="N1418" i="3"/>
  <c r="R1418" i="3"/>
  <c r="M1368" i="3"/>
  <c r="Q1368" i="3"/>
  <c r="K1368" i="3"/>
  <c r="N1368" i="3"/>
  <c r="I1368" i="3"/>
  <c r="R1368" i="3"/>
  <c r="L1368" i="3"/>
  <c r="P1368" i="3"/>
  <c r="O1368" i="3"/>
  <c r="J1368" i="3"/>
  <c r="R1360" i="3"/>
  <c r="N1360" i="3"/>
  <c r="J1360" i="3"/>
  <c r="O1360" i="3"/>
  <c r="L1360" i="3"/>
  <c r="M1360" i="3"/>
  <c r="Q1360" i="3"/>
  <c r="I1360" i="3"/>
  <c r="K1360" i="3"/>
  <c r="P1360" i="3"/>
  <c r="O1372" i="3"/>
  <c r="K1372" i="3"/>
  <c r="M1372" i="3"/>
  <c r="Q1372" i="3"/>
  <c r="J1372" i="3"/>
  <c r="I1372" i="3"/>
  <c r="N1372" i="3"/>
  <c r="P1372" i="3"/>
  <c r="R1372" i="3"/>
  <c r="L1372" i="3"/>
  <c r="N1371" i="3"/>
  <c r="P1371" i="3"/>
  <c r="M1371" i="3"/>
  <c r="J1371" i="3"/>
  <c r="I1371" i="3"/>
  <c r="K1371" i="3"/>
  <c r="O1371" i="3"/>
  <c r="L1371" i="3"/>
  <c r="Q1371" i="3"/>
  <c r="R1371" i="3"/>
  <c r="I1425" i="3"/>
  <c r="M1425" i="3"/>
  <c r="R1425" i="3"/>
  <c r="P1425" i="3"/>
  <c r="J1425" i="3"/>
  <c r="K1425" i="3"/>
  <c r="L1425" i="3"/>
  <c r="N1425" i="3"/>
  <c r="O1425" i="3"/>
  <c r="Q1425" i="3"/>
  <c r="R1394" i="3"/>
  <c r="P1394" i="3"/>
  <c r="K1394" i="3"/>
  <c r="J1394" i="3"/>
  <c r="Q1394" i="3"/>
  <c r="M1394" i="3"/>
  <c r="I1394" i="3"/>
  <c r="S1394" i="3" s="1"/>
  <c r="O1394" i="3"/>
  <c r="L1394" i="3"/>
  <c r="N1394" i="3"/>
  <c r="J1361" i="3"/>
  <c r="L1361" i="3"/>
  <c r="I1361" i="3"/>
  <c r="Q1361" i="3"/>
  <c r="O1361" i="3"/>
  <c r="K1361" i="3"/>
  <c r="R1361" i="3"/>
  <c r="P1361" i="3"/>
  <c r="M1361" i="3"/>
  <c r="N1361" i="3"/>
  <c r="N1393" i="3"/>
  <c r="R1393" i="3"/>
  <c r="Q1393" i="3"/>
  <c r="P1393" i="3"/>
  <c r="J1393" i="3"/>
  <c r="O1393" i="3"/>
  <c r="K1393" i="3"/>
  <c r="L1393" i="3"/>
  <c r="M1393" i="3"/>
  <c r="I1393" i="3"/>
  <c r="J1479" i="3"/>
  <c r="L1479" i="3"/>
  <c r="M1479" i="3"/>
  <c r="K1479" i="3"/>
  <c r="N1479" i="3"/>
  <c r="R1479" i="3"/>
  <c r="Q1479" i="3"/>
  <c r="I1479" i="3"/>
  <c r="O1479" i="3"/>
  <c r="P1479" i="3"/>
  <c r="P1432" i="3"/>
  <c r="J1432" i="3"/>
  <c r="Q1432" i="3"/>
  <c r="R1432" i="3"/>
  <c r="I1432" i="3"/>
  <c r="N1432" i="3"/>
  <c r="L1432" i="3"/>
  <c r="O1432" i="3"/>
  <c r="K1432" i="3"/>
  <c r="M1432" i="3"/>
  <c r="J1464" i="3"/>
  <c r="Q1464" i="3"/>
  <c r="N1464" i="3"/>
  <c r="I1464" i="3"/>
  <c r="L1464" i="3"/>
  <c r="O1464" i="3"/>
  <c r="K1464" i="3"/>
  <c r="P1464" i="3"/>
  <c r="M1464" i="3"/>
  <c r="R1464" i="3"/>
  <c r="K1415" i="3"/>
  <c r="N1415" i="3"/>
  <c r="I1415" i="3"/>
  <c r="S1415" i="3" s="1"/>
  <c r="L1415" i="3"/>
  <c r="R1415" i="3"/>
  <c r="Q1415" i="3"/>
  <c r="P1415" i="3"/>
  <c r="O1415" i="3"/>
  <c r="M1415" i="3"/>
  <c r="J1415" i="3"/>
  <c r="I1447" i="3"/>
  <c r="K1447" i="3"/>
  <c r="R1447" i="3"/>
  <c r="J1447" i="3"/>
  <c r="L1447" i="3"/>
  <c r="O1447" i="3"/>
  <c r="P1447" i="3"/>
  <c r="M1447" i="3"/>
  <c r="Q1447" i="3"/>
  <c r="N1447" i="3"/>
  <c r="Q1481" i="3"/>
  <c r="I1481" i="3"/>
  <c r="K1481" i="3"/>
  <c r="R1481" i="3"/>
  <c r="P1481" i="3"/>
  <c r="M1481" i="3"/>
  <c r="N1481" i="3"/>
  <c r="J1481" i="3"/>
  <c r="O1481" i="3"/>
  <c r="L1481" i="3"/>
  <c r="M1454" i="3"/>
  <c r="P1454" i="3"/>
  <c r="R1454" i="3"/>
  <c r="N1454" i="3"/>
  <c r="K1454" i="3"/>
  <c r="O1454" i="3"/>
  <c r="Q1454" i="3"/>
  <c r="I1454" i="3"/>
  <c r="L1454" i="3"/>
  <c r="J1454" i="3"/>
  <c r="K1496" i="3"/>
  <c r="M1496" i="3"/>
  <c r="L1496" i="3"/>
  <c r="N1496" i="3"/>
  <c r="R1496" i="3"/>
  <c r="I1496" i="3"/>
  <c r="Q1496" i="3"/>
  <c r="O1496" i="3"/>
  <c r="J1496" i="3"/>
  <c r="P1496" i="3"/>
  <c r="K1465" i="3"/>
  <c r="P1465" i="3"/>
  <c r="Q1465" i="3"/>
  <c r="N1465" i="3"/>
  <c r="M1465" i="3"/>
  <c r="I1465" i="3"/>
  <c r="J1465" i="3"/>
  <c r="O1465" i="3"/>
  <c r="L1465" i="3"/>
  <c r="R1465" i="3"/>
  <c r="P1560" i="3"/>
  <c r="O1560" i="3"/>
  <c r="Q1560" i="3"/>
  <c r="N1560" i="3"/>
  <c r="L1560" i="3"/>
  <c r="M1560" i="3"/>
  <c r="I1560" i="3"/>
  <c r="S1560" i="3" s="1"/>
  <c r="K1560" i="3"/>
  <c r="J1560" i="3"/>
  <c r="R1560" i="3"/>
  <c r="N1546" i="3"/>
  <c r="M1546" i="3"/>
  <c r="Q1546" i="3"/>
  <c r="I1546" i="3"/>
  <c r="O1546" i="3"/>
  <c r="K1546" i="3"/>
  <c r="J1546" i="3"/>
  <c r="R1546" i="3"/>
  <c r="L1546" i="3"/>
  <c r="P1546" i="3"/>
  <c r="M1540" i="3"/>
  <c r="J1540" i="3"/>
  <c r="N1540" i="3"/>
  <c r="Q1540" i="3"/>
  <c r="K1540" i="3"/>
  <c r="O1540" i="3"/>
  <c r="R1540" i="3"/>
  <c r="L1540" i="3"/>
  <c r="I1540" i="3"/>
  <c r="P1540" i="3"/>
  <c r="Q1515" i="3"/>
  <c r="I1515" i="3"/>
  <c r="K1515" i="3"/>
  <c r="O1515" i="3"/>
  <c r="J1515" i="3"/>
  <c r="R1515" i="3"/>
  <c r="N1515" i="3"/>
  <c r="L1515" i="3"/>
  <c r="M1515" i="3"/>
  <c r="P1515" i="3"/>
  <c r="M1548" i="3"/>
  <c r="I1548" i="3"/>
  <c r="J1548" i="3"/>
  <c r="N1548" i="3"/>
  <c r="L1548" i="3"/>
  <c r="Q1548" i="3"/>
  <c r="R1548" i="3"/>
  <c r="O1548" i="3"/>
  <c r="P1548" i="3"/>
  <c r="K1548" i="3"/>
  <c r="Q1494" i="3"/>
  <c r="I1494" i="3"/>
  <c r="L1494" i="3"/>
  <c r="K1494" i="3"/>
  <c r="R1494" i="3"/>
  <c r="J1494" i="3"/>
  <c r="O1494" i="3"/>
  <c r="P1494" i="3"/>
  <c r="M1494" i="3"/>
  <c r="N1494" i="3"/>
  <c r="O1526" i="3"/>
  <c r="Q1526" i="3"/>
  <c r="I1526" i="3"/>
  <c r="S1526" i="3" s="1"/>
  <c r="M1526" i="3"/>
  <c r="R1526" i="3"/>
  <c r="P1526" i="3"/>
  <c r="J1526" i="3"/>
  <c r="K1526" i="3"/>
  <c r="N1526" i="3"/>
  <c r="L1526" i="3"/>
  <c r="P1582" i="3"/>
  <c r="O1582" i="3"/>
  <c r="K1582" i="3"/>
  <c r="N1582" i="3"/>
  <c r="M1582" i="3"/>
  <c r="R1582" i="3"/>
  <c r="Q1582" i="3"/>
  <c r="J1582" i="3"/>
  <c r="I1582" i="3"/>
  <c r="S1582" i="3" s="1"/>
  <c r="L1582" i="3"/>
  <c r="M1493" i="3"/>
  <c r="O1493" i="3"/>
  <c r="I1493" i="3"/>
  <c r="N1493" i="3"/>
  <c r="K1493" i="3"/>
  <c r="R1493" i="3"/>
  <c r="L1493" i="3"/>
  <c r="Q1493" i="3"/>
  <c r="J1493" i="3"/>
  <c r="P1493" i="3"/>
  <c r="M1525" i="3"/>
  <c r="K1525" i="3"/>
  <c r="I1525" i="3"/>
  <c r="Q1525" i="3"/>
  <c r="O1525" i="3"/>
  <c r="J1525" i="3"/>
  <c r="L1525" i="3"/>
  <c r="P1525" i="3"/>
  <c r="R1525" i="3"/>
  <c r="N1525" i="3"/>
  <c r="R1550" i="3"/>
  <c r="P1550" i="3"/>
  <c r="M1550" i="3"/>
  <c r="Q1550" i="3"/>
  <c r="K1550" i="3"/>
  <c r="I1550" i="3"/>
  <c r="N1550" i="3"/>
  <c r="O1550" i="3"/>
  <c r="J1550" i="3"/>
  <c r="L1550" i="3"/>
  <c r="O1563" i="3"/>
  <c r="R1563" i="3"/>
  <c r="K1563" i="3"/>
  <c r="N1563" i="3"/>
  <c r="M1563" i="3"/>
  <c r="L1563" i="3"/>
  <c r="Q1563" i="3"/>
  <c r="P1563" i="3"/>
  <c r="J1563" i="3"/>
  <c r="I1563" i="3"/>
  <c r="J1595" i="3"/>
  <c r="O1595" i="3"/>
  <c r="K1595" i="3"/>
  <c r="P1595" i="3"/>
  <c r="N1595" i="3"/>
  <c r="L1595" i="3"/>
  <c r="R1595" i="3"/>
  <c r="I1595" i="3"/>
  <c r="M1595" i="3"/>
  <c r="Q1595" i="3"/>
  <c r="J1660" i="3"/>
  <c r="M1660" i="3"/>
  <c r="P1660" i="3"/>
  <c r="O1660" i="3"/>
  <c r="N1660" i="3"/>
  <c r="R1660" i="3"/>
  <c r="Q1660" i="3"/>
  <c r="K1660" i="3"/>
  <c r="I1660" i="3"/>
  <c r="L1660" i="3"/>
  <c r="L1557" i="3"/>
  <c r="K1557" i="3"/>
  <c r="O1557" i="3"/>
  <c r="P1557" i="3"/>
  <c r="I1557" i="3"/>
  <c r="R1557" i="3"/>
  <c r="M1557" i="3"/>
  <c r="J1557" i="3"/>
  <c r="Q1557" i="3"/>
  <c r="N1557" i="3"/>
  <c r="L1589" i="3"/>
  <c r="K1589" i="3"/>
  <c r="O1589" i="3"/>
  <c r="P1589" i="3"/>
  <c r="M1589" i="3"/>
  <c r="J1589" i="3"/>
  <c r="I1589" i="3"/>
  <c r="N1589" i="3"/>
  <c r="R1589" i="3"/>
  <c r="Q1589" i="3"/>
  <c r="N1618" i="3"/>
  <c r="R1618" i="3"/>
  <c r="J1618" i="3"/>
  <c r="P1618" i="3"/>
  <c r="Q1618" i="3"/>
  <c r="K1618" i="3"/>
  <c r="I1618" i="3"/>
  <c r="S1618" i="3" s="1"/>
  <c r="M1618" i="3"/>
  <c r="O1618" i="3"/>
  <c r="L1618" i="3"/>
  <c r="L1646" i="3"/>
  <c r="I1646" i="3"/>
  <c r="Q1646" i="3"/>
  <c r="J1646" i="3"/>
  <c r="K1646" i="3"/>
  <c r="P1646" i="3"/>
  <c r="N1646" i="3"/>
  <c r="O1646" i="3"/>
  <c r="R1646" i="3"/>
  <c r="M1646" i="3"/>
  <c r="P1608" i="3"/>
  <c r="N1608" i="3"/>
  <c r="K1608" i="3"/>
  <c r="J1608" i="3"/>
  <c r="L1608" i="3"/>
  <c r="O1608" i="3"/>
  <c r="R1608" i="3"/>
  <c r="M1608" i="3"/>
  <c r="Q1608" i="3"/>
  <c r="I1608" i="3"/>
  <c r="P1692" i="3"/>
  <c r="M1692" i="3"/>
  <c r="N1692" i="3"/>
  <c r="K1692" i="3"/>
  <c r="R1692" i="3"/>
  <c r="Q1692" i="3"/>
  <c r="L1692" i="3"/>
  <c r="J1692" i="3"/>
  <c r="I1692" i="3"/>
  <c r="S1692" i="3" s="1"/>
  <c r="O1692" i="3"/>
  <c r="Q1640" i="3"/>
  <c r="L1640" i="3"/>
  <c r="O1640" i="3"/>
  <c r="I1640" i="3"/>
  <c r="P1640" i="3"/>
  <c r="N1640" i="3"/>
  <c r="K1640" i="3"/>
  <c r="M1640" i="3"/>
  <c r="R1640" i="3"/>
  <c r="J1640" i="3"/>
  <c r="J1684" i="3"/>
  <c r="N1684" i="3"/>
  <c r="Q1684" i="3"/>
  <c r="K1684" i="3"/>
  <c r="I1684" i="3"/>
  <c r="S1684" i="3" s="1"/>
  <c r="P1684" i="3"/>
  <c r="L1684" i="3"/>
  <c r="O1684" i="3"/>
  <c r="R1684" i="3"/>
  <c r="M1684" i="3"/>
  <c r="N1734" i="3"/>
  <c r="K1734" i="3"/>
  <c r="L1734" i="3"/>
  <c r="P1734" i="3"/>
  <c r="J1734" i="3"/>
  <c r="O1734" i="3"/>
  <c r="R1734" i="3"/>
  <c r="I1734" i="3"/>
  <c r="M1734" i="3"/>
  <c r="Q1734" i="3"/>
  <c r="I1659" i="3"/>
  <c r="J1659" i="3"/>
  <c r="P1659" i="3"/>
  <c r="M1659" i="3"/>
  <c r="L1659" i="3"/>
  <c r="K1659" i="3"/>
  <c r="R1659" i="3"/>
  <c r="N1659" i="3"/>
  <c r="Q1659" i="3"/>
  <c r="O1659" i="3"/>
  <c r="N1687" i="3"/>
  <c r="R1687" i="3"/>
  <c r="J1687" i="3"/>
  <c r="K1687" i="3"/>
  <c r="P1687" i="3"/>
  <c r="M1687" i="3"/>
  <c r="L1687" i="3"/>
  <c r="Q1687" i="3"/>
  <c r="O1687" i="3"/>
  <c r="I1687" i="3"/>
  <c r="R1678" i="3"/>
  <c r="J1678" i="3"/>
  <c r="I1678" i="3"/>
  <c r="M1678" i="3"/>
  <c r="O1678" i="3"/>
  <c r="Q1678" i="3"/>
  <c r="P1678" i="3"/>
  <c r="L1678" i="3"/>
  <c r="K1678" i="3"/>
  <c r="N1678" i="3"/>
  <c r="L1705" i="3"/>
  <c r="P1705" i="3"/>
  <c r="K1705" i="3"/>
  <c r="R1705" i="3"/>
  <c r="M1705" i="3"/>
  <c r="J1705" i="3"/>
  <c r="Q1705" i="3"/>
  <c r="O1705" i="3"/>
  <c r="I1705" i="3"/>
  <c r="N1705" i="3"/>
  <c r="M1741" i="3"/>
  <c r="K1741" i="3"/>
  <c r="R1741" i="3"/>
  <c r="P1741" i="3"/>
  <c r="N1741" i="3"/>
  <c r="J1741" i="3"/>
  <c r="L1741" i="3"/>
  <c r="Q1741" i="3"/>
  <c r="I1741" i="3"/>
  <c r="S1741" i="3" s="1"/>
  <c r="O1741" i="3"/>
  <c r="Q1723" i="3"/>
  <c r="O1723" i="3"/>
  <c r="M1723" i="3"/>
  <c r="K1723" i="3"/>
  <c r="R1723" i="3"/>
  <c r="P1723" i="3"/>
  <c r="L1723" i="3"/>
  <c r="I1723" i="3"/>
  <c r="N1723" i="3"/>
  <c r="J1723" i="3"/>
  <c r="O1731" i="3"/>
  <c r="R1731" i="3"/>
  <c r="I1731" i="3"/>
  <c r="L1731" i="3"/>
  <c r="N1731" i="3"/>
  <c r="Q1731" i="3"/>
  <c r="M1731" i="3"/>
  <c r="P1731" i="3"/>
  <c r="K1731" i="3"/>
  <c r="J1731" i="3"/>
  <c r="O1722" i="3"/>
  <c r="I1722" i="3"/>
  <c r="M1722" i="3"/>
  <c r="K1722" i="3"/>
  <c r="P1722" i="3"/>
  <c r="L1722" i="3"/>
  <c r="Q1722" i="3"/>
  <c r="J1722" i="3"/>
  <c r="N1722" i="3"/>
  <c r="R1722" i="3"/>
  <c r="O1724" i="3"/>
  <c r="P1724" i="3"/>
  <c r="J1724" i="3"/>
  <c r="M1724" i="3"/>
  <c r="K1724" i="3"/>
  <c r="R1724" i="3"/>
  <c r="Q1724" i="3"/>
  <c r="N1724" i="3"/>
  <c r="I1724" i="3"/>
  <c r="S1724" i="3" s="1"/>
  <c r="L1724" i="3"/>
  <c r="P1750" i="3"/>
  <c r="K1750" i="3"/>
  <c r="R1750" i="3"/>
  <c r="L1750" i="3"/>
  <c r="J1750" i="3"/>
  <c r="Q1750" i="3"/>
  <c r="O1750" i="3"/>
  <c r="I1750" i="3"/>
  <c r="N1750" i="3"/>
  <c r="M1750" i="3"/>
  <c r="M114" i="2"/>
  <c r="L114" i="2"/>
  <c r="L149" i="2"/>
  <c r="L163" i="2"/>
  <c r="L195" i="2"/>
  <c r="M234" i="2"/>
  <c r="L234" i="2"/>
  <c r="M167" i="2"/>
  <c r="L167" i="2"/>
  <c r="M122" i="2"/>
  <c r="L122" i="2"/>
  <c r="M329" i="3"/>
  <c r="Q329" i="3"/>
  <c r="L329" i="3"/>
  <c r="I329" i="3"/>
  <c r="J329" i="3"/>
  <c r="P329" i="3"/>
  <c r="K329" i="3"/>
  <c r="R329" i="3"/>
  <c r="O329" i="3"/>
  <c r="N329" i="3"/>
  <c r="Q266" i="3"/>
  <c r="I266" i="3"/>
  <c r="K266" i="3"/>
  <c r="R266" i="3"/>
  <c r="J266" i="3"/>
  <c r="O266" i="3"/>
  <c r="M266" i="3"/>
  <c r="L266" i="3"/>
  <c r="P266" i="3"/>
  <c r="N266" i="3"/>
  <c r="Q277" i="3"/>
  <c r="L277" i="3"/>
  <c r="R277" i="3"/>
  <c r="I277" i="3"/>
  <c r="J277" i="3"/>
  <c r="K277" i="3"/>
  <c r="P277" i="3"/>
  <c r="N277" i="3"/>
  <c r="M277" i="3"/>
  <c r="O277" i="3"/>
  <c r="O223" i="3"/>
  <c r="P223" i="3"/>
  <c r="R223" i="3"/>
  <c r="L223" i="3"/>
  <c r="K223" i="3"/>
  <c r="N223" i="3"/>
  <c r="M223" i="3"/>
  <c r="Q223" i="3"/>
  <c r="J223" i="3"/>
  <c r="I223" i="3"/>
  <c r="M308" i="3"/>
  <c r="K308" i="3"/>
  <c r="O308" i="3"/>
  <c r="L308" i="3"/>
  <c r="Q308" i="3"/>
  <c r="I308" i="3"/>
  <c r="J308" i="3"/>
  <c r="R308" i="3"/>
  <c r="P308" i="3"/>
  <c r="N308" i="3"/>
  <c r="O391" i="3"/>
  <c r="P391" i="3"/>
  <c r="N391" i="3"/>
  <c r="K391" i="3"/>
  <c r="Q391" i="3"/>
  <c r="M391" i="3"/>
  <c r="R391" i="3"/>
  <c r="I391" i="3"/>
  <c r="S391" i="3" s="1"/>
  <c r="L391" i="3"/>
  <c r="J391" i="3"/>
  <c r="I507" i="3"/>
  <c r="Q507" i="3"/>
  <c r="P507" i="3"/>
  <c r="M507" i="3"/>
  <c r="R507" i="3"/>
  <c r="L507" i="3"/>
  <c r="K507" i="3"/>
  <c r="J507" i="3"/>
  <c r="N507" i="3"/>
  <c r="O507" i="3"/>
  <c r="M985" i="3"/>
  <c r="P985" i="3"/>
  <c r="O985" i="3"/>
  <c r="N985" i="3"/>
  <c r="J985" i="3"/>
  <c r="K985" i="3"/>
  <c r="L985" i="3"/>
  <c r="Q985" i="3"/>
  <c r="R985" i="3"/>
  <c r="I985" i="3"/>
  <c r="K1056" i="3"/>
  <c r="R1056" i="3"/>
  <c r="Q1056" i="3"/>
  <c r="J1056" i="3"/>
  <c r="I1056" i="3"/>
  <c r="P1056" i="3"/>
  <c r="O1056" i="3"/>
  <c r="N1056" i="3"/>
  <c r="M1056" i="3"/>
  <c r="L1056" i="3"/>
  <c r="O994" i="3"/>
  <c r="M994" i="3"/>
  <c r="J994" i="3"/>
  <c r="K994" i="3"/>
  <c r="R994" i="3"/>
  <c r="Q994" i="3"/>
  <c r="I994" i="3"/>
  <c r="P994" i="3"/>
  <c r="L994" i="3"/>
  <c r="N994" i="3"/>
  <c r="Q1161" i="3"/>
  <c r="I1161" i="3"/>
  <c r="P1161" i="3"/>
  <c r="K1161" i="3"/>
  <c r="L1161" i="3"/>
  <c r="M1161" i="3"/>
  <c r="N1161" i="3"/>
  <c r="R1161" i="3"/>
  <c r="O1161" i="3"/>
  <c r="J1161" i="3"/>
  <c r="M1237" i="3"/>
  <c r="J1237" i="3"/>
  <c r="K1237" i="3"/>
  <c r="Q1237" i="3"/>
  <c r="I1237" i="3"/>
  <c r="O1237" i="3"/>
  <c r="L1237" i="3"/>
  <c r="R1237" i="3"/>
  <c r="N1237" i="3"/>
  <c r="P1237" i="3"/>
  <c r="N1271" i="3"/>
  <c r="R1271" i="3"/>
  <c r="J1271" i="3"/>
  <c r="Q1271" i="3"/>
  <c r="I1271" i="3"/>
  <c r="O1271" i="3"/>
  <c r="M1271" i="3"/>
  <c r="K1271" i="3"/>
  <c r="P1271" i="3"/>
  <c r="L1271" i="3"/>
  <c r="R1294" i="3"/>
  <c r="P1294" i="3"/>
  <c r="I1294" i="3"/>
  <c r="J1294" i="3"/>
  <c r="L1294" i="3"/>
  <c r="K1294" i="3"/>
  <c r="O1294" i="3"/>
  <c r="M1294" i="3"/>
  <c r="N1294" i="3"/>
  <c r="Q1294" i="3"/>
  <c r="M189" i="2"/>
  <c r="L189" i="2"/>
  <c r="K528" i="3"/>
  <c r="J528" i="3"/>
  <c r="I528" i="3"/>
  <c r="L528" i="3"/>
  <c r="N528" i="3"/>
  <c r="M528" i="3"/>
  <c r="P528" i="3"/>
  <c r="O528" i="3"/>
  <c r="R528" i="3"/>
  <c r="Q528" i="3"/>
  <c r="O634" i="3"/>
  <c r="Q634" i="3"/>
  <c r="I634" i="3"/>
  <c r="N634" i="3"/>
  <c r="M634" i="3"/>
  <c r="J634" i="3"/>
  <c r="R634" i="3"/>
  <c r="L634" i="3"/>
  <c r="K634" i="3"/>
  <c r="P634" i="3"/>
  <c r="P620" i="3"/>
  <c r="Q620" i="3"/>
  <c r="O620" i="3"/>
  <c r="I620" i="3"/>
  <c r="R620" i="3"/>
  <c r="J620" i="3"/>
  <c r="M620" i="3"/>
  <c r="K620" i="3"/>
  <c r="L620" i="3"/>
  <c r="N620" i="3"/>
  <c r="M674" i="3"/>
  <c r="Q674" i="3"/>
  <c r="O674" i="3"/>
  <c r="P674" i="3"/>
  <c r="L674" i="3"/>
  <c r="K674" i="3"/>
  <c r="N674" i="3"/>
  <c r="J674" i="3"/>
  <c r="I674" i="3"/>
  <c r="R674" i="3"/>
  <c r="O707" i="3"/>
  <c r="Q707" i="3"/>
  <c r="R707" i="3"/>
  <c r="I707" i="3"/>
  <c r="S707" i="3" s="1"/>
  <c r="K707" i="3"/>
  <c r="L707" i="3"/>
  <c r="J707" i="3"/>
  <c r="M707" i="3"/>
  <c r="N707" i="3"/>
  <c r="P707" i="3"/>
  <c r="I860" i="3"/>
  <c r="O860" i="3"/>
  <c r="N860" i="3"/>
  <c r="K860" i="3"/>
  <c r="L860" i="3"/>
  <c r="R860" i="3"/>
  <c r="J860" i="3"/>
  <c r="Q860" i="3"/>
  <c r="M860" i="3"/>
  <c r="P860" i="3"/>
  <c r="I830" i="3"/>
  <c r="R830" i="3"/>
  <c r="P830" i="3"/>
  <c r="M830" i="3"/>
  <c r="Q830" i="3"/>
  <c r="L830" i="3"/>
  <c r="K830" i="3"/>
  <c r="O830" i="3"/>
  <c r="J830" i="3"/>
  <c r="N830" i="3"/>
  <c r="J1364" i="3"/>
  <c r="P1364" i="3"/>
  <c r="R1364" i="3"/>
  <c r="L1364" i="3"/>
  <c r="N1364" i="3"/>
  <c r="M1364" i="3"/>
  <c r="Q1364" i="3"/>
  <c r="I1364" i="3"/>
  <c r="O1364" i="3"/>
  <c r="K1364" i="3"/>
  <c r="P1430" i="3"/>
  <c r="K1430" i="3"/>
  <c r="N1430" i="3"/>
  <c r="O1430" i="3"/>
  <c r="R1430" i="3"/>
  <c r="L1430" i="3"/>
  <c r="M1430" i="3"/>
  <c r="Q1430" i="3"/>
  <c r="J1430" i="3"/>
  <c r="I1430" i="3"/>
  <c r="K1487" i="3"/>
  <c r="M1487" i="3"/>
  <c r="P1487" i="3"/>
  <c r="J1487" i="3"/>
  <c r="L1487" i="3"/>
  <c r="Q1487" i="3"/>
  <c r="I1487" i="3"/>
  <c r="R1487" i="3"/>
  <c r="O1487" i="3"/>
  <c r="N1487" i="3"/>
  <c r="J1542" i="3"/>
  <c r="Q1542" i="3"/>
  <c r="I1542" i="3"/>
  <c r="M1542" i="3"/>
  <c r="L1542" i="3"/>
  <c r="P1542" i="3"/>
  <c r="K1542" i="3"/>
  <c r="R1542" i="3"/>
  <c r="N1542" i="3"/>
  <c r="O1542" i="3"/>
  <c r="K1591" i="3"/>
  <c r="P1591" i="3"/>
  <c r="I1591" i="3"/>
  <c r="L1591" i="3"/>
  <c r="R1591" i="3"/>
  <c r="J1591" i="3"/>
  <c r="N1591" i="3"/>
  <c r="M1591" i="3"/>
  <c r="O1591" i="3"/>
  <c r="Q1591" i="3"/>
  <c r="P1630" i="3"/>
  <c r="L1630" i="3"/>
  <c r="Q1630" i="3"/>
  <c r="O1630" i="3"/>
  <c r="I1630" i="3"/>
  <c r="N1630" i="3"/>
  <c r="R1630" i="3"/>
  <c r="M1630" i="3"/>
  <c r="J1630" i="3"/>
  <c r="K1630" i="3"/>
  <c r="K1655" i="3"/>
  <c r="P1655" i="3"/>
  <c r="O1655" i="3"/>
  <c r="I1655" i="3"/>
  <c r="N1655" i="3"/>
  <c r="M1655" i="3"/>
  <c r="J1655" i="3"/>
  <c r="R1655" i="3"/>
  <c r="L1655" i="3"/>
  <c r="Q1655" i="3"/>
  <c r="O1726" i="3"/>
  <c r="N1726" i="3"/>
  <c r="M1726" i="3"/>
  <c r="J1726" i="3"/>
  <c r="Q1726" i="3"/>
  <c r="P1726" i="3"/>
  <c r="I1726" i="3"/>
  <c r="K1726" i="3"/>
  <c r="L1726" i="3"/>
  <c r="R1726" i="3"/>
  <c r="T133" i="2"/>
  <c r="M204" i="2"/>
  <c r="L204" i="2"/>
  <c r="F1211" i="3"/>
  <c r="F1207" i="3"/>
  <c r="F1203" i="3"/>
  <c r="F1210" i="3"/>
  <c r="F1206" i="3"/>
  <c r="F1202" i="3"/>
  <c r="F1205" i="3"/>
  <c r="F1201" i="3"/>
  <c r="F1209" i="3"/>
  <c r="F1200" i="3"/>
  <c r="F1204" i="3"/>
  <c r="F1208" i="3"/>
  <c r="F394" i="3"/>
  <c r="F390" i="3"/>
  <c r="F386" i="3"/>
  <c r="F395" i="3"/>
  <c r="F391" i="3"/>
  <c r="F387" i="3"/>
  <c r="F393" i="3"/>
  <c r="F389" i="3"/>
  <c r="F385" i="3"/>
  <c r="F384" i="3"/>
  <c r="F392" i="3"/>
  <c r="F388" i="3"/>
  <c r="M199" i="2"/>
  <c r="L199" i="2"/>
  <c r="L206" i="2"/>
  <c r="M206" i="2"/>
  <c r="M157" i="2"/>
  <c r="L157" i="2"/>
  <c r="M241" i="2"/>
  <c r="L241" i="2"/>
  <c r="L121" i="3"/>
  <c r="I121" i="3"/>
  <c r="K121" i="3"/>
  <c r="J121" i="3"/>
  <c r="P121" i="3"/>
  <c r="R121" i="3"/>
  <c r="N121" i="3"/>
  <c r="M121" i="3"/>
  <c r="O121" i="3"/>
  <c r="Q121" i="3"/>
  <c r="N381" i="3"/>
  <c r="P381" i="3"/>
  <c r="O381" i="3"/>
  <c r="M381" i="3"/>
  <c r="Q381" i="3"/>
  <c r="L381" i="3"/>
  <c r="I381" i="3"/>
  <c r="R381" i="3"/>
  <c r="K381" i="3"/>
  <c r="J381" i="3"/>
  <c r="R373" i="3"/>
  <c r="Q373" i="3"/>
  <c r="P373" i="3"/>
  <c r="J373" i="3"/>
  <c r="I373" i="3"/>
  <c r="O373" i="3"/>
  <c r="K373" i="3"/>
  <c r="N373" i="3"/>
  <c r="L373" i="3"/>
  <c r="M373" i="3"/>
  <c r="R152" i="3"/>
  <c r="K152" i="3"/>
  <c r="Q152" i="3"/>
  <c r="L152" i="3"/>
  <c r="M152" i="3"/>
  <c r="P152" i="3"/>
  <c r="N152" i="3"/>
  <c r="O152" i="3"/>
  <c r="J152" i="3"/>
  <c r="I152" i="3"/>
  <c r="I146" i="3"/>
  <c r="O146" i="3"/>
  <c r="R146" i="3"/>
  <c r="K146" i="3"/>
  <c r="J146" i="3"/>
  <c r="Q146" i="3"/>
  <c r="N146" i="3"/>
  <c r="L146" i="3"/>
  <c r="P146" i="3"/>
  <c r="M146" i="3"/>
  <c r="I178" i="3"/>
  <c r="K178" i="3"/>
  <c r="J178" i="3"/>
  <c r="O178" i="3"/>
  <c r="M178" i="3"/>
  <c r="L178" i="3"/>
  <c r="N178" i="3"/>
  <c r="R178" i="3"/>
  <c r="P178" i="3"/>
  <c r="Q178" i="3"/>
  <c r="I210" i="3"/>
  <c r="K210" i="3"/>
  <c r="O210" i="3"/>
  <c r="M210" i="3"/>
  <c r="R210" i="3"/>
  <c r="J210" i="3"/>
  <c r="L210" i="3"/>
  <c r="Q210" i="3"/>
  <c r="N210" i="3"/>
  <c r="P210" i="3"/>
  <c r="I242" i="3"/>
  <c r="K242" i="3"/>
  <c r="O242" i="3"/>
  <c r="M242" i="3"/>
  <c r="R242" i="3"/>
  <c r="J242" i="3"/>
  <c r="L242" i="3"/>
  <c r="P242" i="3"/>
  <c r="Q242" i="3"/>
  <c r="N242" i="3"/>
  <c r="I274" i="3"/>
  <c r="K274" i="3"/>
  <c r="O274" i="3"/>
  <c r="M274" i="3"/>
  <c r="R274" i="3"/>
  <c r="J274" i="3"/>
  <c r="L274" i="3"/>
  <c r="N274" i="3"/>
  <c r="Q274" i="3"/>
  <c r="P274" i="3"/>
  <c r="M141" i="3"/>
  <c r="L141" i="3"/>
  <c r="K141" i="3"/>
  <c r="R141" i="3"/>
  <c r="N141" i="3"/>
  <c r="I141" i="3"/>
  <c r="Q141" i="3"/>
  <c r="P141" i="3"/>
  <c r="O141" i="3"/>
  <c r="J141" i="3"/>
  <c r="Q173" i="3"/>
  <c r="I173" i="3"/>
  <c r="M173" i="3"/>
  <c r="P173" i="3"/>
  <c r="N173" i="3"/>
  <c r="K173" i="3"/>
  <c r="R173" i="3"/>
  <c r="J173" i="3"/>
  <c r="L173" i="3"/>
  <c r="O173" i="3"/>
  <c r="Q205" i="3"/>
  <c r="I205" i="3"/>
  <c r="M205" i="3"/>
  <c r="L205" i="3"/>
  <c r="P205" i="3"/>
  <c r="K205" i="3"/>
  <c r="R205" i="3"/>
  <c r="N205" i="3"/>
  <c r="J205" i="3"/>
  <c r="O205" i="3"/>
  <c r="Q237" i="3"/>
  <c r="I237" i="3"/>
  <c r="M237" i="3"/>
  <c r="L237" i="3"/>
  <c r="P237" i="3"/>
  <c r="K237" i="3"/>
  <c r="R237" i="3"/>
  <c r="N237" i="3"/>
  <c r="J237" i="3"/>
  <c r="O237" i="3"/>
  <c r="Q269" i="3"/>
  <c r="I269" i="3"/>
  <c r="M269" i="3"/>
  <c r="L269" i="3"/>
  <c r="P269" i="3"/>
  <c r="K269" i="3"/>
  <c r="R269" i="3"/>
  <c r="N269" i="3"/>
  <c r="J269" i="3"/>
  <c r="O269" i="3"/>
  <c r="R321" i="3"/>
  <c r="K321" i="3"/>
  <c r="O321" i="3"/>
  <c r="P321" i="3"/>
  <c r="L321" i="3"/>
  <c r="M321" i="3"/>
  <c r="J321" i="3"/>
  <c r="Q321" i="3"/>
  <c r="N321" i="3"/>
  <c r="I321" i="3"/>
  <c r="M172" i="3"/>
  <c r="N172" i="3"/>
  <c r="O172" i="3"/>
  <c r="J172" i="3"/>
  <c r="K172" i="3"/>
  <c r="Q172" i="3"/>
  <c r="L172" i="3"/>
  <c r="I172" i="3"/>
  <c r="P172" i="3"/>
  <c r="R172" i="3"/>
  <c r="M204" i="3"/>
  <c r="O204" i="3"/>
  <c r="N204" i="3"/>
  <c r="K204" i="3"/>
  <c r="Q204" i="3"/>
  <c r="I204" i="3"/>
  <c r="P204" i="3"/>
  <c r="R204" i="3"/>
  <c r="L204" i="3"/>
  <c r="J204" i="3"/>
  <c r="M236" i="3"/>
  <c r="O236" i="3"/>
  <c r="N236" i="3"/>
  <c r="K236" i="3"/>
  <c r="Q236" i="3"/>
  <c r="I236" i="3"/>
  <c r="P236" i="3"/>
  <c r="R236" i="3"/>
  <c r="L236" i="3"/>
  <c r="J236" i="3"/>
  <c r="M268" i="3"/>
  <c r="O268" i="3"/>
  <c r="N268" i="3"/>
  <c r="K268" i="3"/>
  <c r="Q268" i="3"/>
  <c r="I268" i="3"/>
  <c r="P268" i="3"/>
  <c r="R268" i="3"/>
  <c r="L268" i="3"/>
  <c r="J268" i="3"/>
  <c r="M278" i="3"/>
  <c r="Q278" i="3"/>
  <c r="N278" i="3"/>
  <c r="P278" i="3"/>
  <c r="L278" i="3"/>
  <c r="J278" i="3"/>
  <c r="O278" i="3"/>
  <c r="R278" i="3"/>
  <c r="I278" i="3"/>
  <c r="K278" i="3"/>
  <c r="K167" i="3"/>
  <c r="M167" i="3"/>
  <c r="Q167" i="3"/>
  <c r="N167" i="3"/>
  <c r="I167" i="3"/>
  <c r="O167" i="3"/>
  <c r="P167" i="3"/>
  <c r="R167" i="3"/>
  <c r="L167" i="3"/>
  <c r="J167" i="3"/>
  <c r="K199" i="3"/>
  <c r="M199" i="3"/>
  <c r="L199" i="3"/>
  <c r="Q199" i="3"/>
  <c r="N199" i="3"/>
  <c r="I199" i="3"/>
  <c r="O199" i="3"/>
  <c r="P199" i="3"/>
  <c r="R199" i="3"/>
  <c r="J199" i="3"/>
  <c r="K231" i="3"/>
  <c r="M231" i="3"/>
  <c r="L231" i="3"/>
  <c r="Q231" i="3"/>
  <c r="N231" i="3"/>
  <c r="I231" i="3"/>
  <c r="O231" i="3"/>
  <c r="P231" i="3"/>
  <c r="R231" i="3"/>
  <c r="J231" i="3"/>
  <c r="K263" i="3"/>
  <c r="M263" i="3"/>
  <c r="L263" i="3"/>
  <c r="Q263" i="3"/>
  <c r="N263" i="3"/>
  <c r="I263" i="3"/>
  <c r="O263" i="3"/>
  <c r="P263" i="3"/>
  <c r="R263" i="3"/>
  <c r="J263" i="3"/>
  <c r="R286" i="3"/>
  <c r="P286" i="3"/>
  <c r="O286" i="3"/>
  <c r="N286" i="3"/>
  <c r="Q286" i="3"/>
  <c r="K286" i="3"/>
  <c r="I286" i="3"/>
  <c r="M286" i="3"/>
  <c r="L286" i="3"/>
  <c r="J286" i="3"/>
  <c r="N318" i="3"/>
  <c r="I318" i="3"/>
  <c r="O318" i="3"/>
  <c r="K318" i="3"/>
  <c r="L318" i="3"/>
  <c r="M318" i="3"/>
  <c r="J318" i="3"/>
  <c r="R318" i="3"/>
  <c r="Q318" i="3"/>
  <c r="P318" i="3"/>
  <c r="P350" i="3"/>
  <c r="O350" i="3"/>
  <c r="K350" i="3"/>
  <c r="I350" i="3"/>
  <c r="N350" i="3"/>
  <c r="R350" i="3"/>
  <c r="M350" i="3"/>
  <c r="L350" i="3"/>
  <c r="Q350" i="3"/>
  <c r="J350" i="3"/>
  <c r="I382" i="3"/>
  <c r="Q382" i="3"/>
  <c r="P382" i="3"/>
  <c r="J382" i="3"/>
  <c r="O382" i="3"/>
  <c r="R382" i="3"/>
  <c r="K382" i="3"/>
  <c r="N382" i="3"/>
  <c r="M382" i="3"/>
  <c r="L382" i="3"/>
  <c r="L484" i="3"/>
  <c r="R484" i="3"/>
  <c r="J484" i="3"/>
  <c r="Q484" i="3"/>
  <c r="I484" i="3"/>
  <c r="K484" i="3"/>
  <c r="N484" i="3"/>
  <c r="P484" i="3"/>
  <c r="M484" i="3"/>
  <c r="O484" i="3"/>
  <c r="Q284" i="3"/>
  <c r="I284" i="3"/>
  <c r="M284" i="3"/>
  <c r="R284" i="3"/>
  <c r="P284" i="3"/>
  <c r="K284" i="3"/>
  <c r="L284" i="3"/>
  <c r="O284" i="3"/>
  <c r="J284" i="3"/>
  <c r="N284" i="3"/>
  <c r="Q316" i="3"/>
  <c r="I316" i="3"/>
  <c r="R316" i="3"/>
  <c r="P316" i="3"/>
  <c r="L316" i="3"/>
  <c r="K316" i="3"/>
  <c r="N316" i="3"/>
  <c r="O316" i="3"/>
  <c r="M316" i="3"/>
  <c r="J316" i="3"/>
  <c r="Q348" i="3"/>
  <c r="P348" i="3"/>
  <c r="I348" i="3"/>
  <c r="M348" i="3"/>
  <c r="N348" i="3"/>
  <c r="K348" i="3"/>
  <c r="R348" i="3"/>
  <c r="O348" i="3"/>
  <c r="L348" i="3"/>
  <c r="J348" i="3"/>
  <c r="Q380" i="3"/>
  <c r="P380" i="3"/>
  <c r="I380" i="3"/>
  <c r="S380" i="3" s="1"/>
  <c r="N380" i="3"/>
  <c r="L380" i="3"/>
  <c r="K380" i="3"/>
  <c r="R380" i="3"/>
  <c r="O380" i="3"/>
  <c r="J380" i="3"/>
  <c r="M380" i="3"/>
  <c r="P460" i="3"/>
  <c r="R460" i="3"/>
  <c r="M460" i="3"/>
  <c r="L460" i="3"/>
  <c r="N460" i="3"/>
  <c r="K460" i="3"/>
  <c r="Q460" i="3"/>
  <c r="J460" i="3"/>
  <c r="I460" i="3"/>
  <c r="S460" i="3" s="1"/>
  <c r="O460" i="3"/>
  <c r="K524" i="3"/>
  <c r="P524" i="3"/>
  <c r="M524" i="3"/>
  <c r="N524" i="3"/>
  <c r="R524" i="3"/>
  <c r="O524" i="3"/>
  <c r="J524" i="3"/>
  <c r="Q524" i="3"/>
  <c r="I524" i="3"/>
  <c r="L524" i="3"/>
  <c r="Q303" i="3"/>
  <c r="R303" i="3"/>
  <c r="M303" i="3"/>
  <c r="I303" i="3"/>
  <c r="K303" i="3"/>
  <c r="P303" i="3"/>
  <c r="O303" i="3"/>
  <c r="N303" i="3"/>
  <c r="J303" i="3"/>
  <c r="L303" i="3"/>
  <c r="Q335" i="3"/>
  <c r="P335" i="3"/>
  <c r="M335" i="3"/>
  <c r="I335" i="3"/>
  <c r="O335" i="3"/>
  <c r="N335" i="3"/>
  <c r="R335" i="3"/>
  <c r="J335" i="3"/>
  <c r="L335" i="3"/>
  <c r="K335" i="3"/>
  <c r="N367" i="3"/>
  <c r="Q367" i="3"/>
  <c r="M367" i="3"/>
  <c r="I367" i="3"/>
  <c r="R367" i="3"/>
  <c r="O367" i="3"/>
  <c r="J367" i="3"/>
  <c r="L367" i="3"/>
  <c r="K367" i="3"/>
  <c r="P367" i="3"/>
  <c r="N399" i="3"/>
  <c r="Q399" i="3"/>
  <c r="M399" i="3"/>
  <c r="I399" i="3"/>
  <c r="L399" i="3"/>
  <c r="R399" i="3"/>
  <c r="O399" i="3"/>
  <c r="J399" i="3"/>
  <c r="K399" i="3"/>
  <c r="P399" i="3"/>
  <c r="M413" i="3"/>
  <c r="L413" i="3"/>
  <c r="O413" i="3"/>
  <c r="Q413" i="3"/>
  <c r="N413" i="3"/>
  <c r="R413" i="3"/>
  <c r="J413" i="3"/>
  <c r="I413" i="3"/>
  <c r="K413" i="3"/>
  <c r="P413" i="3"/>
  <c r="M445" i="3"/>
  <c r="O445" i="3"/>
  <c r="P445" i="3"/>
  <c r="J445" i="3"/>
  <c r="K445" i="3"/>
  <c r="L445" i="3"/>
  <c r="I445" i="3"/>
  <c r="Q445" i="3"/>
  <c r="R445" i="3"/>
  <c r="N445" i="3"/>
  <c r="M477" i="3"/>
  <c r="O477" i="3"/>
  <c r="N477" i="3"/>
  <c r="Q477" i="3"/>
  <c r="K477" i="3"/>
  <c r="R477" i="3"/>
  <c r="I477" i="3"/>
  <c r="L477" i="3"/>
  <c r="J477" i="3"/>
  <c r="P477" i="3"/>
  <c r="M509" i="3"/>
  <c r="O509" i="3"/>
  <c r="N509" i="3"/>
  <c r="P509" i="3"/>
  <c r="I509" i="3"/>
  <c r="Q509" i="3"/>
  <c r="K509" i="3"/>
  <c r="R509" i="3"/>
  <c r="J509" i="3"/>
  <c r="L509" i="3"/>
  <c r="I419" i="3"/>
  <c r="K419" i="3"/>
  <c r="P419" i="3"/>
  <c r="O419" i="3"/>
  <c r="J419" i="3"/>
  <c r="L419" i="3"/>
  <c r="Q419" i="3"/>
  <c r="R419" i="3"/>
  <c r="N419" i="3"/>
  <c r="M419" i="3"/>
  <c r="I451" i="3"/>
  <c r="Q451" i="3"/>
  <c r="K451" i="3"/>
  <c r="J451" i="3"/>
  <c r="L451" i="3"/>
  <c r="R451" i="3"/>
  <c r="O451" i="3"/>
  <c r="N451" i="3"/>
  <c r="M451" i="3"/>
  <c r="P451" i="3"/>
  <c r="I483" i="3"/>
  <c r="K483" i="3"/>
  <c r="R483" i="3"/>
  <c r="M483" i="3"/>
  <c r="J483" i="3"/>
  <c r="O483" i="3"/>
  <c r="Q483" i="3"/>
  <c r="N483" i="3"/>
  <c r="P483" i="3"/>
  <c r="L483" i="3"/>
  <c r="I515" i="3"/>
  <c r="P515" i="3"/>
  <c r="K515" i="3"/>
  <c r="R515" i="3"/>
  <c r="Q515" i="3"/>
  <c r="J515" i="3"/>
  <c r="O515" i="3"/>
  <c r="M515" i="3"/>
  <c r="N515" i="3"/>
  <c r="L515" i="3"/>
  <c r="O422" i="3"/>
  <c r="N422" i="3"/>
  <c r="K422" i="3"/>
  <c r="P422" i="3"/>
  <c r="Q422" i="3"/>
  <c r="I422" i="3"/>
  <c r="J422" i="3"/>
  <c r="R422" i="3"/>
  <c r="M422" i="3"/>
  <c r="L422" i="3"/>
  <c r="P454" i="3"/>
  <c r="L454" i="3"/>
  <c r="J454" i="3"/>
  <c r="Q454" i="3"/>
  <c r="R454" i="3"/>
  <c r="O454" i="3"/>
  <c r="I454" i="3"/>
  <c r="M454" i="3"/>
  <c r="K454" i="3"/>
  <c r="N454" i="3"/>
  <c r="O486" i="3"/>
  <c r="L486" i="3"/>
  <c r="Q486" i="3"/>
  <c r="N486" i="3"/>
  <c r="R486" i="3"/>
  <c r="I486" i="3"/>
  <c r="M486" i="3"/>
  <c r="P486" i="3"/>
  <c r="K486" i="3"/>
  <c r="J486" i="3"/>
  <c r="J518" i="3"/>
  <c r="L518" i="3"/>
  <c r="K518" i="3"/>
  <c r="Q518" i="3"/>
  <c r="N518" i="3"/>
  <c r="I518" i="3"/>
  <c r="M518" i="3"/>
  <c r="P518" i="3"/>
  <c r="O518" i="3"/>
  <c r="R518" i="3"/>
  <c r="Q944" i="3"/>
  <c r="I944" i="3"/>
  <c r="P944" i="3"/>
  <c r="O944" i="3"/>
  <c r="K944" i="3"/>
  <c r="M944" i="3"/>
  <c r="L944" i="3"/>
  <c r="N944" i="3"/>
  <c r="R944" i="3"/>
  <c r="J944" i="3"/>
  <c r="L938" i="3"/>
  <c r="M938" i="3"/>
  <c r="K938" i="3"/>
  <c r="P938" i="3"/>
  <c r="R938" i="3"/>
  <c r="O938" i="3"/>
  <c r="N938" i="3"/>
  <c r="Q938" i="3"/>
  <c r="I938" i="3"/>
  <c r="J938" i="3"/>
  <c r="M961" i="3"/>
  <c r="N961" i="3"/>
  <c r="Q961" i="3"/>
  <c r="J961" i="3"/>
  <c r="I961" i="3"/>
  <c r="L961" i="3"/>
  <c r="O961" i="3"/>
  <c r="R961" i="3"/>
  <c r="K961" i="3"/>
  <c r="P961" i="3"/>
  <c r="M993" i="3"/>
  <c r="R993" i="3"/>
  <c r="Q993" i="3"/>
  <c r="I993" i="3"/>
  <c r="P993" i="3"/>
  <c r="O993" i="3"/>
  <c r="N993" i="3"/>
  <c r="K993" i="3"/>
  <c r="J993" i="3"/>
  <c r="L993" i="3"/>
  <c r="L1025" i="3"/>
  <c r="M1025" i="3"/>
  <c r="Q1025" i="3"/>
  <c r="R1025" i="3"/>
  <c r="I1025" i="3"/>
  <c r="S1025" i="3" s="1"/>
  <c r="J1025" i="3"/>
  <c r="O1025" i="3"/>
  <c r="N1025" i="3"/>
  <c r="K1025" i="3"/>
  <c r="P1025" i="3"/>
  <c r="L1057" i="3"/>
  <c r="M1057" i="3"/>
  <c r="J1057" i="3"/>
  <c r="K1057" i="3"/>
  <c r="Q1057" i="3"/>
  <c r="I1057" i="3"/>
  <c r="P1057" i="3"/>
  <c r="O1057" i="3"/>
  <c r="N1057" i="3"/>
  <c r="R1057" i="3"/>
  <c r="L1089" i="3"/>
  <c r="K1089" i="3"/>
  <c r="R1089" i="3"/>
  <c r="M1089" i="3"/>
  <c r="Q1089" i="3"/>
  <c r="J1089" i="3"/>
  <c r="I1089" i="3"/>
  <c r="O1089" i="3"/>
  <c r="N1089" i="3"/>
  <c r="P1089" i="3"/>
  <c r="K968" i="3"/>
  <c r="Q968" i="3"/>
  <c r="I968" i="3"/>
  <c r="O968" i="3"/>
  <c r="P968" i="3"/>
  <c r="M968" i="3"/>
  <c r="N968" i="3"/>
  <c r="R968" i="3"/>
  <c r="L968" i="3"/>
  <c r="J968" i="3"/>
  <c r="K1000" i="3"/>
  <c r="Q1000" i="3"/>
  <c r="I1000" i="3"/>
  <c r="O1000" i="3"/>
  <c r="L1000" i="3"/>
  <c r="M1000" i="3"/>
  <c r="J1000" i="3"/>
  <c r="P1000" i="3"/>
  <c r="N1000" i="3"/>
  <c r="R1000" i="3"/>
  <c r="R1032" i="3"/>
  <c r="J1032" i="3"/>
  <c r="K1032" i="3"/>
  <c r="Q1032" i="3"/>
  <c r="I1032" i="3"/>
  <c r="O1032" i="3"/>
  <c r="M1032" i="3"/>
  <c r="L1032" i="3"/>
  <c r="P1032" i="3"/>
  <c r="N1032" i="3"/>
  <c r="R1064" i="3"/>
  <c r="J1064" i="3"/>
  <c r="P1064" i="3"/>
  <c r="K1064" i="3"/>
  <c r="Q1064" i="3"/>
  <c r="I1064" i="3"/>
  <c r="O1064" i="3"/>
  <c r="N1064" i="3"/>
  <c r="M1064" i="3"/>
  <c r="L1064" i="3"/>
  <c r="R1096" i="3"/>
  <c r="J1096" i="3"/>
  <c r="P1096" i="3"/>
  <c r="K1096" i="3"/>
  <c r="Q1096" i="3"/>
  <c r="I1096" i="3"/>
  <c r="O1096" i="3"/>
  <c r="M1096" i="3"/>
  <c r="N1096" i="3"/>
  <c r="L1096" i="3"/>
  <c r="Q971" i="3"/>
  <c r="I971" i="3"/>
  <c r="O971" i="3"/>
  <c r="J971" i="3"/>
  <c r="R971" i="3"/>
  <c r="M971" i="3"/>
  <c r="N971" i="3"/>
  <c r="L971" i="3"/>
  <c r="P971" i="3"/>
  <c r="K971" i="3"/>
  <c r="Q1003" i="3"/>
  <c r="I1003" i="3"/>
  <c r="O1003" i="3"/>
  <c r="P1003" i="3"/>
  <c r="M1003" i="3"/>
  <c r="J1003" i="3"/>
  <c r="K1003" i="3"/>
  <c r="R1003" i="3"/>
  <c r="L1003" i="3"/>
  <c r="N1003" i="3"/>
  <c r="Q1035" i="3"/>
  <c r="I1035" i="3"/>
  <c r="O1035" i="3"/>
  <c r="P1035" i="3"/>
  <c r="N1035" i="3"/>
  <c r="R1035" i="3"/>
  <c r="J1035" i="3"/>
  <c r="M1035" i="3"/>
  <c r="L1035" i="3"/>
  <c r="K1035" i="3"/>
  <c r="Q1067" i="3"/>
  <c r="I1067" i="3"/>
  <c r="O1067" i="3"/>
  <c r="P1067" i="3"/>
  <c r="N1067" i="3"/>
  <c r="R1067" i="3"/>
  <c r="L1067" i="3"/>
  <c r="J1067" i="3"/>
  <c r="M1067" i="3"/>
  <c r="K1067" i="3"/>
  <c r="J1099" i="3"/>
  <c r="Q1099" i="3"/>
  <c r="P1099" i="3"/>
  <c r="I1099" i="3"/>
  <c r="R1099" i="3"/>
  <c r="O1099" i="3"/>
  <c r="K1099" i="3"/>
  <c r="N1099" i="3"/>
  <c r="M1099" i="3"/>
  <c r="L1099" i="3"/>
  <c r="O970" i="3"/>
  <c r="M970" i="3"/>
  <c r="I970" i="3"/>
  <c r="S970" i="3" s="1"/>
  <c r="J970" i="3"/>
  <c r="R970" i="3"/>
  <c r="P970" i="3"/>
  <c r="L970" i="3"/>
  <c r="K970" i="3"/>
  <c r="N970" i="3"/>
  <c r="Q970" i="3"/>
  <c r="O1002" i="3"/>
  <c r="M1002" i="3"/>
  <c r="I1002" i="3"/>
  <c r="L1002" i="3"/>
  <c r="N1002" i="3"/>
  <c r="J1002" i="3"/>
  <c r="K1002" i="3"/>
  <c r="R1002" i="3"/>
  <c r="Q1002" i="3"/>
  <c r="P1002" i="3"/>
  <c r="O1034" i="3"/>
  <c r="M1034" i="3"/>
  <c r="N1034" i="3"/>
  <c r="I1034" i="3"/>
  <c r="P1034" i="3"/>
  <c r="R1034" i="3"/>
  <c r="J1034" i="3"/>
  <c r="L1034" i="3"/>
  <c r="K1034" i="3"/>
  <c r="Q1034" i="3"/>
  <c r="O1066" i="3"/>
  <c r="M1066" i="3"/>
  <c r="N1066" i="3"/>
  <c r="I1066" i="3"/>
  <c r="L1066" i="3"/>
  <c r="P1066" i="3"/>
  <c r="J1066" i="3"/>
  <c r="K1066" i="3"/>
  <c r="R1066" i="3"/>
  <c r="Q1066" i="3"/>
  <c r="O1098" i="3"/>
  <c r="M1098" i="3"/>
  <c r="N1098" i="3"/>
  <c r="I1098" i="3"/>
  <c r="P1098" i="3"/>
  <c r="R1098" i="3"/>
  <c r="L1098" i="3"/>
  <c r="K1098" i="3"/>
  <c r="J1098" i="3"/>
  <c r="Q1098" i="3"/>
  <c r="K1155" i="3"/>
  <c r="L1155" i="3"/>
  <c r="M1155" i="3"/>
  <c r="O1155" i="3"/>
  <c r="R1155" i="3"/>
  <c r="J1155" i="3"/>
  <c r="Q1155" i="3"/>
  <c r="N1155" i="3"/>
  <c r="P1155" i="3"/>
  <c r="I1155" i="3"/>
  <c r="O1106" i="3"/>
  <c r="Q1106" i="3"/>
  <c r="N1106" i="3"/>
  <c r="K1106" i="3"/>
  <c r="P1106" i="3"/>
  <c r="M1106" i="3"/>
  <c r="R1106" i="3"/>
  <c r="J1106" i="3"/>
  <c r="L1106" i="3"/>
  <c r="I1106" i="3"/>
  <c r="O1138" i="3"/>
  <c r="Q1138" i="3"/>
  <c r="I1138" i="3"/>
  <c r="L1138" i="3"/>
  <c r="K1138" i="3"/>
  <c r="M1138" i="3"/>
  <c r="R1138" i="3"/>
  <c r="J1138" i="3"/>
  <c r="N1138" i="3"/>
  <c r="P1138" i="3"/>
  <c r="O1170" i="3"/>
  <c r="Q1170" i="3"/>
  <c r="I1170" i="3"/>
  <c r="S1170" i="3" s="1"/>
  <c r="N1170" i="3"/>
  <c r="P1170" i="3"/>
  <c r="L1170" i="3"/>
  <c r="K1170" i="3"/>
  <c r="M1170" i="3"/>
  <c r="R1170" i="3"/>
  <c r="J1170" i="3"/>
  <c r="P1137" i="3"/>
  <c r="M1137" i="3"/>
  <c r="O1137" i="3"/>
  <c r="L1137" i="3"/>
  <c r="R1137" i="3"/>
  <c r="Q1137" i="3"/>
  <c r="J1137" i="3"/>
  <c r="I1137" i="3"/>
  <c r="K1137" i="3"/>
  <c r="N1137" i="3"/>
  <c r="P1169" i="3"/>
  <c r="M1169" i="3"/>
  <c r="O1169" i="3"/>
  <c r="N1169" i="3"/>
  <c r="R1169" i="3"/>
  <c r="Q1169" i="3"/>
  <c r="J1169" i="3"/>
  <c r="I1169" i="3"/>
  <c r="K1169" i="3"/>
  <c r="L1169" i="3"/>
  <c r="L1104" i="3"/>
  <c r="I1104" i="3"/>
  <c r="K1104" i="3"/>
  <c r="M1104" i="3"/>
  <c r="J1104" i="3"/>
  <c r="O1104" i="3"/>
  <c r="P1104" i="3"/>
  <c r="Q1104" i="3"/>
  <c r="N1104" i="3"/>
  <c r="R1104" i="3"/>
  <c r="I1136" i="3"/>
  <c r="J1136" i="3"/>
  <c r="K1136" i="3"/>
  <c r="M1136" i="3"/>
  <c r="P1136" i="3"/>
  <c r="O1136" i="3"/>
  <c r="Q1136" i="3"/>
  <c r="N1136" i="3"/>
  <c r="R1136" i="3"/>
  <c r="L1136" i="3"/>
  <c r="I1168" i="3"/>
  <c r="R1168" i="3"/>
  <c r="N1168" i="3"/>
  <c r="K1168" i="3"/>
  <c r="M1168" i="3"/>
  <c r="J1168" i="3"/>
  <c r="L1168" i="3"/>
  <c r="P1168" i="3"/>
  <c r="O1168" i="3"/>
  <c r="Q1168" i="3"/>
  <c r="Q1202" i="3"/>
  <c r="I1202" i="3"/>
  <c r="N1202" i="3"/>
  <c r="J1202" i="3"/>
  <c r="R1202" i="3"/>
  <c r="L1202" i="3"/>
  <c r="K1202" i="3"/>
  <c r="M1202" i="3"/>
  <c r="O1202" i="3"/>
  <c r="P1202" i="3"/>
  <c r="J1292" i="3"/>
  <c r="Q1292" i="3"/>
  <c r="M1292" i="3"/>
  <c r="I1292" i="3"/>
  <c r="N1292" i="3"/>
  <c r="L1292" i="3"/>
  <c r="O1292" i="3"/>
  <c r="R1292" i="3"/>
  <c r="P1292" i="3"/>
  <c r="K1292" i="3"/>
  <c r="L1209" i="3"/>
  <c r="Q1209" i="3"/>
  <c r="P1209" i="3"/>
  <c r="I1209" i="3"/>
  <c r="M1209" i="3"/>
  <c r="N1209" i="3"/>
  <c r="K1209" i="3"/>
  <c r="R1209" i="3"/>
  <c r="J1209" i="3"/>
  <c r="O1209" i="3"/>
  <c r="M1192" i="3"/>
  <c r="P1192" i="3"/>
  <c r="J1192" i="3"/>
  <c r="R1192" i="3"/>
  <c r="N1192" i="3"/>
  <c r="O1192" i="3"/>
  <c r="L1192" i="3"/>
  <c r="Q1192" i="3"/>
  <c r="K1192" i="3"/>
  <c r="I1192" i="3"/>
  <c r="M1253" i="3"/>
  <c r="K1253" i="3"/>
  <c r="Q1253" i="3"/>
  <c r="R1253" i="3"/>
  <c r="L1253" i="3"/>
  <c r="N1253" i="3"/>
  <c r="I1253" i="3"/>
  <c r="S1253" i="3" s="1"/>
  <c r="J1253" i="3"/>
  <c r="P1253" i="3"/>
  <c r="O1253" i="3"/>
  <c r="L1183" i="3"/>
  <c r="P1183" i="3"/>
  <c r="N1183" i="3"/>
  <c r="M1183" i="3"/>
  <c r="R1183" i="3"/>
  <c r="O1183" i="3"/>
  <c r="Q1183" i="3"/>
  <c r="I1183" i="3"/>
  <c r="K1183" i="3"/>
  <c r="J1183" i="3"/>
  <c r="M1215" i="3"/>
  <c r="R1215" i="3"/>
  <c r="J1215" i="3"/>
  <c r="L1215" i="3"/>
  <c r="Q1215" i="3"/>
  <c r="P1215" i="3"/>
  <c r="O1215" i="3"/>
  <c r="I1215" i="3"/>
  <c r="N1215" i="3"/>
  <c r="K1215" i="3"/>
  <c r="L1236" i="3"/>
  <c r="K1236" i="3"/>
  <c r="Q1236" i="3"/>
  <c r="I1236" i="3"/>
  <c r="O1236" i="3"/>
  <c r="J1236" i="3"/>
  <c r="P1236" i="3"/>
  <c r="M1236" i="3"/>
  <c r="N1236" i="3"/>
  <c r="R1236" i="3"/>
  <c r="J1268" i="3"/>
  <c r="K1268" i="3"/>
  <c r="Q1268" i="3"/>
  <c r="M1268" i="3"/>
  <c r="I1268" i="3"/>
  <c r="O1268" i="3"/>
  <c r="P1268" i="3"/>
  <c r="R1268" i="3"/>
  <c r="L1268" i="3"/>
  <c r="N1268" i="3"/>
  <c r="N1296" i="3"/>
  <c r="P1296" i="3"/>
  <c r="K1296" i="3"/>
  <c r="O1296" i="3"/>
  <c r="Q1296" i="3"/>
  <c r="I1296" i="3"/>
  <c r="R1296" i="3"/>
  <c r="J1296" i="3"/>
  <c r="M1296" i="3"/>
  <c r="L1296" i="3"/>
  <c r="R1247" i="3"/>
  <c r="Q1247" i="3"/>
  <c r="J1247" i="3"/>
  <c r="I1247" i="3"/>
  <c r="O1247" i="3"/>
  <c r="M1247" i="3"/>
  <c r="N1247" i="3"/>
  <c r="P1247" i="3"/>
  <c r="L1247" i="3"/>
  <c r="K1247" i="3"/>
  <c r="R1279" i="3"/>
  <c r="Q1279" i="3"/>
  <c r="P1279" i="3"/>
  <c r="J1279" i="3"/>
  <c r="I1279" i="3"/>
  <c r="O1279" i="3"/>
  <c r="M1279" i="3"/>
  <c r="K1279" i="3"/>
  <c r="L1279" i="3"/>
  <c r="N1279" i="3"/>
  <c r="O1226" i="3"/>
  <c r="M1226" i="3"/>
  <c r="K1226" i="3"/>
  <c r="L1226" i="3"/>
  <c r="Q1226" i="3"/>
  <c r="N1226" i="3"/>
  <c r="J1226" i="3"/>
  <c r="I1226" i="3"/>
  <c r="P1226" i="3"/>
  <c r="R1226" i="3"/>
  <c r="O1258" i="3"/>
  <c r="M1258" i="3"/>
  <c r="K1258" i="3"/>
  <c r="N1258" i="3"/>
  <c r="P1258" i="3"/>
  <c r="R1258" i="3"/>
  <c r="Q1258" i="3"/>
  <c r="L1258" i="3"/>
  <c r="J1258" i="3"/>
  <c r="I1258" i="3"/>
  <c r="I1288" i="3"/>
  <c r="J1288" i="3"/>
  <c r="M1288" i="3"/>
  <c r="K1288" i="3"/>
  <c r="P1288" i="3"/>
  <c r="O1288" i="3"/>
  <c r="N1288" i="3"/>
  <c r="Q1288" i="3"/>
  <c r="R1288" i="3"/>
  <c r="L1288" i="3"/>
  <c r="N1273" i="3"/>
  <c r="M1273" i="3"/>
  <c r="K1273" i="3"/>
  <c r="Q1273" i="3"/>
  <c r="O1273" i="3"/>
  <c r="I1273" i="3"/>
  <c r="R1273" i="3"/>
  <c r="P1273" i="3"/>
  <c r="L1273" i="3"/>
  <c r="J1273" i="3"/>
  <c r="K1299" i="3"/>
  <c r="P1299" i="3"/>
  <c r="M1299" i="3"/>
  <c r="L1299" i="3"/>
  <c r="Q1299" i="3"/>
  <c r="J1299" i="3"/>
  <c r="I1299" i="3"/>
  <c r="S1299" i="3" s="1"/>
  <c r="N1299" i="3"/>
  <c r="R1299" i="3"/>
  <c r="O1299" i="3"/>
  <c r="P1331" i="3"/>
  <c r="M1331" i="3"/>
  <c r="N1331" i="3"/>
  <c r="J1331" i="3"/>
  <c r="Q1331" i="3"/>
  <c r="K1331" i="3"/>
  <c r="I1331" i="3"/>
  <c r="L1331" i="3"/>
  <c r="R1331" i="3"/>
  <c r="O1331" i="3"/>
  <c r="O1302" i="3"/>
  <c r="N1302" i="3"/>
  <c r="L1302" i="3"/>
  <c r="J1302" i="3"/>
  <c r="M1302" i="3"/>
  <c r="P1302" i="3"/>
  <c r="R1302" i="3"/>
  <c r="I1302" i="3"/>
  <c r="K1302" i="3"/>
  <c r="Q1302" i="3"/>
  <c r="O1334" i="3"/>
  <c r="L1334" i="3"/>
  <c r="R1334" i="3"/>
  <c r="I1334" i="3"/>
  <c r="P1334" i="3"/>
  <c r="M1334" i="3"/>
  <c r="J1334" i="3"/>
  <c r="N1334" i="3"/>
  <c r="Q1334" i="3"/>
  <c r="K1334" i="3"/>
  <c r="M184" i="2"/>
  <c r="L184" i="2"/>
  <c r="M136" i="2"/>
  <c r="L136" i="2"/>
  <c r="S131" i="2"/>
  <c r="Q244" i="2"/>
  <c r="F1489" i="3"/>
  <c r="F1498" i="3"/>
  <c r="F1495" i="3"/>
  <c r="F1492" i="3"/>
  <c r="F1497" i="3"/>
  <c r="F1496" i="3"/>
  <c r="F1491" i="3"/>
  <c r="F1490" i="3"/>
  <c r="F1488" i="3"/>
  <c r="F1494" i="3"/>
  <c r="F1493" i="3"/>
  <c r="F1499" i="3"/>
  <c r="F683" i="3"/>
  <c r="F680" i="3"/>
  <c r="F677" i="3"/>
  <c r="F679" i="3"/>
  <c r="F676" i="3"/>
  <c r="F673" i="3"/>
  <c r="F675" i="3"/>
  <c r="F672" i="3"/>
  <c r="F681" i="3"/>
  <c r="F674" i="3"/>
  <c r="F682" i="3"/>
  <c r="F678" i="3"/>
  <c r="F1522" i="3"/>
  <c r="F1512" i="3"/>
  <c r="F1521" i="3"/>
  <c r="F1520" i="3"/>
  <c r="F1519" i="3"/>
  <c r="F1518" i="3"/>
  <c r="F1517" i="3"/>
  <c r="F1516" i="3"/>
  <c r="F1515" i="3"/>
  <c r="F1514" i="3"/>
  <c r="F1513" i="3"/>
  <c r="F1523" i="3"/>
  <c r="F699" i="3"/>
  <c r="F696" i="3"/>
  <c r="F702" i="3"/>
  <c r="F705" i="3"/>
  <c r="F707" i="3"/>
  <c r="F704" i="3"/>
  <c r="F701" i="3"/>
  <c r="F703" i="3"/>
  <c r="F700" i="3"/>
  <c r="F697" i="3"/>
  <c r="F706" i="3"/>
  <c r="F698" i="3"/>
  <c r="F1351" i="3"/>
  <c r="F1348" i="3"/>
  <c r="F1345" i="3"/>
  <c r="F1354" i="3"/>
  <c r="F1347" i="3"/>
  <c r="F1353" i="3"/>
  <c r="F1350" i="3"/>
  <c r="F1349" i="3"/>
  <c r="F1346" i="3"/>
  <c r="F1355" i="3"/>
  <c r="F1352" i="3"/>
  <c r="F1344" i="3"/>
  <c r="F537" i="3"/>
  <c r="F534" i="3"/>
  <c r="F530" i="3"/>
  <c r="F535" i="3"/>
  <c r="F531" i="3"/>
  <c r="F539" i="3"/>
  <c r="F533" i="3"/>
  <c r="F529" i="3"/>
  <c r="F536" i="3"/>
  <c r="F532" i="3"/>
  <c r="F528" i="3"/>
  <c r="F538" i="3"/>
  <c r="K537" i="3"/>
  <c r="R537" i="3"/>
  <c r="J537" i="3"/>
  <c r="M537" i="3"/>
  <c r="L537" i="3"/>
  <c r="I537" i="3"/>
  <c r="N537" i="3"/>
  <c r="O537" i="3"/>
  <c r="P537" i="3"/>
  <c r="Q537" i="3"/>
  <c r="Q552" i="3"/>
  <c r="I552" i="3"/>
  <c r="M552" i="3"/>
  <c r="N552" i="3"/>
  <c r="P552" i="3"/>
  <c r="O552" i="3"/>
  <c r="R552" i="3"/>
  <c r="J552" i="3"/>
  <c r="K552" i="3"/>
  <c r="L552" i="3"/>
  <c r="K681" i="3"/>
  <c r="M681" i="3"/>
  <c r="R681" i="3"/>
  <c r="O681" i="3"/>
  <c r="J681" i="3"/>
  <c r="I681" i="3"/>
  <c r="N681" i="3"/>
  <c r="L681" i="3"/>
  <c r="P681" i="3"/>
  <c r="Q681" i="3"/>
  <c r="O530" i="3"/>
  <c r="Q530" i="3"/>
  <c r="J530" i="3"/>
  <c r="K530" i="3"/>
  <c r="L530" i="3"/>
  <c r="I530" i="3"/>
  <c r="M530" i="3"/>
  <c r="N530" i="3"/>
  <c r="R530" i="3"/>
  <c r="P530" i="3"/>
  <c r="O733" i="3"/>
  <c r="K733" i="3"/>
  <c r="Q733" i="3"/>
  <c r="R733" i="3"/>
  <c r="I733" i="3"/>
  <c r="M733" i="3"/>
  <c r="L733" i="3"/>
  <c r="P733" i="3"/>
  <c r="N733" i="3"/>
  <c r="J733" i="3"/>
  <c r="M578" i="3"/>
  <c r="K578" i="3"/>
  <c r="L578" i="3"/>
  <c r="O578" i="3"/>
  <c r="Q578" i="3"/>
  <c r="I578" i="3"/>
  <c r="J578" i="3"/>
  <c r="N578" i="3"/>
  <c r="R578" i="3"/>
  <c r="P578" i="3"/>
  <c r="N610" i="3"/>
  <c r="M610" i="3"/>
  <c r="K610" i="3"/>
  <c r="L610" i="3"/>
  <c r="O610" i="3"/>
  <c r="J610" i="3"/>
  <c r="P610" i="3"/>
  <c r="R610" i="3"/>
  <c r="Q610" i="3"/>
  <c r="I610" i="3"/>
  <c r="N642" i="3"/>
  <c r="M642" i="3"/>
  <c r="K642" i="3"/>
  <c r="L642" i="3"/>
  <c r="O642" i="3"/>
  <c r="P642" i="3"/>
  <c r="Q642" i="3"/>
  <c r="R642" i="3"/>
  <c r="I642" i="3"/>
  <c r="J642" i="3"/>
  <c r="K713" i="3"/>
  <c r="I713" i="3"/>
  <c r="M713" i="3"/>
  <c r="N713" i="3"/>
  <c r="P713" i="3"/>
  <c r="J713" i="3"/>
  <c r="R713" i="3"/>
  <c r="Q713" i="3"/>
  <c r="O713" i="3"/>
  <c r="L713" i="3"/>
  <c r="O565" i="3"/>
  <c r="R565" i="3"/>
  <c r="Q565" i="3"/>
  <c r="K565" i="3"/>
  <c r="P565" i="3"/>
  <c r="N565" i="3"/>
  <c r="J565" i="3"/>
  <c r="L565" i="3"/>
  <c r="I565" i="3"/>
  <c r="M565" i="3"/>
  <c r="L597" i="3"/>
  <c r="O597" i="3"/>
  <c r="R597" i="3"/>
  <c r="Q597" i="3"/>
  <c r="K597" i="3"/>
  <c r="I597" i="3"/>
  <c r="M597" i="3"/>
  <c r="J597" i="3"/>
  <c r="P597" i="3"/>
  <c r="N597" i="3"/>
  <c r="L629" i="3"/>
  <c r="O629" i="3"/>
  <c r="R629" i="3"/>
  <c r="Q629" i="3"/>
  <c r="K629" i="3"/>
  <c r="M629" i="3"/>
  <c r="J629" i="3"/>
  <c r="I629" i="3"/>
  <c r="P629" i="3"/>
  <c r="N629" i="3"/>
  <c r="L661" i="3"/>
  <c r="O661" i="3"/>
  <c r="R661" i="3"/>
  <c r="Q661" i="3"/>
  <c r="K661" i="3"/>
  <c r="J661" i="3"/>
  <c r="I661" i="3"/>
  <c r="P661" i="3"/>
  <c r="M661" i="3"/>
  <c r="N661" i="3"/>
  <c r="I564" i="3"/>
  <c r="K564" i="3"/>
  <c r="M564" i="3"/>
  <c r="P564" i="3"/>
  <c r="Q564" i="3"/>
  <c r="N564" i="3"/>
  <c r="L564" i="3"/>
  <c r="J564" i="3"/>
  <c r="R564" i="3"/>
  <c r="O564" i="3"/>
  <c r="I596" i="3"/>
  <c r="K596" i="3"/>
  <c r="R596" i="3"/>
  <c r="M596" i="3"/>
  <c r="J596" i="3"/>
  <c r="L596" i="3"/>
  <c r="O596" i="3"/>
  <c r="Q596" i="3"/>
  <c r="N596" i="3"/>
  <c r="P596" i="3"/>
  <c r="I628" i="3"/>
  <c r="K628" i="3"/>
  <c r="R628" i="3"/>
  <c r="M628" i="3"/>
  <c r="J628" i="3"/>
  <c r="L628" i="3"/>
  <c r="P628" i="3"/>
  <c r="N628" i="3"/>
  <c r="Q628" i="3"/>
  <c r="O628" i="3"/>
  <c r="I660" i="3"/>
  <c r="K660" i="3"/>
  <c r="R660" i="3"/>
  <c r="M660" i="3"/>
  <c r="J660" i="3"/>
  <c r="L660" i="3"/>
  <c r="P660" i="3"/>
  <c r="O660" i="3"/>
  <c r="N660" i="3"/>
  <c r="Q660" i="3"/>
  <c r="I676" i="3"/>
  <c r="K676" i="3"/>
  <c r="P676" i="3"/>
  <c r="R676" i="3"/>
  <c r="L676" i="3"/>
  <c r="Q676" i="3"/>
  <c r="N676" i="3"/>
  <c r="O676" i="3"/>
  <c r="J676" i="3"/>
  <c r="M676" i="3"/>
  <c r="O539" i="3"/>
  <c r="N539" i="3"/>
  <c r="L539" i="3"/>
  <c r="K539" i="3"/>
  <c r="J539" i="3"/>
  <c r="M539" i="3"/>
  <c r="I539" i="3"/>
  <c r="P539" i="3"/>
  <c r="Q539" i="3"/>
  <c r="R539" i="3"/>
  <c r="K571" i="3"/>
  <c r="L571" i="3"/>
  <c r="M571" i="3"/>
  <c r="O571" i="3"/>
  <c r="Q571" i="3"/>
  <c r="N571" i="3"/>
  <c r="I571" i="3"/>
  <c r="R571" i="3"/>
  <c r="J571" i="3"/>
  <c r="P571" i="3"/>
  <c r="K603" i="3"/>
  <c r="P603" i="3"/>
  <c r="M603" i="3"/>
  <c r="O603" i="3"/>
  <c r="N603" i="3"/>
  <c r="R603" i="3"/>
  <c r="J603" i="3"/>
  <c r="L603" i="3"/>
  <c r="Q603" i="3"/>
  <c r="I603" i="3"/>
  <c r="K635" i="3"/>
  <c r="P635" i="3"/>
  <c r="M635" i="3"/>
  <c r="O635" i="3"/>
  <c r="N635" i="3"/>
  <c r="J635" i="3"/>
  <c r="R635" i="3"/>
  <c r="Q635" i="3"/>
  <c r="L635" i="3"/>
  <c r="I635" i="3"/>
  <c r="K667" i="3"/>
  <c r="P667" i="3"/>
  <c r="M667" i="3"/>
  <c r="O667" i="3"/>
  <c r="Q667" i="3"/>
  <c r="R667" i="3"/>
  <c r="I667" i="3"/>
  <c r="L667" i="3"/>
  <c r="N667" i="3"/>
  <c r="J667" i="3"/>
  <c r="K682" i="3"/>
  <c r="R682" i="3"/>
  <c r="M682" i="3"/>
  <c r="J682" i="3"/>
  <c r="O682" i="3"/>
  <c r="P682" i="3"/>
  <c r="I682" i="3"/>
  <c r="L682" i="3"/>
  <c r="N682" i="3"/>
  <c r="Q682" i="3"/>
  <c r="P714" i="3"/>
  <c r="I714" i="3"/>
  <c r="R714" i="3"/>
  <c r="Q714" i="3"/>
  <c r="M714" i="3"/>
  <c r="K714" i="3"/>
  <c r="N714" i="3"/>
  <c r="O714" i="3"/>
  <c r="L714" i="3"/>
  <c r="J714" i="3"/>
  <c r="R746" i="3"/>
  <c r="L746" i="3"/>
  <c r="P746" i="3"/>
  <c r="N746" i="3"/>
  <c r="M746" i="3"/>
  <c r="K746" i="3"/>
  <c r="O746" i="3"/>
  <c r="Q746" i="3"/>
  <c r="J746" i="3"/>
  <c r="I746" i="3"/>
  <c r="J778" i="3"/>
  <c r="P778" i="3"/>
  <c r="I778" i="3"/>
  <c r="L778" i="3"/>
  <c r="N778" i="3"/>
  <c r="M778" i="3"/>
  <c r="K778" i="3"/>
  <c r="R778" i="3"/>
  <c r="Q778" i="3"/>
  <c r="O778" i="3"/>
  <c r="K833" i="3"/>
  <c r="Q833" i="3"/>
  <c r="O833" i="3"/>
  <c r="I833" i="3"/>
  <c r="N833" i="3"/>
  <c r="R833" i="3"/>
  <c r="M833" i="3"/>
  <c r="P833" i="3"/>
  <c r="J833" i="3"/>
  <c r="L833" i="3"/>
  <c r="Q712" i="3"/>
  <c r="P712" i="3"/>
  <c r="I712" i="3"/>
  <c r="O712" i="3"/>
  <c r="N712" i="3"/>
  <c r="K712" i="3"/>
  <c r="R712" i="3"/>
  <c r="L712" i="3"/>
  <c r="J712" i="3"/>
  <c r="M712" i="3"/>
  <c r="R744" i="3"/>
  <c r="J744" i="3"/>
  <c r="Q744" i="3"/>
  <c r="I744" i="3"/>
  <c r="O744" i="3"/>
  <c r="K744" i="3"/>
  <c r="P744" i="3"/>
  <c r="N744" i="3"/>
  <c r="L744" i="3"/>
  <c r="M744" i="3"/>
  <c r="R776" i="3"/>
  <c r="J776" i="3"/>
  <c r="Q776" i="3"/>
  <c r="I776" i="3"/>
  <c r="O776" i="3"/>
  <c r="N776" i="3"/>
  <c r="L776" i="3"/>
  <c r="K776" i="3"/>
  <c r="M776" i="3"/>
  <c r="P776" i="3"/>
  <c r="K881" i="3"/>
  <c r="Q881" i="3"/>
  <c r="J881" i="3"/>
  <c r="I881" i="3"/>
  <c r="O881" i="3"/>
  <c r="M881" i="3"/>
  <c r="N881" i="3"/>
  <c r="L881" i="3"/>
  <c r="R881" i="3"/>
  <c r="P881" i="3"/>
  <c r="K683" i="3"/>
  <c r="N683" i="3"/>
  <c r="O683" i="3"/>
  <c r="R683" i="3"/>
  <c r="P683" i="3"/>
  <c r="M683" i="3"/>
  <c r="Q683" i="3"/>
  <c r="I683" i="3"/>
  <c r="L683" i="3"/>
  <c r="J683" i="3"/>
  <c r="R715" i="3"/>
  <c r="P715" i="3"/>
  <c r="O715" i="3"/>
  <c r="M715" i="3"/>
  <c r="Q715" i="3"/>
  <c r="L715" i="3"/>
  <c r="I715" i="3"/>
  <c r="S715" i="3" s="1"/>
  <c r="N715" i="3"/>
  <c r="K715" i="3"/>
  <c r="J715" i="3"/>
  <c r="N747" i="3"/>
  <c r="P747" i="3"/>
  <c r="O747" i="3"/>
  <c r="M747" i="3"/>
  <c r="Q747" i="3"/>
  <c r="J747" i="3"/>
  <c r="I747" i="3"/>
  <c r="R747" i="3"/>
  <c r="K747" i="3"/>
  <c r="L747" i="3"/>
  <c r="N779" i="3"/>
  <c r="K779" i="3"/>
  <c r="P779" i="3"/>
  <c r="O779" i="3"/>
  <c r="M779" i="3"/>
  <c r="Q779" i="3"/>
  <c r="L779" i="3"/>
  <c r="R779" i="3"/>
  <c r="I779" i="3"/>
  <c r="J779" i="3"/>
  <c r="L929" i="3"/>
  <c r="K929" i="3"/>
  <c r="Q929" i="3"/>
  <c r="I929" i="3"/>
  <c r="M929" i="3"/>
  <c r="O929" i="3"/>
  <c r="R929" i="3"/>
  <c r="J929" i="3"/>
  <c r="P929" i="3"/>
  <c r="N929" i="3"/>
  <c r="J804" i="3"/>
  <c r="M804" i="3"/>
  <c r="Q804" i="3"/>
  <c r="R804" i="3"/>
  <c r="I804" i="3"/>
  <c r="O804" i="3"/>
  <c r="P804" i="3"/>
  <c r="K804" i="3"/>
  <c r="L804" i="3"/>
  <c r="N804" i="3"/>
  <c r="M836" i="3"/>
  <c r="Q836" i="3"/>
  <c r="P836" i="3"/>
  <c r="I836" i="3"/>
  <c r="O836" i="3"/>
  <c r="L836" i="3"/>
  <c r="R836" i="3"/>
  <c r="K836" i="3"/>
  <c r="J836" i="3"/>
  <c r="N836" i="3"/>
  <c r="P868" i="3"/>
  <c r="R868" i="3"/>
  <c r="Q868" i="3"/>
  <c r="L868" i="3"/>
  <c r="I868" i="3"/>
  <c r="O868" i="3"/>
  <c r="J868" i="3"/>
  <c r="N868" i="3"/>
  <c r="K868" i="3"/>
  <c r="M868" i="3"/>
  <c r="M900" i="3"/>
  <c r="P900" i="3"/>
  <c r="Q900" i="3"/>
  <c r="L900" i="3"/>
  <c r="R900" i="3"/>
  <c r="I900" i="3"/>
  <c r="O900" i="3"/>
  <c r="J900" i="3"/>
  <c r="K900" i="3"/>
  <c r="N900" i="3"/>
  <c r="M932" i="3"/>
  <c r="P932" i="3"/>
  <c r="Q932" i="3"/>
  <c r="L932" i="3"/>
  <c r="R932" i="3"/>
  <c r="I932" i="3"/>
  <c r="O932" i="3"/>
  <c r="J932" i="3"/>
  <c r="K932" i="3"/>
  <c r="N932" i="3"/>
  <c r="N823" i="3"/>
  <c r="Q823" i="3"/>
  <c r="L823" i="3"/>
  <c r="R823" i="3"/>
  <c r="I823" i="3"/>
  <c r="S823" i="3" s="1"/>
  <c r="P823" i="3"/>
  <c r="J823" i="3"/>
  <c r="O823" i="3"/>
  <c r="M823" i="3"/>
  <c r="K823" i="3"/>
  <c r="Q855" i="3"/>
  <c r="P855" i="3"/>
  <c r="I855" i="3"/>
  <c r="S855" i="3" s="1"/>
  <c r="J855" i="3"/>
  <c r="N855" i="3"/>
  <c r="K855" i="3"/>
  <c r="O855" i="3"/>
  <c r="M855" i="3"/>
  <c r="L855" i="3"/>
  <c r="R855" i="3"/>
  <c r="Q887" i="3"/>
  <c r="I887" i="3"/>
  <c r="K887" i="3"/>
  <c r="R887" i="3"/>
  <c r="J887" i="3"/>
  <c r="L887" i="3"/>
  <c r="P887" i="3"/>
  <c r="O887" i="3"/>
  <c r="M887" i="3"/>
  <c r="N887" i="3"/>
  <c r="Q919" i="3"/>
  <c r="I919" i="3"/>
  <c r="R919" i="3"/>
  <c r="J919" i="3"/>
  <c r="L919" i="3"/>
  <c r="P919" i="3"/>
  <c r="O919" i="3"/>
  <c r="M919" i="3"/>
  <c r="N919" i="3"/>
  <c r="K919" i="3"/>
  <c r="M806" i="3"/>
  <c r="J806" i="3"/>
  <c r="K806" i="3"/>
  <c r="P806" i="3"/>
  <c r="O806" i="3"/>
  <c r="N806" i="3"/>
  <c r="Q806" i="3"/>
  <c r="I806" i="3"/>
  <c r="L806" i="3"/>
  <c r="R806" i="3"/>
  <c r="M838" i="3"/>
  <c r="K838" i="3"/>
  <c r="N838" i="3"/>
  <c r="Q838" i="3"/>
  <c r="O838" i="3"/>
  <c r="I838" i="3"/>
  <c r="L838" i="3"/>
  <c r="R838" i="3"/>
  <c r="J838" i="3"/>
  <c r="P838" i="3"/>
  <c r="M870" i="3"/>
  <c r="K870" i="3"/>
  <c r="I870" i="3"/>
  <c r="L870" i="3"/>
  <c r="O870" i="3"/>
  <c r="R870" i="3"/>
  <c r="J870" i="3"/>
  <c r="P870" i="3"/>
  <c r="N870" i="3"/>
  <c r="Q870" i="3"/>
  <c r="M902" i="3"/>
  <c r="K902" i="3"/>
  <c r="P902" i="3"/>
  <c r="I902" i="3"/>
  <c r="N902" i="3"/>
  <c r="O902" i="3"/>
  <c r="R902" i="3"/>
  <c r="L902" i="3"/>
  <c r="J902" i="3"/>
  <c r="Q902" i="3"/>
  <c r="M934" i="3"/>
  <c r="K934" i="3"/>
  <c r="P934" i="3"/>
  <c r="N934" i="3"/>
  <c r="O934" i="3"/>
  <c r="R934" i="3"/>
  <c r="L934" i="3"/>
  <c r="Q934" i="3"/>
  <c r="J934" i="3"/>
  <c r="I934" i="3"/>
  <c r="J1344" i="3"/>
  <c r="K1344" i="3"/>
  <c r="P1344" i="3"/>
  <c r="Q1344" i="3"/>
  <c r="O1344" i="3"/>
  <c r="M1344" i="3"/>
  <c r="I1344" i="3"/>
  <c r="N1344" i="3"/>
  <c r="L1344" i="3"/>
  <c r="R1344" i="3"/>
  <c r="M1400" i="3"/>
  <c r="L1400" i="3"/>
  <c r="R1400" i="3"/>
  <c r="Q1400" i="3"/>
  <c r="N1400" i="3"/>
  <c r="J1400" i="3"/>
  <c r="I1400" i="3"/>
  <c r="P1400" i="3"/>
  <c r="O1400" i="3"/>
  <c r="K1400" i="3"/>
  <c r="O1370" i="3"/>
  <c r="P1370" i="3"/>
  <c r="N1370" i="3"/>
  <c r="L1370" i="3"/>
  <c r="Q1370" i="3"/>
  <c r="M1370" i="3"/>
  <c r="R1370" i="3"/>
  <c r="I1370" i="3"/>
  <c r="K1370" i="3"/>
  <c r="J1370" i="3"/>
  <c r="P1396" i="3"/>
  <c r="O1396" i="3"/>
  <c r="R1396" i="3"/>
  <c r="J1396" i="3"/>
  <c r="K1396" i="3"/>
  <c r="L1396" i="3"/>
  <c r="N1396" i="3"/>
  <c r="M1396" i="3"/>
  <c r="Q1396" i="3"/>
  <c r="I1396" i="3"/>
  <c r="L1375" i="3"/>
  <c r="J1375" i="3"/>
  <c r="I1375" i="3"/>
  <c r="S1375" i="3" s="1"/>
  <c r="Q1375" i="3"/>
  <c r="N1375" i="3"/>
  <c r="P1375" i="3"/>
  <c r="M1375" i="3"/>
  <c r="K1375" i="3"/>
  <c r="O1375" i="3"/>
  <c r="R1375" i="3"/>
  <c r="P1433" i="3"/>
  <c r="K1433" i="3"/>
  <c r="M1433" i="3"/>
  <c r="Q1433" i="3"/>
  <c r="N1433" i="3"/>
  <c r="I1433" i="3"/>
  <c r="J1433" i="3"/>
  <c r="L1433" i="3"/>
  <c r="O1433" i="3"/>
  <c r="R1433" i="3"/>
  <c r="O1398" i="3"/>
  <c r="K1398" i="3"/>
  <c r="R1398" i="3"/>
  <c r="Q1398" i="3"/>
  <c r="P1398" i="3"/>
  <c r="N1398" i="3"/>
  <c r="M1398" i="3"/>
  <c r="J1398" i="3"/>
  <c r="I1398" i="3"/>
  <c r="L1398" i="3"/>
  <c r="Q1365" i="3"/>
  <c r="R1365" i="3"/>
  <c r="M1365" i="3"/>
  <c r="N1365" i="3"/>
  <c r="J1365" i="3"/>
  <c r="P1365" i="3"/>
  <c r="O1365" i="3"/>
  <c r="K1365" i="3"/>
  <c r="L1365" i="3"/>
  <c r="I1365" i="3"/>
  <c r="M1397" i="3"/>
  <c r="Q1397" i="3"/>
  <c r="N1397" i="3"/>
  <c r="L1397" i="3"/>
  <c r="P1397" i="3"/>
  <c r="O1397" i="3"/>
  <c r="K1397" i="3"/>
  <c r="J1397" i="3"/>
  <c r="I1397" i="3"/>
  <c r="R1397" i="3"/>
  <c r="N1404" i="3"/>
  <c r="P1404" i="3"/>
  <c r="Q1404" i="3"/>
  <c r="R1404" i="3"/>
  <c r="M1404" i="3"/>
  <c r="L1404" i="3"/>
  <c r="I1404" i="3"/>
  <c r="O1404" i="3"/>
  <c r="K1404" i="3"/>
  <c r="J1404" i="3"/>
  <c r="L1436" i="3"/>
  <c r="N1436" i="3"/>
  <c r="R1436" i="3"/>
  <c r="Q1436" i="3"/>
  <c r="K1436" i="3"/>
  <c r="J1436" i="3"/>
  <c r="I1436" i="3"/>
  <c r="S1436" i="3" s="1"/>
  <c r="P1436" i="3"/>
  <c r="M1436" i="3"/>
  <c r="O1436" i="3"/>
  <c r="L1468" i="3"/>
  <c r="K1468" i="3"/>
  <c r="N1468" i="3"/>
  <c r="M1468" i="3"/>
  <c r="R1468" i="3"/>
  <c r="J1468" i="3"/>
  <c r="Q1468" i="3"/>
  <c r="P1468" i="3"/>
  <c r="I1468" i="3"/>
  <c r="O1468" i="3"/>
  <c r="M1419" i="3"/>
  <c r="N1419" i="3"/>
  <c r="R1419" i="3"/>
  <c r="I1419" i="3"/>
  <c r="Q1419" i="3"/>
  <c r="K1419" i="3"/>
  <c r="O1419" i="3"/>
  <c r="J1419" i="3"/>
  <c r="P1419" i="3"/>
  <c r="L1419" i="3"/>
  <c r="P1451" i="3"/>
  <c r="M1451" i="3"/>
  <c r="Q1451" i="3"/>
  <c r="L1451" i="3"/>
  <c r="I1451" i="3"/>
  <c r="K1451" i="3"/>
  <c r="R1451" i="3"/>
  <c r="N1451" i="3"/>
  <c r="J1451" i="3"/>
  <c r="O1451" i="3"/>
  <c r="I1483" i="3"/>
  <c r="K1483" i="3"/>
  <c r="P1483" i="3"/>
  <c r="R1483" i="3"/>
  <c r="J1483" i="3"/>
  <c r="N1483" i="3"/>
  <c r="Q1483" i="3"/>
  <c r="O1483" i="3"/>
  <c r="M1483" i="3"/>
  <c r="L1483" i="3"/>
  <c r="Q1458" i="3"/>
  <c r="I1458" i="3"/>
  <c r="R1458" i="3"/>
  <c r="M1458" i="3"/>
  <c r="P1458" i="3"/>
  <c r="L1458" i="3"/>
  <c r="K1458" i="3"/>
  <c r="J1458" i="3"/>
  <c r="O1458" i="3"/>
  <c r="N1458" i="3"/>
  <c r="K1536" i="3"/>
  <c r="R1536" i="3"/>
  <c r="N1536" i="3"/>
  <c r="M1536" i="3"/>
  <c r="Q1536" i="3"/>
  <c r="I1536" i="3"/>
  <c r="O1536" i="3"/>
  <c r="P1536" i="3"/>
  <c r="L1536" i="3"/>
  <c r="J1536" i="3"/>
  <c r="O1469" i="3"/>
  <c r="P1469" i="3"/>
  <c r="L1469" i="3"/>
  <c r="K1469" i="3"/>
  <c r="R1469" i="3"/>
  <c r="Q1469" i="3"/>
  <c r="J1469" i="3"/>
  <c r="M1469" i="3"/>
  <c r="I1469" i="3"/>
  <c r="S1469" i="3" s="1"/>
  <c r="N1469" i="3"/>
  <c r="Q1528" i="3"/>
  <c r="K1528" i="3"/>
  <c r="M1528" i="3"/>
  <c r="O1528" i="3"/>
  <c r="P1528" i="3"/>
  <c r="L1528" i="3"/>
  <c r="J1528" i="3"/>
  <c r="N1528" i="3"/>
  <c r="I1528" i="3"/>
  <c r="R1528" i="3"/>
  <c r="K1520" i="3"/>
  <c r="M1520" i="3"/>
  <c r="Q1520" i="3"/>
  <c r="I1520" i="3"/>
  <c r="N1520" i="3"/>
  <c r="R1520" i="3"/>
  <c r="L1520" i="3"/>
  <c r="O1520" i="3"/>
  <c r="P1520" i="3"/>
  <c r="J1520" i="3"/>
  <c r="N1580" i="3"/>
  <c r="M1580" i="3"/>
  <c r="I1580" i="3"/>
  <c r="S1580" i="3" s="1"/>
  <c r="L1580" i="3"/>
  <c r="R1580" i="3"/>
  <c r="J1580" i="3"/>
  <c r="P1580" i="3"/>
  <c r="Q1580" i="3"/>
  <c r="O1580" i="3"/>
  <c r="K1580" i="3"/>
  <c r="Q1519" i="3"/>
  <c r="K1519" i="3"/>
  <c r="O1519" i="3"/>
  <c r="J1519" i="3"/>
  <c r="R1519" i="3"/>
  <c r="I1519" i="3"/>
  <c r="N1519" i="3"/>
  <c r="M1519" i="3"/>
  <c r="L1519" i="3"/>
  <c r="P1519" i="3"/>
  <c r="M1564" i="3"/>
  <c r="I1564" i="3"/>
  <c r="K1564" i="3"/>
  <c r="J1564" i="3"/>
  <c r="N1564" i="3"/>
  <c r="L1564" i="3"/>
  <c r="Q1564" i="3"/>
  <c r="R1564" i="3"/>
  <c r="O1564" i="3"/>
  <c r="P1564" i="3"/>
  <c r="I1498" i="3"/>
  <c r="N1498" i="3"/>
  <c r="O1498" i="3"/>
  <c r="M1498" i="3"/>
  <c r="J1498" i="3"/>
  <c r="L1498" i="3"/>
  <c r="P1498" i="3"/>
  <c r="K1498" i="3"/>
  <c r="Q1498" i="3"/>
  <c r="R1498" i="3"/>
  <c r="O1530" i="3"/>
  <c r="I1530" i="3"/>
  <c r="M1530" i="3"/>
  <c r="J1530" i="3"/>
  <c r="N1530" i="3"/>
  <c r="K1530" i="3"/>
  <c r="Q1530" i="3"/>
  <c r="L1530" i="3"/>
  <c r="P1530" i="3"/>
  <c r="R1530" i="3"/>
  <c r="R1586" i="3"/>
  <c r="I1586" i="3"/>
  <c r="K1586" i="3"/>
  <c r="J1586" i="3"/>
  <c r="P1586" i="3"/>
  <c r="N1586" i="3"/>
  <c r="M1586" i="3"/>
  <c r="Q1586" i="3"/>
  <c r="O1586" i="3"/>
  <c r="L1586" i="3"/>
  <c r="O1497" i="3"/>
  <c r="J1497" i="3"/>
  <c r="L1497" i="3"/>
  <c r="M1497" i="3"/>
  <c r="Q1497" i="3"/>
  <c r="R1497" i="3"/>
  <c r="N1497" i="3"/>
  <c r="K1497" i="3"/>
  <c r="P1497" i="3"/>
  <c r="I1497" i="3"/>
  <c r="O1529" i="3"/>
  <c r="J1529" i="3"/>
  <c r="R1529" i="3"/>
  <c r="P1529" i="3"/>
  <c r="I1529" i="3"/>
  <c r="S1529" i="3" s="1"/>
  <c r="N1529" i="3"/>
  <c r="M1529" i="3"/>
  <c r="K1529" i="3"/>
  <c r="Q1529" i="3"/>
  <c r="L1529" i="3"/>
  <c r="Q1568" i="3"/>
  <c r="M1568" i="3"/>
  <c r="I1568" i="3"/>
  <c r="S1568" i="3" s="1"/>
  <c r="R1568" i="3"/>
  <c r="O1568" i="3"/>
  <c r="P1568" i="3"/>
  <c r="N1568" i="3"/>
  <c r="J1568" i="3"/>
  <c r="L1568" i="3"/>
  <c r="K1568" i="3"/>
  <c r="L1567" i="3"/>
  <c r="N1567" i="3"/>
  <c r="O1567" i="3"/>
  <c r="R1567" i="3"/>
  <c r="K1567" i="3"/>
  <c r="P1567" i="3"/>
  <c r="Q1567" i="3"/>
  <c r="M1567" i="3"/>
  <c r="J1567" i="3"/>
  <c r="I1567" i="3"/>
  <c r="L1599" i="3"/>
  <c r="N1599" i="3"/>
  <c r="R1599" i="3"/>
  <c r="M1599" i="3"/>
  <c r="J1599" i="3"/>
  <c r="O1599" i="3"/>
  <c r="K1599" i="3"/>
  <c r="I1599" i="3"/>
  <c r="P1599" i="3"/>
  <c r="Q1599" i="3"/>
  <c r="Q1707" i="3"/>
  <c r="J1707" i="3"/>
  <c r="M1707" i="3"/>
  <c r="O1707" i="3"/>
  <c r="L1707" i="3"/>
  <c r="R1707" i="3"/>
  <c r="K1707" i="3"/>
  <c r="I1707" i="3"/>
  <c r="P1707" i="3"/>
  <c r="N1707" i="3"/>
  <c r="M1561" i="3"/>
  <c r="L1561" i="3"/>
  <c r="K1561" i="3"/>
  <c r="O1561" i="3"/>
  <c r="R1561" i="3"/>
  <c r="J1561" i="3"/>
  <c r="Q1561" i="3"/>
  <c r="I1561" i="3"/>
  <c r="N1561" i="3"/>
  <c r="P1561" i="3"/>
  <c r="P1593" i="3"/>
  <c r="Q1593" i="3"/>
  <c r="N1593" i="3"/>
  <c r="K1593" i="3"/>
  <c r="O1593" i="3"/>
  <c r="L1593" i="3"/>
  <c r="R1593" i="3"/>
  <c r="J1593" i="3"/>
  <c r="M1593" i="3"/>
  <c r="I1593" i="3"/>
  <c r="Q1621" i="3"/>
  <c r="P1621" i="3"/>
  <c r="I1621" i="3"/>
  <c r="R1621" i="3"/>
  <c r="K1621" i="3"/>
  <c r="J1621" i="3"/>
  <c r="O1621" i="3"/>
  <c r="N1621" i="3"/>
  <c r="M1621" i="3"/>
  <c r="L1621" i="3"/>
  <c r="P1649" i="3"/>
  <c r="M1649" i="3"/>
  <c r="L1649" i="3"/>
  <c r="N1649" i="3"/>
  <c r="Q1649" i="3"/>
  <c r="O1649" i="3"/>
  <c r="K1649" i="3"/>
  <c r="R1649" i="3"/>
  <c r="J1649" i="3"/>
  <c r="I1649" i="3"/>
  <c r="Q1612" i="3"/>
  <c r="J1612" i="3"/>
  <c r="I1612" i="3"/>
  <c r="S1612" i="3" s="1"/>
  <c r="N1612" i="3"/>
  <c r="P1612" i="3"/>
  <c r="R1612" i="3"/>
  <c r="K1612" i="3"/>
  <c r="M1612" i="3"/>
  <c r="L1612" i="3"/>
  <c r="O1612" i="3"/>
  <c r="M1603" i="3"/>
  <c r="K1603" i="3"/>
  <c r="R1603" i="3"/>
  <c r="I1603" i="3"/>
  <c r="J1603" i="3"/>
  <c r="O1603" i="3"/>
  <c r="P1603" i="3"/>
  <c r="L1603" i="3"/>
  <c r="Q1603" i="3"/>
  <c r="N1603" i="3"/>
  <c r="P1642" i="3"/>
  <c r="J1642" i="3"/>
  <c r="L1642" i="3"/>
  <c r="Q1642" i="3"/>
  <c r="R1642" i="3"/>
  <c r="M1642" i="3"/>
  <c r="K1642" i="3"/>
  <c r="N1642" i="3"/>
  <c r="O1642" i="3"/>
  <c r="I1642" i="3"/>
  <c r="M1669" i="3"/>
  <c r="K1669" i="3"/>
  <c r="Q1669" i="3"/>
  <c r="L1669" i="3"/>
  <c r="O1669" i="3"/>
  <c r="P1669" i="3"/>
  <c r="N1669" i="3"/>
  <c r="J1669" i="3"/>
  <c r="R1669" i="3"/>
  <c r="I1669" i="3"/>
  <c r="K1631" i="3"/>
  <c r="L1631" i="3"/>
  <c r="J1631" i="3"/>
  <c r="R1631" i="3"/>
  <c r="M1631" i="3"/>
  <c r="Q1631" i="3"/>
  <c r="N1631" i="3"/>
  <c r="I1631" i="3"/>
  <c r="P1631" i="3"/>
  <c r="O1631" i="3"/>
  <c r="P1665" i="3"/>
  <c r="L1665" i="3"/>
  <c r="O1665" i="3"/>
  <c r="I1665" i="3"/>
  <c r="Q1665" i="3"/>
  <c r="J1665" i="3"/>
  <c r="M1665" i="3"/>
  <c r="K1665" i="3"/>
  <c r="R1665" i="3"/>
  <c r="N1665" i="3"/>
  <c r="L1691" i="3"/>
  <c r="I1691" i="3"/>
  <c r="M1691" i="3"/>
  <c r="R1691" i="3"/>
  <c r="J1691" i="3"/>
  <c r="N1691" i="3"/>
  <c r="K1691" i="3"/>
  <c r="Q1691" i="3"/>
  <c r="P1691" i="3"/>
  <c r="O1691" i="3"/>
  <c r="P1682" i="3"/>
  <c r="N1682" i="3"/>
  <c r="L1682" i="3"/>
  <c r="R1682" i="3"/>
  <c r="K1682" i="3"/>
  <c r="J1682" i="3"/>
  <c r="M1682" i="3"/>
  <c r="Q1682" i="3"/>
  <c r="O1682" i="3"/>
  <c r="I1682" i="3"/>
  <c r="J1717" i="3"/>
  <c r="Q1717" i="3"/>
  <c r="M1717" i="3"/>
  <c r="I1717" i="3"/>
  <c r="R1717" i="3"/>
  <c r="L1717" i="3"/>
  <c r="N1717" i="3"/>
  <c r="K1717" i="3"/>
  <c r="O1717" i="3"/>
  <c r="P1717" i="3"/>
  <c r="K1743" i="3"/>
  <c r="M1743" i="3"/>
  <c r="R1743" i="3"/>
  <c r="I1743" i="3"/>
  <c r="O1743" i="3"/>
  <c r="N1743" i="3"/>
  <c r="L1743" i="3"/>
  <c r="J1743" i="3"/>
  <c r="Q1743" i="3"/>
  <c r="P1743" i="3"/>
  <c r="L1738" i="3"/>
  <c r="K1738" i="3"/>
  <c r="P1738" i="3"/>
  <c r="M1738" i="3"/>
  <c r="R1738" i="3"/>
  <c r="N1738" i="3"/>
  <c r="J1738" i="3"/>
  <c r="I1738" i="3"/>
  <c r="Q1738" i="3"/>
  <c r="O1738" i="3"/>
  <c r="R1746" i="3"/>
  <c r="I1746" i="3"/>
  <c r="N1746" i="3"/>
  <c r="Q1746" i="3"/>
  <c r="P1746" i="3"/>
  <c r="L1746" i="3"/>
  <c r="J1746" i="3"/>
  <c r="O1746" i="3"/>
  <c r="M1746" i="3"/>
  <c r="K1746" i="3"/>
  <c r="P1737" i="3"/>
  <c r="Q1737" i="3"/>
  <c r="L1737" i="3"/>
  <c r="R1737" i="3"/>
  <c r="I1737" i="3"/>
  <c r="K1737" i="3"/>
  <c r="O1737" i="3"/>
  <c r="N1737" i="3"/>
  <c r="J1737" i="3"/>
  <c r="M1737" i="3"/>
  <c r="L1728" i="3"/>
  <c r="J1728" i="3"/>
  <c r="Q1728" i="3"/>
  <c r="P1728" i="3"/>
  <c r="I1728" i="3"/>
  <c r="O1728" i="3"/>
  <c r="K1728" i="3"/>
  <c r="R1728" i="3"/>
  <c r="N1728" i="3"/>
  <c r="M1728" i="3"/>
  <c r="L1749" i="3"/>
  <c r="Q1749" i="3"/>
  <c r="K1749" i="3"/>
  <c r="I1749" i="3"/>
  <c r="P1749" i="3"/>
  <c r="N1749" i="3"/>
  <c r="O1749" i="3"/>
  <c r="J1749" i="3"/>
  <c r="M1749" i="3"/>
  <c r="R1749" i="3"/>
  <c r="M127" i="2"/>
  <c r="L127" i="2"/>
  <c r="M215" i="2"/>
  <c r="L215" i="2"/>
  <c r="L139" i="2"/>
  <c r="L155" i="2"/>
  <c r="L213" i="2"/>
  <c r="L245" i="2"/>
  <c r="M156" i="2"/>
  <c r="L156" i="2"/>
  <c r="K136" i="3"/>
  <c r="Q136" i="3"/>
  <c r="P136" i="3"/>
  <c r="M136" i="3"/>
  <c r="O136" i="3"/>
  <c r="N136" i="3"/>
  <c r="L136" i="3"/>
  <c r="J136" i="3"/>
  <c r="I136" i="3"/>
  <c r="R136" i="3"/>
  <c r="Q196" i="3"/>
  <c r="I196" i="3"/>
  <c r="M196" i="3"/>
  <c r="N196" i="3"/>
  <c r="O196" i="3"/>
  <c r="R196" i="3"/>
  <c r="P196" i="3"/>
  <c r="L196" i="3"/>
  <c r="K196" i="3"/>
  <c r="J196" i="3"/>
  <c r="R276" i="3"/>
  <c r="N276" i="3"/>
  <c r="K276" i="3"/>
  <c r="O276" i="3"/>
  <c r="M276" i="3"/>
  <c r="Q276" i="3"/>
  <c r="I276" i="3"/>
  <c r="S276" i="3" s="1"/>
  <c r="J276" i="3"/>
  <c r="L276" i="3"/>
  <c r="P276" i="3"/>
  <c r="K469" i="3"/>
  <c r="P469" i="3"/>
  <c r="I469" i="3"/>
  <c r="M469" i="3"/>
  <c r="N469" i="3"/>
  <c r="O469" i="3"/>
  <c r="R469" i="3"/>
  <c r="Q469" i="3"/>
  <c r="L469" i="3"/>
  <c r="J469" i="3"/>
  <c r="K936" i="3"/>
  <c r="J936" i="3"/>
  <c r="N936" i="3"/>
  <c r="P936" i="3"/>
  <c r="Q936" i="3"/>
  <c r="M936" i="3"/>
  <c r="I936" i="3"/>
  <c r="O936" i="3"/>
  <c r="L936" i="3"/>
  <c r="R936" i="3"/>
  <c r="K1088" i="3"/>
  <c r="R1088" i="3"/>
  <c r="Q1088" i="3"/>
  <c r="J1088" i="3"/>
  <c r="I1088" i="3"/>
  <c r="P1088" i="3"/>
  <c r="O1088" i="3"/>
  <c r="M1088" i="3"/>
  <c r="L1088" i="3"/>
  <c r="N1088" i="3"/>
  <c r="N1058" i="3"/>
  <c r="L1058" i="3"/>
  <c r="O1058" i="3"/>
  <c r="M1058" i="3"/>
  <c r="K1058" i="3"/>
  <c r="R1058" i="3"/>
  <c r="J1058" i="3"/>
  <c r="Q1058" i="3"/>
  <c r="I1058" i="3"/>
  <c r="P1058" i="3"/>
  <c r="M1128" i="3"/>
  <c r="J1128" i="3"/>
  <c r="O1128" i="3"/>
  <c r="Q1128" i="3"/>
  <c r="I1128" i="3"/>
  <c r="S1128" i="3" s="1"/>
  <c r="L1128" i="3"/>
  <c r="K1128" i="3"/>
  <c r="N1128" i="3"/>
  <c r="P1128" i="3"/>
  <c r="R1128" i="3"/>
  <c r="O1207" i="3"/>
  <c r="N1207" i="3"/>
  <c r="I1207" i="3"/>
  <c r="S1207" i="3" s="1"/>
  <c r="K1207" i="3"/>
  <c r="L1207" i="3"/>
  <c r="P1207" i="3"/>
  <c r="J1207" i="3"/>
  <c r="R1207" i="3"/>
  <c r="M1207" i="3"/>
  <c r="Q1207" i="3"/>
  <c r="L1282" i="3"/>
  <c r="R1282" i="3"/>
  <c r="O1282" i="3"/>
  <c r="N1282" i="3"/>
  <c r="M1282" i="3"/>
  <c r="J1282" i="3"/>
  <c r="Q1282" i="3"/>
  <c r="P1282" i="3"/>
  <c r="K1282" i="3"/>
  <c r="I1282" i="3"/>
  <c r="M237" i="2"/>
  <c r="L237" i="2"/>
  <c r="F1461" i="3"/>
  <c r="F1457" i="3"/>
  <c r="F1453" i="3"/>
  <c r="F1462" i="3"/>
  <c r="F1458" i="3"/>
  <c r="F1454" i="3"/>
  <c r="F1463" i="3"/>
  <c r="F1459" i="3"/>
  <c r="F1455" i="3"/>
  <c r="F1460" i="3"/>
  <c r="F1456" i="3"/>
  <c r="F1452" i="3"/>
  <c r="F647" i="3"/>
  <c r="F643" i="3"/>
  <c r="F639" i="3"/>
  <c r="F646" i="3"/>
  <c r="F642" i="3"/>
  <c r="F638" i="3"/>
  <c r="F644" i="3"/>
  <c r="F640" i="3"/>
  <c r="F636" i="3"/>
  <c r="F645" i="3"/>
  <c r="F641" i="3"/>
  <c r="F637" i="3"/>
  <c r="J653" i="3"/>
  <c r="Q653" i="3"/>
  <c r="K653" i="3"/>
  <c r="I653" i="3"/>
  <c r="L653" i="3"/>
  <c r="M653" i="3"/>
  <c r="P653" i="3"/>
  <c r="R653" i="3"/>
  <c r="N653" i="3"/>
  <c r="O653" i="3"/>
  <c r="N770" i="3"/>
  <c r="M770" i="3"/>
  <c r="R770" i="3"/>
  <c r="K770" i="3"/>
  <c r="J770" i="3"/>
  <c r="P770" i="3"/>
  <c r="O770" i="3"/>
  <c r="L770" i="3"/>
  <c r="Q770" i="3"/>
  <c r="I770" i="3"/>
  <c r="P847" i="3"/>
  <c r="O847" i="3"/>
  <c r="M847" i="3"/>
  <c r="K847" i="3"/>
  <c r="Q847" i="3"/>
  <c r="J847" i="3"/>
  <c r="N847" i="3"/>
  <c r="I847" i="3"/>
  <c r="L847" i="3"/>
  <c r="R847" i="3"/>
  <c r="Q1428" i="3"/>
  <c r="K1428" i="3"/>
  <c r="I1428" i="3"/>
  <c r="L1428" i="3"/>
  <c r="R1428" i="3"/>
  <c r="O1428" i="3"/>
  <c r="J1428" i="3"/>
  <c r="P1428" i="3"/>
  <c r="M1428" i="3"/>
  <c r="N1428" i="3"/>
  <c r="O1521" i="3"/>
  <c r="M1521" i="3"/>
  <c r="Q1521" i="3"/>
  <c r="I1521" i="3"/>
  <c r="R1521" i="3"/>
  <c r="K1521" i="3"/>
  <c r="N1521" i="3"/>
  <c r="P1521" i="3"/>
  <c r="J1521" i="3"/>
  <c r="L1521" i="3"/>
  <c r="K1701" i="3"/>
  <c r="R1701" i="3"/>
  <c r="O1701" i="3"/>
  <c r="I1701" i="3"/>
  <c r="Q1701" i="3"/>
  <c r="P1701" i="3"/>
  <c r="L1701" i="3"/>
  <c r="J1701" i="3"/>
  <c r="N1701" i="3"/>
  <c r="M1701" i="3"/>
  <c r="F1139" i="3"/>
  <c r="F1135" i="3"/>
  <c r="F1138" i="3"/>
  <c r="F1132" i="3"/>
  <c r="F1136" i="3"/>
  <c r="F1133" i="3"/>
  <c r="F1137" i="3"/>
  <c r="F1128" i="3"/>
  <c r="F1130" i="3"/>
  <c r="F1131" i="3"/>
  <c r="F1134" i="3"/>
  <c r="F1129" i="3"/>
  <c r="F315" i="3"/>
  <c r="F314" i="3"/>
  <c r="F323" i="3"/>
  <c r="F313" i="3"/>
  <c r="F312" i="3"/>
  <c r="F322" i="3"/>
  <c r="F321" i="3"/>
  <c r="F320" i="3"/>
  <c r="F318" i="3"/>
  <c r="F319" i="3"/>
  <c r="F316" i="3"/>
  <c r="F317" i="3"/>
  <c r="P125" i="3"/>
  <c r="L125" i="3"/>
  <c r="K125" i="3"/>
  <c r="Q125" i="3"/>
  <c r="I125" i="3"/>
  <c r="M125" i="3"/>
  <c r="R125" i="3"/>
  <c r="N125" i="3"/>
  <c r="J125" i="3"/>
  <c r="O125" i="3"/>
  <c r="R120" i="3"/>
  <c r="J120" i="3"/>
  <c r="Q120" i="3"/>
  <c r="P120" i="3"/>
  <c r="N120" i="3"/>
  <c r="I120" i="3"/>
  <c r="L120" i="3"/>
  <c r="K120" i="3"/>
  <c r="M120" i="3"/>
  <c r="O120" i="3"/>
  <c r="O297" i="3"/>
  <c r="P297" i="3"/>
  <c r="M297" i="3"/>
  <c r="N297" i="3"/>
  <c r="Q297" i="3"/>
  <c r="I297" i="3"/>
  <c r="L297" i="3"/>
  <c r="K297" i="3"/>
  <c r="J297" i="3"/>
  <c r="R297" i="3"/>
  <c r="R405" i="3"/>
  <c r="Q405" i="3"/>
  <c r="J405" i="3"/>
  <c r="I405" i="3"/>
  <c r="K405" i="3"/>
  <c r="N405" i="3"/>
  <c r="P405" i="3"/>
  <c r="O405" i="3"/>
  <c r="L405" i="3"/>
  <c r="M405" i="3"/>
  <c r="Q150" i="3"/>
  <c r="I150" i="3"/>
  <c r="N150" i="3"/>
  <c r="M150" i="3"/>
  <c r="O150" i="3"/>
  <c r="L150" i="3"/>
  <c r="J150" i="3"/>
  <c r="K150" i="3"/>
  <c r="R150" i="3"/>
  <c r="P150" i="3"/>
  <c r="L182" i="3"/>
  <c r="Q182" i="3"/>
  <c r="I182" i="3"/>
  <c r="P182" i="3"/>
  <c r="K182" i="3"/>
  <c r="O182" i="3"/>
  <c r="M182" i="3"/>
  <c r="R182" i="3"/>
  <c r="N182" i="3"/>
  <c r="J182" i="3"/>
  <c r="L214" i="3"/>
  <c r="Q214" i="3"/>
  <c r="I214" i="3"/>
  <c r="P214" i="3"/>
  <c r="K214" i="3"/>
  <c r="O214" i="3"/>
  <c r="M214" i="3"/>
  <c r="R214" i="3"/>
  <c r="N214" i="3"/>
  <c r="J214" i="3"/>
  <c r="L246" i="3"/>
  <c r="Q246" i="3"/>
  <c r="I246" i="3"/>
  <c r="S246" i="3" s="1"/>
  <c r="P246" i="3"/>
  <c r="K246" i="3"/>
  <c r="O246" i="3"/>
  <c r="M246" i="3"/>
  <c r="R246" i="3"/>
  <c r="N246" i="3"/>
  <c r="J246" i="3"/>
  <c r="L285" i="3"/>
  <c r="P285" i="3"/>
  <c r="M285" i="3"/>
  <c r="O285" i="3"/>
  <c r="Q285" i="3"/>
  <c r="J285" i="3"/>
  <c r="R285" i="3"/>
  <c r="I285" i="3"/>
  <c r="N285" i="3"/>
  <c r="K285" i="3"/>
  <c r="O145" i="3"/>
  <c r="I145" i="3"/>
  <c r="M145" i="3"/>
  <c r="Q145" i="3"/>
  <c r="N145" i="3"/>
  <c r="L145" i="3"/>
  <c r="K145" i="3"/>
  <c r="R145" i="3"/>
  <c r="P145" i="3"/>
  <c r="J145" i="3"/>
  <c r="O177" i="3"/>
  <c r="Q177" i="3"/>
  <c r="P177" i="3"/>
  <c r="I177" i="3"/>
  <c r="M177" i="3"/>
  <c r="K177" i="3"/>
  <c r="R177" i="3"/>
  <c r="N177" i="3"/>
  <c r="L177" i="3"/>
  <c r="J177" i="3"/>
  <c r="O209" i="3"/>
  <c r="N209" i="3"/>
  <c r="Q209" i="3"/>
  <c r="I209" i="3"/>
  <c r="M209" i="3"/>
  <c r="K209" i="3"/>
  <c r="P209" i="3"/>
  <c r="R209" i="3"/>
  <c r="J209" i="3"/>
  <c r="L209" i="3"/>
  <c r="O241" i="3"/>
  <c r="N241" i="3"/>
  <c r="Q241" i="3"/>
  <c r="I241" i="3"/>
  <c r="M241" i="3"/>
  <c r="K241" i="3"/>
  <c r="P241" i="3"/>
  <c r="R241" i="3"/>
  <c r="J241" i="3"/>
  <c r="L241" i="3"/>
  <c r="O273" i="3"/>
  <c r="N273" i="3"/>
  <c r="Q273" i="3"/>
  <c r="I273" i="3"/>
  <c r="M273" i="3"/>
  <c r="K273" i="3"/>
  <c r="P273" i="3"/>
  <c r="R273" i="3"/>
  <c r="L273" i="3"/>
  <c r="J273" i="3"/>
  <c r="Q357" i="3"/>
  <c r="N357" i="3"/>
  <c r="I357" i="3"/>
  <c r="P357" i="3"/>
  <c r="L357" i="3"/>
  <c r="K357" i="3"/>
  <c r="R357" i="3"/>
  <c r="J357" i="3"/>
  <c r="O357" i="3"/>
  <c r="M357" i="3"/>
  <c r="P176" i="3"/>
  <c r="M176" i="3"/>
  <c r="R176" i="3"/>
  <c r="O176" i="3"/>
  <c r="K176" i="3"/>
  <c r="Q176" i="3"/>
  <c r="L176" i="3"/>
  <c r="I176" i="3"/>
  <c r="N176" i="3"/>
  <c r="J176" i="3"/>
  <c r="P208" i="3"/>
  <c r="M208" i="3"/>
  <c r="O208" i="3"/>
  <c r="K208" i="3"/>
  <c r="Q208" i="3"/>
  <c r="N208" i="3"/>
  <c r="J208" i="3"/>
  <c r="L208" i="3"/>
  <c r="R208" i="3"/>
  <c r="I208" i="3"/>
  <c r="P240" i="3"/>
  <c r="M240" i="3"/>
  <c r="O240" i="3"/>
  <c r="K240" i="3"/>
  <c r="Q240" i="3"/>
  <c r="N240" i="3"/>
  <c r="I240" i="3"/>
  <c r="S240" i="3" s="1"/>
  <c r="R240" i="3"/>
  <c r="L240" i="3"/>
  <c r="J240" i="3"/>
  <c r="P272" i="3"/>
  <c r="M272" i="3"/>
  <c r="O272" i="3"/>
  <c r="K272" i="3"/>
  <c r="Q272" i="3"/>
  <c r="N272" i="3"/>
  <c r="I272" i="3"/>
  <c r="J272" i="3"/>
  <c r="L272" i="3"/>
  <c r="R272" i="3"/>
  <c r="O281" i="3"/>
  <c r="M281" i="3"/>
  <c r="Q281" i="3"/>
  <c r="R281" i="3"/>
  <c r="N281" i="3"/>
  <c r="I281" i="3"/>
  <c r="L281" i="3"/>
  <c r="P281" i="3"/>
  <c r="K281" i="3"/>
  <c r="J281" i="3"/>
  <c r="J171" i="3"/>
  <c r="K171" i="3"/>
  <c r="M171" i="3"/>
  <c r="Q171" i="3"/>
  <c r="I171" i="3"/>
  <c r="O171" i="3"/>
  <c r="N171" i="3"/>
  <c r="R171" i="3"/>
  <c r="L171" i="3"/>
  <c r="P171" i="3"/>
  <c r="K203" i="3"/>
  <c r="P203" i="3"/>
  <c r="J203" i="3"/>
  <c r="M203" i="3"/>
  <c r="L203" i="3"/>
  <c r="Q203" i="3"/>
  <c r="R203" i="3"/>
  <c r="I203" i="3"/>
  <c r="O203" i="3"/>
  <c r="N203" i="3"/>
  <c r="K235" i="3"/>
  <c r="P235" i="3"/>
  <c r="J235" i="3"/>
  <c r="M235" i="3"/>
  <c r="L235" i="3"/>
  <c r="Q235" i="3"/>
  <c r="R235" i="3"/>
  <c r="I235" i="3"/>
  <c r="O235" i="3"/>
  <c r="N235" i="3"/>
  <c r="K267" i="3"/>
  <c r="P267" i="3"/>
  <c r="J267" i="3"/>
  <c r="M267" i="3"/>
  <c r="L267" i="3"/>
  <c r="Q267" i="3"/>
  <c r="R267" i="3"/>
  <c r="I267" i="3"/>
  <c r="O267" i="3"/>
  <c r="N267" i="3"/>
  <c r="Q290" i="3"/>
  <c r="O290" i="3"/>
  <c r="N290" i="3"/>
  <c r="K290" i="3"/>
  <c r="J290" i="3"/>
  <c r="R290" i="3"/>
  <c r="I290" i="3"/>
  <c r="M290" i="3"/>
  <c r="L290" i="3"/>
  <c r="P290" i="3"/>
  <c r="N322" i="3"/>
  <c r="J322" i="3"/>
  <c r="R322" i="3"/>
  <c r="O322" i="3"/>
  <c r="I322" i="3"/>
  <c r="K322" i="3"/>
  <c r="L322" i="3"/>
  <c r="M322" i="3"/>
  <c r="P322" i="3"/>
  <c r="Q322" i="3"/>
  <c r="L354" i="3"/>
  <c r="J354" i="3"/>
  <c r="P354" i="3"/>
  <c r="O354" i="3"/>
  <c r="K354" i="3"/>
  <c r="Q354" i="3"/>
  <c r="I354" i="3"/>
  <c r="R354" i="3"/>
  <c r="M354" i="3"/>
  <c r="N354" i="3"/>
  <c r="L386" i="3"/>
  <c r="Q386" i="3"/>
  <c r="P386" i="3"/>
  <c r="O386" i="3"/>
  <c r="R386" i="3"/>
  <c r="K386" i="3"/>
  <c r="I386" i="3"/>
  <c r="J386" i="3"/>
  <c r="N386" i="3"/>
  <c r="M386" i="3"/>
  <c r="K504" i="3"/>
  <c r="M504" i="3"/>
  <c r="N504" i="3"/>
  <c r="Q504" i="3"/>
  <c r="P504" i="3"/>
  <c r="I504" i="3"/>
  <c r="R504" i="3"/>
  <c r="J504" i="3"/>
  <c r="O504" i="3"/>
  <c r="L504" i="3"/>
  <c r="O288" i="3"/>
  <c r="L288" i="3"/>
  <c r="Q288" i="3"/>
  <c r="I288" i="3"/>
  <c r="J288" i="3"/>
  <c r="R288" i="3"/>
  <c r="P288" i="3"/>
  <c r="N288" i="3"/>
  <c r="M288" i="3"/>
  <c r="K288" i="3"/>
  <c r="O320" i="3"/>
  <c r="J320" i="3"/>
  <c r="Q320" i="3"/>
  <c r="I320" i="3"/>
  <c r="P320" i="3"/>
  <c r="M320" i="3"/>
  <c r="L320" i="3"/>
  <c r="N320" i="3"/>
  <c r="K320" i="3"/>
  <c r="R320" i="3"/>
  <c r="O352" i="3"/>
  <c r="R352" i="3"/>
  <c r="L352" i="3"/>
  <c r="J352" i="3"/>
  <c r="Q352" i="3"/>
  <c r="I352" i="3"/>
  <c r="P352" i="3"/>
  <c r="M352" i="3"/>
  <c r="N352" i="3"/>
  <c r="K352" i="3"/>
  <c r="O384" i="3"/>
  <c r="R384" i="3"/>
  <c r="J384" i="3"/>
  <c r="Q384" i="3"/>
  <c r="I384" i="3"/>
  <c r="P384" i="3"/>
  <c r="L384" i="3"/>
  <c r="K384" i="3"/>
  <c r="N384" i="3"/>
  <c r="M384" i="3"/>
  <c r="I464" i="3"/>
  <c r="K464" i="3"/>
  <c r="J464" i="3"/>
  <c r="O464" i="3"/>
  <c r="R464" i="3"/>
  <c r="M464" i="3"/>
  <c r="P464" i="3"/>
  <c r="L464" i="3"/>
  <c r="N464" i="3"/>
  <c r="Q464" i="3"/>
  <c r="J275" i="3"/>
  <c r="R275" i="3"/>
  <c r="N275" i="3"/>
  <c r="M275" i="3"/>
  <c r="Q275" i="3"/>
  <c r="O275" i="3"/>
  <c r="L275" i="3"/>
  <c r="K275" i="3"/>
  <c r="P275" i="3"/>
  <c r="I275" i="3"/>
  <c r="P307" i="3"/>
  <c r="N307" i="3"/>
  <c r="R307" i="3"/>
  <c r="Q307" i="3"/>
  <c r="J307" i="3"/>
  <c r="M307" i="3"/>
  <c r="I307" i="3"/>
  <c r="L307" i="3"/>
  <c r="O307" i="3"/>
  <c r="K307" i="3"/>
  <c r="J339" i="3"/>
  <c r="Q339" i="3"/>
  <c r="L339" i="3"/>
  <c r="M339" i="3"/>
  <c r="I339" i="3"/>
  <c r="K339" i="3"/>
  <c r="O339" i="3"/>
  <c r="P339" i="3"/>
  <c r="R339" i="3"/>
  <c r="N339" i="3"/>
  <c r="P371" i="3"/>
  <c r="Q371" i="3"/>
  <c r="N371" i="3"/>
  <c r="M371" i="3"/>
  <c r="I371" i="3"/>
  <c r="K371" i="3"/>
  <c r="O371" i="3"/>
  <c r="R371" i="3"/>
  <c r="L371" i="3"/>
  <c r="J371" i="3"/>
  <c r="K403" i="3"/>
  <c r="P403" i="3"/>
  <c r="Q403" i="3"/>
  <c r="N403" i="3"/>
  <c r="M403" i="3"/>
  <c r="I403" i="3"/>
  <c r="O403" i="3"/>
  <c r="R403" i="3"/>
  <c r="J403" i="3"/>
  <c r="L403" i="3"/>
  <c r="J417" i="3"/>
  <c r="P417" i="3"/>
  <c r="O417" i="3"/>
  <c r="M417" i="3"/>
  <c r="L417" i="3"/>
  <c r="I417" i="3"/>
  <c r="N417" i="3"/>
  <c r="K417" i="3"/>
  <c r="Q417" i="3"/>
  <c r="R417" i="3"/>
  <c r="M449" i="3"/>
  <c r="Q449" i="3"/>
  <c r="O449" i="3"/>
  <c r="L449" i="3"/>
  <c r="I449" i="3"/>
  <c r="N449" i="3"/>
  <c r="R449" i="3"/>
  <c r="K449" i="3"/>
  <c r="J449" i="3"/>
  <c r="P449" i="3"/>
  <c r="J481" i="3"/>
  <c r="L481" i="3"/>
  <c r="O481" i="3"/>
  <c r="N481" i="3"/>
  <c r="Q481" i="3"/>
  <c r="M481" i="3"/>
  <c r="P481" i="3"/>
  <c r="K481" i="3"/>
  <c r="I481" i="3"/>
  <c r="R481" i="3"/>
  <c r="J513" i="3"/>
  <c r="P513" i="3"/>
  <c r="L513" i="3"/>
  <c r="M513" i="3"/>
  <c r="O513" i="3"/>
  <c r="N513" i="3"/>
  <c r="Q513" i="3"/>
  <c r="K513" i="3"/>
  <c r="R513" i="3"/>
  <c r="I513" i="3"/>
  <c r="Q423" i="3"/>
  <c r="M423" i="3"/>
  <c r="R423" i="3"/>
  <c r="N423" i="3"/>
  <c r="K423" i="3"/>
  <c r="P423" i="3"/>
  <c r="J423" i="3"/>
  <c r="O423" i="3"/>
  <c r="I423" i="3"/>
  <c r="L423" i="3"/>
  <c r="Q455" i="3"/>
  <c r="J455" i="3"/>
  <c r="K455" i="3"/>
  <c r="P455" i="3"/>
  <c r="I455" i="3"/>
  <c r="O455" i="3"/>
  <c r="M455" i="3"/>
  <c r="R455" i="3"/>
  <c r="N455" i="3"/>
  <c r="L455" i="3"/>
  <c r="Q487" i="3"/>
  <c r="N487" i="3"/>
  <c r="L487" i="3"/>
  <c r="K487" i="3"/>
  <c r="R487" i="3"/>
  <c r="O487" i="3"/>
  <c r="J487" i="3"/>
  <c r="M487" i="3"/>
  <c r="P487" i="3"/>
  <c r="I487" i="3"/>
  <c r="Q519" i="3"/>
  <c r="N519" i="3"/>
  <c r="K519" i="3"/>
  <c r="L519" i="3"/>
  <c r="M519" i="3"/>
  <c r="P519" i="3"/>
  <c r="R519" i="3"/>
  <c r="O519" i="3"/>
  <c r="J519" i="3"/>
  <c r="I519" i="3"/>
  <c r="M426" i="3"/>
  <c r="L426" i="3"/>
  <c r="R426" i="3"/>
  <c r="O426" i="3"/>
  <c r="Q426" i="3"/>
  <c r="J426" i="3"/>
  <c r="I426" i="3"/>
  <c r="N426" i="3"/>
  <c r="K426" i="3"/>
  <c r="P426" i="3"/>
  <c r="O458" i="3"/>
  <c r="M458" i="3"/>
  <c r="R458" i="3"/>
  <c r="J458" i="3"/>
  <c r="N458" i="3"/>
  <c r="K458" i="3"/>
  <c r="P458" i="3"/>
  <c r="Q458" i="3"/>
  <c r="I458" i="3"/>
  <c r="S458" i="3" s="1"/>
  <c r="L458" i="3"/>
  <c r="M490" i="3"/>
  <c r="P490" i="3"/>
  <c r="R490" i="3"/>
  <c r="J490" i="3"/>
  <c r="O490" i="3"/>
  <c r="L490" i="3"/>
  <c r="N490" i="3"/>
  <c r="Q490" i="3"/>
  <c r="K490" i="3"/>
  <c r="I490" i="3"/>
  <c r="M522" i="3"/>
  <c r="J522" i="3"/>
  <c r="P522" i="3"/>
  <c r="O522" i="3"/>
  <c r="L522" i="3"/>
  <c r="R522" i="3"/>
  <c r="Q522" i="3"/>
  <c r="K522" i="3"/>
  <c r="I522" i="3"/>
  <c r="N522" i="3"/>
  <c r="J948" i="3"/>
  <c r="R948" i="3"/>
  <c r="I948" i="3"/>
  <c r="S948" i="3" s="1"/>
  <c r="P948" i="3"/>
  <c r="Q948" i="3"/>
  <c r="O948" i="3"/>
  <c r="K948" i="3"/>
  <c r="M948" i="3"/>
  <c r="L948" i="3"/>
  <c r="N948" i="3"/>
  <c r="N942" i="3"/>
  <c r="I942" i="3"/>
  <c r="J942" i="3"/>
  <c r="M942" i="3"/>
  <c r="L942" i="3"/>
  <c r="K942" i="3"/>
  <c r="O942" i="3"/>
  <c r="Q942" i="3"/>
  <c r="P942" i="3"/>
  <c r="R942" i="3"/>
  <c r="M965" i="3"/>
  <c r="K965" i="3"/>
  <c r="P965" i="3"/>
  <c r="Q965" i="3"/>
  <c r="J965" i="3"/>
  <c r="N965" i="3"/>
  <c r="I965" i="3"/>
  <c r="S965" i="3" s="1"/>
  <c r="R965" i="3"/>
  <c r="L965" i="3"/>
  <c r="O965" i="3"/>
  <c r="M997" i="3"/>
  <c r="K997" i="3"/>
  <c r="J997" i="3"/>
  <c r="N997" i="3"/>
  <c r="R997" i="3"/>
  <c r="L997" i="3"/>
  <c r="Q997" i="3"/>
  <c r="P997" i="3"/>
  <c r="I997" i="3"/>
  <c r="O997" i="3"/>
  <c r="M1029" i="3"/>
  <c r="K1029" i="3"/>
  <c r="L1029" i="3"/>
  <c r="J1029" i="3"/>
  <c r="R1029" i="3"/>
  <c r="N1029" i="3"/>
  <c r="Q1029" i="3"/>
  <c r="I1029" i="3"/>
  <c r="O1029" i="3"/>
  <c r="P1029" i="3"/>
  <c r="M1061" i="3"/>
  <c r="K1061" i="3"/>
  <c r="L1061" i="3"/>
  <c r="R1061" i="3"/>
  <c r="J1061" i="3"/>
  <c r="N1061" i="3"/>
  <c r="P1061" i="3"/>
  <c r="Q1061" i="3"/>
  <c r="I1061" i="3"/>
  <c r="S1061" i="3" s="1"/>
  <c r="O1061" i="3"/>
  <c r="M1093" i="3"/>
  <c r="K1093" i="3"/>
  <c r="L1093" i="3"/>
  <c r="R1093" i="3"/>
  <c r="J1093" i="3"/>
  <c r="N1093" i="3"/>
  <c r="P1093" i="3"/>
  <c r="Q1093" i="3"/>
  <c r="I1093" i="3"/>
  <c r="O1093" i="3"/>
  <c r="K972" i="3"/>
  <c r="L972" i="3"/>
  <c r="O972" i="3"/>
  <c r="P972" i="3"/>
  <c r="J972" i="3"/>
  <c r="R972" i="3"/>
  <c r="M972" i="3"/>
  <c r="Q972" i="3"/>
  <c r="N972" i="3"/>
  <c r="I972" i="3"/>
  <c r="K1004" i="3"/>
  <c r="O1004" i="3"/>
  <c r="M1004" i="3"/>
  <c r="L1004" i="3"/>
  <c r="Q1004" i="3"/>
  <c r="I1004" i="3"/>
  <c r="P1004" i="3"/>
  <c r="J1004" i="3"/>
  <c r="R1004" i="3"/>
  <c r="N1004" i="3"/>
  <c r="Q1036" i="3"/>
  <c r="R1036" i="3"/>
  <c r="J1036" i="3"/>
  <c r="K1036" i="3"/>
  <c r="N1036" i="3"/>
  <c r="P1036" i="3"/>
  <c r="O1036" i="3"/>
  <c r="M1036" i="3"/>
  <c r="I1036" i="3"/>
  <c r="S1036" i="3" s="1"/>
  <c r="L1036" i="3"/>
  <c r="Q1068" i="3"/>
  <c r="R1068" i="3"/>
  <c r="J1068" i="3"/>
  <c r="P1068" i="3"/>
  <c r="K1068" i="3"/>
  <c r="O1068" i="3"/>
  <c r="N1068" i="3"/>
  <c r="I1068" i="3"/>
  <c r="M1068" i="3"/>
  <c r="L1068" i="3"/>
  <c r="J1101" i="3"/>
  <c r="Q1101" i="3"/>
  <c r="K1101" i="3"/>
  <c r="I1101" i="3"/>
  <c r="L1101" i="3"/>
  <c r="M1101" i="3"/>
  <c r="R1101" i="3"/>
  <c r="O1101" i="3"/>
  <c r="P1101" i="3"/>
  <c r="N1101" i="3"/>
  <c r="Q975" i="3"/>
  <c r="I975" i="3"/>
  <c r="K975" i="3"/>
  <c r="J975" i="3"/>
  <c r="O975" i="3"/>
  <c r="M975" i="3"/>
  <c r="N975" i="3"/>
  <c r="R975" i="3"/>
  <c r="L975" i="3"/>
  <c r="P975" i="3"/>
  <c r="Q1007" i="3"/>
  <c r="I1007" i="3"/>
  <c r="K1007" i="3"/>
  <c r="N1007" i="3"/>
  <c r="R1007" i="3"/>
  <c r="O1007" i="3"/>
  <c r="L1007" i="3"/>
  <c r="P1007" i="3"/>
  <c r="M1007" i="3"/>
  <c r="J1007" i="3"/>
  <c r="P1039" i="3"/>
  <c r="Q1039" i="3"/>
  <c r="N1039" i="3"/>
  <c r="I1039" i="3"/>
  <c r="K1039" i="3"/>
  <c r="R1039" i="3"/>
  <c r="O1039" i="3"/>
  <c r="J1039" i="3"/>
  <c r="M1039" i="3"/>
  <c r="L1039" i="3"/>
  <c r="P1071" i="3"/>
  <c r="Q1071" i="3"/>
  <c r="N1071" i="3"/>
  <c r="I1071" i="3"/>
  <c r="K1071" i="3"/>
  <c r="L1071" i="3"/>
  <c r="O1071" i="3"/>
  <c r="R1071" i="3"/>
  <c r="J1071" i="3"/>
  <c r="M1071" i="3"/>
  <c r="M1105" i="3"/>
  <c r="J1105" i="3"/>
  <c r="Q1105" i="3"/>
  <c r="I1105" i="3"/>
  <c r="L1105" i="3"/>
  <c r="N1105" i="3"/>
  <c r="P1105" i="3"/>
  <c r="K1105" i="3"/>
  <c r="R1105" i="3"/>
  <c r="O1105" i="3"/>
  <c r="O974" i="3"/>
  <c r="J974" i="3"/>
  <c r="N974" i="3"/>
  <c r="Q974" i="3"/>
  <c r="I974" i="3"/>
  <c r="M974" i="3"/>
  <c r="L974" i="3"/>
  <c r="P974" i="3"/>
  <c r="K974" i="3"/>
  <c r="R974" i="3"/>
  <c r="O1006" i="3"/>
  <c r="Q1006" i="3"/>
  <c r="I1006" i="3"/>
  <c r="L1006" i="3"/>
  <c r="P1006" i="3"/>
  <c r="R1006" i="3"/>
  <c r="M1006" i="3"/>
  <c r="J1006" i="3"/>
  <c r="N1006" i="3"/>
  <c r="K1006" i="3"/>
  <c r="N1038" i="3"/>
  <c r="O1038" i="3"/>
  <c r="Q1038" i="3"/>
  <c r="I1038" i="3"/>
  <c r="R1038" i="3"/>
  <c r="M1038" i="3"/>
  <c r="P1038" i="3"/>
  <c r="J1038" i="3"/>
  <c r="L1038" i="3"/>
  <c r="K1038" i="3"/>
  <c r="N1070" i="3"/>
  <c r="L1070" i="3"/>
  <c r="O1070" i="3"/>
  <c r="Q1070" i="3"/>
  <c r="I1070" i="3"/>
  <c r="J1070" i="3"/>
  <c r="M1070" i="3"/>
  <c r="P1070" i="3"/>
  <c r="K1070" i="3"/>
  <c r="R1070" i="3"/>
  <c r="Q1111" i="3"/>
  <c r="I1111" i="3"/>
  <c r="K1111" i="3"/>
  <c r="R1111" i="3"/>
  <c r="O1111" i="3"/>
  <c r="M1111" i="3"/>
  <c r="P1111" i="3"/>
  <c r="J1111" i="3"/>
  <c r="L1111" i="3"/>
  <c r="N1111" i="3"/>
  <c r="R1159" i="3"/>
  <c r="Q1159" i="3"/>
  <c r="J1159" i="3"/>
  <c r="I1159" i="3"/>
  <c r="N1159" i="3"/>
  <c r="K1159" i="3"/>
  <c r="M1159" i="3"/>
  <c r="L1159" i="3"/>
  <c r="O1159" i="3"/>
  <c r="P1159" i="3"/>
  <c r="R1110" i="3"/>
  <c r="O1110" i="3"/>
  <c r="Q1110" i="3"/>
  <c r="I1110" i="3"/>
  <c r="K1110" i="3"/>
  <c r="N1110" i="3"/>
  <c r="M1110" i="3"/>
  <c r="L1110" i="3"/>
  <c r="J1110" i="3"/>
  <c r="P1110" i="3"/>
  <c r="R1142" i="3"/>
  <c r="J1142" i="3"/>
  <c r="O1142" i="3"/>
  <c r="Q1142" i="3"/>
  <c r="I1142" i="3"/>
  <c r="K1142" i="3"/>
  <c r="M1142" i="3"/>
  <c r="L1142" i="3"/>
  <c r="N1142" i="3"/>
  <c r="P1142" i="3"/>
  <c r="I1109" i="3"/>
  <c r="M1109" i="3"/>
  <c r="O1109" i="3"/>
  <c r="J1109" i="3"/>
  <c r="Q1109" i="3"/>
  <c r="R1109" i="3"/>
  <c r="P1109" i="3"/>
  <c r="L1109" i="3"/>
  <c r="N1109" i="3"/>
  <c r="K1109" i="3"/>
  <c r="I1141" i="3"/>
  <c r="K1141" i="3"/>
  <c r="J1141" i="3"/>
  <c r="L1141" i="3"/>
  <c r="P1141" i="3"/>
  <c r="M1141" i="3"/>
  <c r="O1141" i="3"/>
  <c r="N1141" i="3"/>
  <c r="Q1141" i="3"/>
  <c r="R1141" i="3"/>
  <c r="J1172" i="3"/>
  <c r="O1172" i="3"/>
  <c r="K1172" i="3"/>
  <c r="L1172" i="3"/>
  <c r="Q1172" i="3"/>
  <c r="R1172" i="3"/>
  <c r="I1172" i="3"/>
  <c r="N1172" i="3"/>
  <c r="P1172" i="3"/>
  <c r="M1172" i="3"/>
  <c r="O1108" i="3"/>
  <c r="I1108" i="3"/>
  <c r="K1108" i="3"/>
  <c r="M1108" i="3"/>
  <c r="R1108" i="3"/>
  <c r="J1108" i="3"/>
  <c r="L1108" i="3"/>
  <c r="Q1108" i="3"/>
  <c r="P1108" i="3"/>
  <c r="N1108" i="3"/>
  <c r="O1140" i="3"/>
  <c r="Q1140" i="3"/>
  <c r="P1140" i="3"/>
  <c r="I1140" i="3"/>
  <c r="N1140" i="3"/>
  <c r="K1140" i="3"/>
  <c r="M1140" i="3"/>
  <c r="R1140" i="3"/>
  <c r="J1140" i="3"/>
  <c r="L1140" i="3"/>
  <c r="Q1180" i="3"/>
  <c r="I1180" i="3"/>
  <c r="J1180" i="3"/>
  <c r="L1180" i="3"/>
  <c r="O1180" i="3"/>
  <c r="N1180" i="3"/>
  <c r="M1180" i="3"/>
  <c r="R1180" i="3"/>
  <c r="P1180" i="3"/>
  <c r="K1180" i="3"/>
  <c r="K1206" i="3"/>
  <c r="M1206" i="3"/>
  <c r="L1206" i="3"/>
  <c r="O1206" i="3"/>
  <c r="Q1206" i="3"/>
  <c r="R1206" i="3"/>
  <c r="J1206" i="3"/>
  <c r="I1206" i="3"/>
  <c r="P1206" i="3"/>
  <c r="N1206" i="3"/>
  <c r="O1181" i="3"/>
  <c r="Q1181" i="3"/>
  <c r="R1181" i="3"/>
  <c r="L1181" i="3"/>
  <c r="J1181" i="3"/>
  <c r="I1181" i="3"/>
  <c r="N1181" i="3"/>
  <c r="M1181" i="3"/>
  <c r="K1181" i="3"/>
  <c r="P1181" i="3"/>
  <c r="R1213" i="3"/>
  <c r="J1213" i="3"/>
  <c r="O1213" i="3"/>
  <c r="N1213" i="3"/>
  <c r="Q1213" i="3"/>
  <c r="L1213" i="3"/>
  <c r="I1213" i="3"/>
  <c r="P1213" i="3"/>
  <c r="M1213" i="3"/>
  <c r="K1213" i="3"/>
  <c r="Q1196" i="3"/>
  <c r="K1196" i="3"/>
  <c r="I1196" i="3"/>
  <c r="L1196" i="3"/>
  <c r="M1196" i="3"/>
  <c r="J1196" i="3"/>
  <c r="N1196" i="3"/>
  <c r="R1196" i="3"/>
  <c r="O1196" i="3"/>
  <c r="P1196" i="3"/>
  <c r="M1308" i="3"/>
  <c r="Q1308" i="3"/>
  <c r="R1308" i="3"/>
  <c r="I1308" i="3"/>
  <c r="O1308" i="3"/>
  <c r="N1308" i="3"/>
  <c r="L1308" i="3"/>
  <c r="P1308" i="3"/>
  <c r="K1308" i="3"/>
  <c r="J1308" i="3"/>
  <c r="K1187" i="3"/>
  <c r="N1187" i="3"/>
  <c r="Q1187" i="3"/>
  <c r="I1187" i="3"/>
  <c r="M1187" i="3"/>
  <c r="O1187" i="3"/>
  <c r="L1187" i="3"/>
  <c r="J1187" i="3"/>
  <c r="P1187" i="3"/>
  <c r="R1187" i="3"/>
  <c r="K1219" i="3"/>
  <c r="R1219" i="3"/>
  <c r="N1219" i="3"/>
  <c r="J1219" i="3"/>
  <c r="M1219" i="3"/>
  <c r="Q1219" i="3"/>
  <c r="O1219" i="3"/>
  <c r="L1219" i="3"/>
  <c r="I1219" i="3"/>
  <c r="S1219" i="3" s="1"/>
  <c r="P1219" i="3"/>
  <c r="L1240" i="3"/>
  <c r="R1240" i="3"/>
  <c r="P1240" i="3"/>
  <c r="N1240" i="3"/>
  <c r="J1240" i="3"/>
  <c r="K1240" i="3"/>
  <c r="Q1240" i="3"/>
  <c r="I1240" i="3"/>
  <c r="O1240" i="3"/>
  <c r="M1240" i="3"/>
  <c r="P1272" i="3"/>
  <c r="L1272" i="3"/>
  <c r="K1272" i="3"/>
  <c r="Q1272" i="3"/>
  <c r="R1272" i="3"/>
  <c r="M1272" i="3"/>
  <c r="I1272" i="3"/>
  <c r="O1272" i="3"/>
  <c r="N1272" i="3"/>
  <c r="J1272" i="3"/>
  <c r="K1309" i="3"/>
  <c r="L1309" i="3"/>
  <c r="J1309" i="3"/>
  <c r="R1309" i="3"/>
  <c r="N1309" i="3"/>
  <c r="P1309" i="3"/>
  <c r="M1309" i="3"/>
  <c r="Q1309" i="3"/>
  <c r="O1309" i="3"/>
  <c r="I1309" i="3"/>
  <c r="K1251" i="3"/>
  <c r="P1251" i="3"/>
  <c r="Q1251" i="3"/>
  <c r="N1251" i="3"/>
  <c r="R1251" i="3"/>
  <c r="I1251" i="3"/>
  <c r="O1251" i="3"/>
  <c r="M1251" i="3"/>
  <c r="J1251" i="3"/>
  <c r="L1251" i="3"/>
  <c r="L1283" i="3"/>
  <c r="N1283" i="3"/>
  <c r="Q1283" i="3"/>
  <c r="R1283" i="3"/>
  <c r="I1283" i="3"/>
  <c r="P1283" i="3"/>
  <c r="O1283" i="3"/>
  <c r="M1283" i="3"/>
  <c r="K1283" i="3"/>
  <c r="J1283" i="3"/>
  <c r="J1230" i="3"/>
  <c r="Q1230" i="3"/>
  <c r="P1230" i="3"/>
  <c r="N1230" i="3"/>
  <c r="I1230" i="3"/>
  <c r="S1230" i="3" s="1"/>
  <c r="O1230" i="3"/>
  <c r="M1230" i="3"/>
  <c r="K1230" i="3"/>
  <c r="L1230" i="3"/>
  <c r="R1230" i="3"/>
  <c r="J1262" i="3"/>
  <c r="O1262" i="3"/>
  <c r="M1262" i="3"/>
  <c r="R1262" i="3"/>
  <c r="Q1262" i="3"/>
  <c r="N1262" i="3"/>
  <c r="I1262" i="3"/>
  <c r="K1262" i="3"/>
  <c r="P1262" i="3"/>
  <c r="L1262" i="3"/>
  <c r="O1301" i="3"/>
  <c r="M1301" i="3"/>
  <c r="Q1301" i="3"/>
  <c r="P1301" i="3"/>
  <c r="N1301" i="3"/>
  <c r="R1301" i="3"/>
  <c r="J1301" i="3"/>
  <c r="I1301" i="3"/>
  <c r="K1301" i="3"/>
  <c r="L1301" i="3"/>
  <c r="R1277" i="3"/>
  <c r="J1277" i="3"/>
  <c r="L1277" i="3"/>
  <c r="N1277" i="3"/>
  <c r="M1277" i="3"/>
  <c r="K1277" i="3"/>
  <c r="Q1277" i="3"/>
  <c r="O1277" i="3"/>
  <c r="I1277" i="3"/>
  <c r="P1277" i="3"/>
  <c r="J1303" i="3"/>
  <c r="R1303" i="3"/>
  <c r="O1303" i="3"/>
  <c r="L1303" i="3"/>
  <c r="N1303" i="3"/>
  <c r="M1303" i="3"/>
  <c r="P1303" i="3"/>
  <c r="Q1303" i="3"/>
  <c r="I1303" i="3"/>
  <c r="K1303" i="3"/>
  <c r="L1335" i="3"/>
  <c r="K1335" i="3"/>
  <c r="O1335" i="3"/>
  <c r="J1335" i="3"/>
  <c r="P1335" i="3"/>
  <c r="N1335" i="3"/>
  <c r="Q1335" i="3"/>
  <c r="M1335" i="3"/>
  <c r="I1335" i="3"/>
  <c r="R1335" i="3"/>
  <c r="Q1306" i="3"/>
  <c r="N1306" i="3"/>
  <c r="O1306" i="3"/>
  <c r="I1306" i="3"/>
  <c r="M1306" i="3"/>
  <c r="K1306" i="3"/>
  <c r="J1306" i="3"/>
  <c r="R1306" i="3"/>
  <c r="P1306" i="3"/>
  <c r="L1306" i="3"/>
  <c r="L1338" i="3"/>
  <c r="O1338" i="3"/>
  <c r="Q1338" i="3"/>
  <c r="I1338" i="3"/>
  <c r="M1338" i="3"/>
  <c r="R1338" i="3"/>
  <c r="J1338" i="3"/>
  <c r="K1338" i="3"/>
  <c r="N1338" i="3"/>
  <c r="P1338" i="3"/>
  <c r="M140" i="2"/>
  <c r="L140" i="2"/>
  <c r="M164" i="2"/>
  <c r="L164" i="2"/>
  <c r="M129" i="2"/>
  <c r="L129" i="2"/>
  <c r="T131" i="2"/>
  <c r="M225" i="2"/>
  <c r="L225" i="2"/>
  <c r="F1553" i="3"/>
  <c r="F1550" i="3"/>
  <c r="F1559" i="3"/>
  <c r="F1549" i="3"/>
  <c r="F1555" i="3"/>
  <c r="F1552" i="3"/>
  <c r="F1558" i="3"/>
  <c r="F1557" i="3"/>
  <c r="F1548" i="3"/>
  <c r="F1551" i="3"/>
  <c r="F1556" i="3"/>
  <c r="F1554" i="3"/>
  <c r="F742" i="3"/>
  <c r="F733" i="3"/>
  <c r="F732" i="3"/>
  <c r="F743" i="3"/>
  <c r="F741" i="3"/>
  <c r="F740" i="3"/>
  <c r="F738" i="3"/>
  <c r="F735" i="3"/>
  <c r="F734" i="3"/>
  <c r="F739" i="3"/>
  <c r="F736" i="3"/>
  <c r="F737" i="3"/>
  <c r="F1615" i="3"/>
  <c r="F1618" i="3"/>
  <c r="F1608" i="3"/>
  <c r="F1611" i="3"/>
  <c r="F1617" i="3"/>
  <c r="F1614" i="3"/>
  <c r="F1616" i="3"/>
  <c r="F1613" i="3"/>
  <c r="F1610" i="3"/>
  <c r="F1619" i="3"/>
  <c r="F1612" i="3"/>
  <c r="F1609" i="3"/>
  <c r="F799" i="3"/>
  <c r="F798" i="3"/>
  <c r="F797" i="3"/>
  <c r="F796" i="3"/>
  <c r="F795" i="3"/>
  <c r="F794" i="3"/>
  <c r="F792" i="3"/>
  <c r="F802" i="3"/>
  <c r="F793" i="3"/>
  <c r="F801" i="3"/>
  <c r="F800" i="3"/>
  <c r="F803" i="3"/>
  <c r="F1449" i="3"/>
  <c r="F1445" i="3"/>
  <c r="F1441" i="3"/>
  <c r="F1450" i="3"/>
  <c r="F1446" i="3"/>
  <c r="F1442" i="3"/>
  <c r="F1451" i="3"/>
  <c r="F1447" i="3"/>
  <c r="F1443" i="3"/>
  <c r="F1448" i="3"/>
  <c r="F1444" i="3"/>
  <c r="F1440" i="3"/>
  <c r="F635" i="3"/>
  <c r="F631" i="3"/>
  <c r="F627" i="3"/>
  <c r="F634" i="3"/>
  <c r="F630" i="3"/>
  <c r="F626" i="3"/>
  <c r="F632" i="3"/>
  <c r="F628" i="3"/>
  <c r="F624" i="3"/>
  <c r="F629" i="3"/>
  <c r="F633" i="3"/>
  <c r="F625" i="3"/>
  <c r="F1376" i="3"/>
  <c r="F1372" i="3"/>
  <c r="F1368" i="3"/>
  <c r="F1377" i="3"/>
  <c r="F1373" i="3"/>
  <c r="F1375" i="3"/>
  <c r="F1374" i="3"/>
  <c r="F1371" i="3"/>
  <c r="F1379" i="3"/>
  <c r="F1378" i="3"/>
  <c r="F1370" i="3"/>
  <c r="F1369" i="3"/>
  <c r="F553" i="3"/>
  <c r="F556" i="3"/>
  <c r="F562" i="3"/>
  <c r="F561" i="3"/>
  <c r="F558" i="3"/>
  <c r="F557" i="3"/>
  <c r="F554" i="3"/>
  <c r="F559" i="3"/>
  <c r="F552" i="3"/>
  <c r="F563" i="3"/>
  <c r="F555" i="3"/>
  <c r="F560" i="3"/>
  <c r="M128" i="2"/>
  <c r="L128" i="2"/>
  <c r="M135" i="2"/>
  <c r="L135" i="2"/>
  <c r="L142" i="2"/>
  <c r="M142" i="2"/>
  <c r="M223" i="2"/>
  <c r="L223" i="2"/>
  <c r="L222" i="2"/>
  <c r="M222" i="2"/>
  <c r="R785" i="3"/>
  <c r="J785" i="3"/>
  <c r="K785" i="3"/>
  <c r="Q785" i="3"/>
  <c r="L785" i="3"/>
  <c r="I785" i="3"/>
  <c r="M785" i="3"/>
  <c r="N785" i="3"/>
  <c r="P785" i="3"/>
  <c r="O785" i="3"/>
  <c r="M544" i="3"/>
  <c r="Q544" i="3"/>
  <c r="I544" i="3"/>
  <c r="P544" i="3"/>
  <c r="N544" i="3"/>
  <c r="L544" i="3"/>
  <c r="K544" i="3"/>
  <c r="O544" i="3"/>
  <c r="J544" i="3"/>
  <c r="R544" i="3"/>
  <c r="K685" i="3"/>
  <c r="R685" i="3"/>
  <c r="O685" i="3"/>
  <c r="M685" i="3"/>
  <c r="J685" i="3"/>
  <c r="I685" i="3"/>
  <c r="S685" i="3" s="1"/>
  <c r="Q685" i="3"/>
  <c r="N685" i="3"/>
  <c r="L685" i="3"/>
  <c r="P685" i="3"/>
  <c r="K697" i="3"/>
  <c r="M697" i="3"/>
  <c r="P697" i="3"/>
  <c r="I697" i="3"/>
  <c r="S697" i="3" s="1"/>
  <c r="R697" i="3"/>
  <c r="O697" i="3"/>
  <c r="Q697" i="3"/>
  <c r="N697" i="3"/>
  <c r="L697" i="3"/>
  <c r="J697" i="3"/>
  <c r="O534" i="3"/>
  <c r="N534" i="3"/>
  <c r="J534" i="3"/>
  <c r="P534" i="3"/>
  <c r="Q534" i="3"/>
  <c r="I534" i="3"/>
  <c r="K534" i="3"/>
  <c r="L534" i="3"/>
  <c r="M534" i="3"/>
  <c r="R534" i="3"/>
  <c r="K761" i="3"/>
  <c r="J761" i="3"/>
  <c r="I761" i="3"/>
  <c r="M761" i="3"/>
  <c r="L761" i="3"/>
  <c r="P761" i="3"/>
  <c r="N761" i="3"/>
  <c r="Q761" i="3"/>
  <c r="R761" i="3"/>
  <c r="O761" i="3"/>
  <c r="I582" i="3"/>
  <c r="R582" i="3"/>
  <c r="M582" i="3"/>
  <c r="K582" i="3"/>
  <c r="O582" i="3"/>
  <c r="L582" i="3"/>
  <c r="P582" i="3"/>
  <c r="J582" i="3"/>
  <c r="Q582" i="3"/>
  <c r="N582" i="3"/>
  <c r="L614" i="3"/>
  <c r="I614" i="3"/>
  <c r="M614" i="3"/>
  <c r="K614" i="3"/>
  <c r="N614" i="3"/>
  <c r="J614" i="3"/>
  <c r="O614" i="3"/>
  <c r="R614" i="3"/>
  <c r="Q614" i="3"/>
  <c r="P614" i="3"/>
  <c r="L646" i="3"/>
  <c r="I646" i="3"/>
  <c r="M646" i="3"/>
  <c r="K646" i="3"/>
  <c r="N646" i="3"/>
  <c r="J646" i="3"/>
  <c r="R646" i="3"/>
  <c r="Q646" i="3"/>
  <c r="O646" i="3"/>
  <c r="P646" i="3"/>
  <c r="R773" i="3"/>
  <c r="J773" i="3"/>
  <c r="L773" i="3"/>
  <c r="K773" i="3"/>
  <c r="Q773" i="3"/>
  <c r="O773" i="3"/>
  <c r="I773" i="3"/>
  <c r="P773" i="3"/>
  <c r="N773" i="3"/>
  <c r="M773" i="3"/>
  <c r="K569" i="3"/>
  <c r="I569" i="3"/>
  <c r="J569" i="3"/>
  <c r="M569" i="3"/>
  <c r="O569" i="3"/>
  <c r="L569" i="3"/>
  <c r="P569" i="3"/>
  <c r="Q569" i="3"/>
  <c r="N569" i="3"/>
  <c r="R569" i="3"/>
  <c r="K601" i="3"/>
  <c r="R601" i="3"/>
  <c r="I601" i="3"/>
  <c r="J601" i="3"/>
  <c r="M601" i="3"/>
  <c r="O601" i="3"/>
  <c r="L601" i="3"/>
  <c r="P601" i="3"/>
  <c r="N601" i="3"/>
  <c r="Q601" i="3"/>
  <c r="K633" i="3"/>
  <c r="R633" i="3"/>
  <c r="I633" i="3"/>
  <c r="J633" i="3"/>
  <c r="M633" i="3"/>
  <c r="O633" i="3"/>
  <c r="L633" i="3"/>
  <c r="Q633" i="3"/>
  <c r="P633" i="3"/>
  <c r="N633" i="3"/>
  <c r="K665" i="3"/>
  <c r="R665" i="3"/>
  <c r="I665" i="3"/>
  <c r="J665" i="3"/>
  <c r="M665" i="3"/>
  <c r="O665" i="3"/>
  <c r="L665" i="3"/>
  <c r="P665" i="3"/>
  <c r="N665" i="3"/>
  <c r="Q665" i="3"/>
  <c r="Q568" i="3"/>
  <c r="O568" i="3"/>
  <c r="I568" i="3"/>
  <c r="K568" i="3"/>
  <c r="M568" i="3"/>
  <c r="N568" i="3"/>
  <c r="J568" i="3"/>
  <c r="L568" i="3"/>
  <c r="P568" i="3"/>
  <c r="R568" i="3"/>
  <c r="Q600" i="3"/>
  <c r="O600" i="3"/>
  <c r="I600" i="3"/>
  <c r="P600" i="3"/>
  <c r="K600" i="3"/>
  <c r="M600" i="3"/>
  <c r="R600" i="3"/>
  <c r="N600" i="3"/>
  <c r="L600" i="3"/>
  <c r="J600" i="3"/>
  <c r="Q632" i="3"/>
  <c r="O632" i="3"/>
  <c r="I632" i="3"/>
  <c r="P632" i="3"/>
  <c r="K632" i="3"/>
  <c r="M632" i="3"/>
  <c r="R632" i="3"/>
  <c r="J632" i="3"/>
  <c r="N632" i="3"/>
  <c r="L632" i="3"/>
  <c r="Q664" i="3"/>
  <c r="O664" i="3"/>
  <c r="I664" i="3"/>
  <c r="P664" i="3"/>
  <c r="K664" i="3"/>
  <c r="M664" i="3"/>
  <c r="R664" i="3"/>
  <c r="J664" i="3"/>
  <c r="N664" i="3"/>
  <c r="L664" i="3"/>
  <c r="N689" i="3"/>
  <c r="I689" i="3"/>
  <c r="K689" i="3"/>
  <c r="M689" i="3"/>
  <c r="R689" i="3"/>
  <c r="Q689" i="3"/>
  <c r="P689" i="3"/>
  <c r="L689" i="3"/>
  <c r="J689" i="3"/>
  <c r="O689" i="3"/>
  <c r="K543" i="3"/>
  <c r="J543" i="3"/>
  <c r="M543" i="3"/>
  <c r="L543" i="3"/>
  <c r="I543" i="3"/>
  <c r="Q543" i="3"/>
  <c r="P543" i="3"/>
  <c r="O543" i="3"/>
  <c r="R543" i="3"/>
  <c r="N543" i="3"/>
  <c r="Q575" i="3"/>
  <c r="I575" i="3"/>
  <c r="K575" i="3"/>
  <c r="M575" i="3"/>
  <c r="J575" i="3"/>
  <c r="R575" i="3"/>
  <c r="P575" i="3"/>
  <c r="N575" i="3"/>
  <c r="L575" i="3"/>
  <c r="O575" i="3"/>
  <c r="N607" i="3"/>
  <c r="Q607" i="3"/>
  <c r="I607" i="3"/>
  <c r="K607" i="3"/>
  <c r="P607" i="3"/>
  <c r="R607" i="3"/>
  <c r="O607" i="3"/>
  <c r="L607" i="3"/>
  <c r="M607" i="3"/>
  <c r="J607" i="3"/>
  <c r="N639" i="3"/>
  <c r="Q639" i="3"/>
  <c r="I639" i="3"/>
  <c r="K639" i="3"/>
  <c r="P639" i="3"/>
  <c r="M639" i="3"/>
  <c r="R639" i="3"/>
  <c r="L639" i="3"/>
  <c r="O639" i="3"/>
  <c r="J639" i="3"/>
  <c r="N671" i="3"/>
  <c r="R671" i="3"/>
  <c r="I671" i="3"/>
  <c r="K671" i="3"/>
  <c r="Q671" i="3"/>
  <c r="O671" i="3"/>
  <c r="L671" i="3"/>
  <c r="J671" i="3"/>
  <c r="M671" i="3"/>
  <c r="P671" i="3"/>
  <c r="M686" i="3"/>
  <c r="P686" i="3"/>
  <c r="O686" i="3"/>
  <c r="R686" i="3"/>
  <c r="Q686" i="3"/>
  <c r="J686" i="3"/>
  <c r="L686" i="3"/>
  <c r="I686" i="3"/>
  <c r="N686" i="3"/>
  <c r="K686" i="3"/>
  <c r="M718" i="3"/>
  <c r="K718" i="3"/>
  <c r="O718" i="3"/>
  <c r="I718" i="3"/>
  <c r="J718" i="3"/>
  <c r="R718" i="3"/>
  <c r="L718" i="3"/>
  <c r="Q718" i="3"/>
  <c r="P718" i="3"/>
  <c r="N718" i="3"/>
  <c r="M750" i="3"/>
  <c r="N750" i="3"/>
  <c r="K750" i="3"/>
  <c r="I750" i="3"/>
  <c r="O750" i="3"/>
  <c r="R750" i="3"/>
  <c r="J750" i="3"/>
  <c r="P750" i="3"/>
  <c r="L750" i="3"/>
  <c r="Q750" i="3"/>
  <c r="M782" i="3"/>
  <c r="N782" i="3"/>
  <c r="K782" i="3"/>
  <c r="O782" i="3"/>
  <c r="R782" i="3"/>
  <c r="I782" i="3"/>
  <c r="J782" i="3"/>
  <c r="P782" i="3"/>
  <c r="L782" i="3"/>
  <c r="Q782" i="3"/>
  <c r="K865" i="3"/>
  <c r="Q865" i="3"/>
  <c r="I865" i="3"/>
  <c r="P865" i="3"/>
  <c r="M865" i="3"/>
  <c r="J865" i="3"/>
  <c r="O865" i="3"/>
  <c r="L865" i="3"/>
  <c r="N865" i="3"/>
  <c r="R865" i="3"/>
  <c r="Q716" i="3"/>
  <c r="I716" i="3"/>
  <c r="O716" i="3"/>
  <c r="K716" i="3"/>
  <c r="L716" i="3"/>
  <c r="J716" i="3"/>
  <c r="M716" i="3"/>
  <c r="P716" i="3"/>
  <c r="R716" i="3"/>
  <c r="N716" i="3"/>
  <c r="P748" i="3"/>
  <c r="R748" i="3"/>
  <c r="Q748" i="3"/>
  <c r="J748" i="3"/>
  <c r="I748" i="3"/>
  <c r="O748" i="3"/>
  <c r="K748" i="3"/>
  <c r="N748" i="3"/>
  <c r="M748" i="3"/>
  <c r="L748" i="3"/>
  <c r="P780" i="3"/>
  <c r="M780" i="3"/>
  <c r="R780" i="3"/>
  <c r="Q780" i="3"/>
  <c r="J780" i="3"/>
  <c r="I780" i="3"/>
  <c r="O780" i="3"/>
  <c r="K780" i="3"/>
  <c r="N780" i="3"/>
  <c r="L780" i="3"/>
  <c r="O885" i="3"/>
  <c r="K885" i="3"/>
  <c r="Q885" i="3"/>
  <c r="I885" i="3"/>
  <c r="M885" i="3"/>
  <c r="R885" i="3"/>
  <c r="J885" i="3"/>
  <c r="N885" i="3"/>
  <c r="L885" i="3"/>
  <c r="P885" i="3"/>
  <c r="I687" i="3"/>
  <c r="N687" i="3"/>
  <c r="M687" i="3"/>
  <c r="R687" i="3"/>
  <c r="J687" i="3"/>
  <c r="P687" i="3"/>
  <c r="O687" i="3"/>
  <c r="L687" i="3"/>
  <c r="K687" i="3"/>
  <c r="Q687" i="3"/>
  <c r="I719" i="3"/>
  <c r="J719" i="3"/>
  <c r="L719" i="3"/>
  <c r="K719" i="3"/>
  <c r="O719" i="3"/>
  <c r="M719" i="3"/>
  <c r="N719" i="3"/>
  <c r="Q719" i="3"/>
  <c r="R719" i="3"/>
  <c r="P719" i="3"/>
  <c r="P751" i="3"/>
  <c r="I751" i="3"/>
  <c r="L751" i="3"/>
  <c r="R751" i="3"/>
  <c r="J751" i="3"/>
  <c r="N751" i="3"/>
  <c r="O751" i="3"/>
  <c r="M751" i="3"/>
  <c r="K751" i="3"/>
  <c r="Q751" i="3"/>
  <c r="P783" i="3"/>
  <c r="I783" i="3"/>
  <c r="K783" i="3"/>
  <c r="L783" i="3"/>
  <c r="R783" i="3"/>
  <c r="J783" i="3"/>
  <c r="N783" i="3"/>
  <c r="O783" i="3"/>
  <c r="M783" i="3"/>
  <c r="Q783" i="3"/>
  <c r="N809" i="3"/>
  <c r="L809" i="3"/>
  <c r="K809" i="3"/>
  <c r="Q809" i="3"/>
  <c r="R809" i="3"/>
  <c r="O809" i="3"/>
  <c r="I809" i="3"/>
  <c r="P809" i="3"/>
  <c r="M809" i="3"/>
  <c r="J809" i="3"/>
  <c r="K808" i="3"/>
  <c r="L808" i="3"/>
  <c r="N808" i="3"/>
  <c r="M808" i="3"/>
  <c r="J808" i="3"/>
  <c r="Q808" i="3"/>
  <c r="P808" i="3"/>
  <c r="I808" i="3"/>
  <c r="O808" i="3"/>
  <c r="R808" i="3"/>
  <c r="K840" i="3"/>
  <c r="J840" i="3"/>
  <c r="P840" i="3"/>
  <c r="R840" i="3"/>
  <c r="M840" i="3"/>
  <c r="Q840" i="3"/>
  <c r="I840" i="3"/>
  <c r="O840" i="3"/>
  <c r="L840" i="3"/>
  <c r="N840" i="3"/>
  <c r="K872" i="3"/>
  <c r="P872" i="3"/>
  <c r="R872" i="3"/>
  <c r="Q872" i="3"/>
  <c r="L872" i="3"/>
  <c r="I872" i="3"/>
  <c r="O872" i="3"/>
  <c r="N872" i="3"/>
  <c r="M872" i="3"/>
  <c r="J872" i="3"/>
  <c r="K904" i="3"/>
  <c r="J904" i="3"/>
  <c r="P904" i="3"/>
  <c r="Q904" i="3"/>
  <c r="I904" i="3"/>
  <c r="O904" i="3"/>
  <c r="L904" i="3"/>
  <c r="R904" i="3"/>
  <c r="N904" i="3"/>
  <c r="M904" i="3"/>
  <c r="O795" i="3"/>
  <c r="M795" i="3"/>
  <c r="K795" i="3"/>
  <c r="Q795" i="3"/>
  <c r="I795" i="3"/>
  <c r="N795" i="3"/>
  <c r="R795" i="3"/>
  <c r="J795" i="3"/>
  <c r="L795" i="3"/>
  <c r="P795" i="3"/>
  <c r="O827" i="3"/>
  <c r="M827" i="3"/>
  <c r="N827" i="3"/>
  <c r="Q827" i="3"/>
  <c r="R827" i="3"/>
  <c r="P827" i="3"/>
  <c r="I827" i="3"/>
  <c r="J827" i="3"/>
  <c r="L827" i="3"/>
  <c r="K827" i="3"/>
  <c r="O859" i="3"/>
  <c r="M859" i="3"/>
  <c r="R859" i="3"/>
  <c r="J859" i="3"/>
  <c r="Q859" i="3"/>
  <c r="L859" i="3"/>
  <c r="I859" i="3"/>
  <c r="K859" i="3"/>
  <c r="N859" i="3"/>
  <c r="P859" i="3"/>
  <c r="P891" i="3"/>
  <c r="O891" i="3"/>
  <c r="M891" i="3"/>
  <c r="N891" i="3"/>
  <c r="K891" i="3"/>
  <c r="Q891" i="3"/>
  <c r="I891" i="3"/>
  <c r="R891" i="3"/>
  <c r="J891" i="3"/>
  <c r="L891" i="3"/>
  <c r="P923" i="3"/>
  <c r="O923" i="3"/>
  <c r="M923" i="3"/>
  <c r="N923" i="3"/>
  <c r="K923" i="3"/>
  <c r="Q923" i="3"/>
  <c r="I923" i="3"/>
  <c r="R923" i="3"/>
  <c r="J923" i="3"/>
  <c r="L923" i="3"/>
  <c r="J810" i="3"/>
  <c r="M810" i="3"/>
  <c r="K810" i="3"/>
  <c r="Q810" i="3"/>
  <c r="N810" i="3"/>
  <c r="P810" i="3"/>
  <c r="O810" i="3"/>
  <c r="R810" i="3"/>
  <c r="I810" i="3"/>
  <c r="L810" i="3"/>
  <c r="Q842" i="3"/>
  <c r="N842" i="3"/>
  <c r="M842" i="3"/>
  <c r="P842" i="3"/>
  <c r="K842" i="3"/>
  <c r="R842" i="3"/>
  <c r="O842" i="3"/>
  <c r="I842" i="3"/>
  <c r="L842" i="3"/>
  <c r="J842" i="3"/>
  <c r="P874" i="3"/>
  <c r="M874" i="3"/>
  <c r="R874" i="3"/>
  <c r="K874" i="3"/>
  <c r="I874" i="3"/>
  <c r="L874" i="3"/>
  <c r="O874" i="3"/>
  <c r="J874" i="3"/>
  <c r="Q874" i="3"/>
  <c r="N874" i="3"/>
  <c r="Q906" i="3"/>
  <c r="R906" i="3"/>
  <c r="M906" i="3"/>
  <c r="K906" i="3"/>
  <c r="I906" i="3"/>
  <c r="P906" i="3"/>
  <c r="O906" i="3"/>
  <c r="N906" i="3"/>
  <c r="L906" i="3"/>
  <c r="J906" i="3"/>
  <c r="N1388" i="3"/>
  <c r="P1388" i="3"/>
  <c r="M1388" i="3"/>
  <c r="Q1388" i="3"/>
  <c r="R1388" i="3"/>
  <c r="I1388" i="3"/>
  <c r="K1388" i="3"/>
  <c r="O1388" i="3"/>
  <c r="J1388" i="3"/>
  <c r="L1388" i="3"/>
  <c r="M1352" i="3"/>
  <c r="Q1352" i="3"/>
  <c r="L1352" i="3"/>
  <c r="I1352" i="3"/>
  <c r="J1352" i="3"/>
  <c r="R1352" i="3"/>
  <c r="P1352" i="3"/>
  <c r="N1352" i="3"/>
  <c r="K1352" i="3"/>
  <c r="O1352" i="3"/>
  <c r="K1402" i="3"/>
  <c r="J1402" i="3"/>
  <c r="Q1402" i="3"/>
  <c r="P1402" i="3"/>
  <c r="N1402" i="3"/>
  <c r="L1402" i="3"/>
  <c r="I1402" i="3"/>
  <c r="R1402" i="3"/>
  <c r="M1402" i="3"/>
  <c r="O1402" i="3"/>
  <c r="P1376" i="3"/>
  <c r="M1376" i="3"/>
  <c r="Q1376" i="3"/>
  <c r="R1376" i="3"/>
  <c r="O1376" i="3"/>
  <c r="I1376" i="3"/>
  <c r="S1376" i="3" s="1"/>
  <c r="J1376" i="3"/>
  <c r="L1376" i="3"/>
  <c r="N1376" i="3"/>
  <c r="K1376" i="3"/>
  <c r="K1347" i="3"/>
  <c r="O1347" i="3"/>
  <c r="P1347" i="3"/>
  <c r="M1347" i="3"/>
  <c r="L1347" i="3"/>
  <c r="J1347" i="3"/>
  <c r="I1347" i="3"/>
  <c r="Q1347" i="3"/>
  <c r="R1347" i="3"/>
  <c r="N1347" i="3"/>
  <c r="K1379" i="3"/>
  <c r="O1379" i="3"/>
  <c r="Q1379" i="3"/>
  <c r="P1379" i="3"/>
  <c r="R1379" i="3"/>
  <c r="I1379" i="3"/>
  <c r="L1379" i="3"/>
  <c r="J1379" i="3"/>
  <c r="N1379" i="3"/>
  <c r="M1379" i="3"/>
  <c r="M1406" i="3"/>
  <c r="I1406" i="3"/>
  <c r="J1406" i="3"/>
  <c r="Q1406" i="3"/>
  <c r="L1406" i="3"/>
  <c r="P1406" i="3"/>
  <c r="K1406" i="3"/>
  <c r="R1406" i="3"/>
  <c r="O1406" i="3"/>
  <c r="N1406" i="3"/>
  <c r="J1410" i="3"/>
  <c r="M1410" i="3"/>
  <c r="P1410" i="3"/>
  <c r="L1410" i="3"/>
  <c r="Q1410" i="3"/>
  <c r="K1410" i="3"/>
  <c r="I1410" i="3"/>
  <c r="R1410" i="3"/>
  <c r="O1410" i="3"/>
  <c r="N1410" i="3"/>
  <c r="P1369" i="3"/>
  <c r="L1369" i="3"/>
  <c r="Q1369" i="3"/>
  <c r="R1369" i="3"/>
  <c r="N1369" i="3"/>
  <c r="J1369" i="3"/>
  <c r="M1369" i="3"/>
  <c r="O1369" i="3"/>
  <c r="K1369" i="3"/>
  <c r="I1369" i="3"/>
  <c r="R1401" i="3"/>
  <c r="K1401" i="3"/>
  <c r="Q1401" i="3"/>
  <c r="N1401" i="3"/>
  <c r="I1401" i="3"/>
  <c r="P1401" i="3"/>
  <c r="O1401" i="3"/>
  <c r="M1401" i="3"/>
  <c r="L1401" i="3"/>
  <c r="J1401" i="3"/>
  <c r="P1408" i="3"/>
  <c r="N1408" i="3"/>
  <c r="K1408" i="3"/>
  <c r="O1408" i="3"/>
  <c r="J1408" i="3"/>
  <c r="L1408" i="3"/>
  <c r="R1408" i="3"/>
  <c r="Q1408" i="3"/>
  <c r="I1408" i="3"/>
  <c r="M1408" i="3"/>
  <c r="O1440" i="3"/>
  <c r="K1440" i="3"/>
  <c r="P1440" i="3"/>
  <c r="M1440" i="3"/>
  <c r="L1440" i="3"/>
  <c r="R1440" i="3"/>
  <c r="J1440" i="3"/>
  <c r="Q1440" i="3"/>
  <c r="N1440" i="3"/>
  <c r="I1440" i="3"/>
  <c r="O1472" i="3"/>
  <c r="K1472" i="3"/>
  <c r="P1472" i="3"/>
  <c r="M1472" i="3"/>
  <c r="L1472" i="3"/>
  <c r="R1472" i="3"/>
  <c r="J1472" i="3"/>
  <c r="Q1472" i="3"/>
  <c r="N1472" i="3"/>
  <c r="I1472" i="3"/>
  <c r="O1423" i="3"/>
  <c r="N1423" i="3"/>
  <c r="I1423" i="3"/>
  <c r="M1423" i="3"/>
  <c r="R1423" i="3"/>
  <c r="J1423" i="3"/>
  <c r="L1423" i="3"/>
  <c r="P1423" i="3"/>
  <c r="K1423" i="3"/>
  <c r="Q1423" i="3"/>
  <c r="R1455" i="3"/>
  <c r="O1455" i="3"/>
  <c r="J1455" i="3"/>
  <c r="M1455" i="3"/>
  <c r="Q1455" i="3"/>
  <c r="P1455" i="3"/>
  <c r="N1455" i="3"/>
  <c r="I1455" i="3"/>
  <c r="S1455" i="3" s="1"/>
  <c r="K1455" i="3"/>
  <c r="L1455" i="3"/>
  <c r="M1524" i="3"/>
  <c r="Q1524" i="3"/>
  <c r="O1524" i="3"/>
  <c r="I1524" i="3"/>
  <c r="J1524" i="3"/>
  <c r="L1524" i="3"/>
  <c r="N1524" i="3"/>
  <c r="R1524" i="3"/>
  <c r="K1524" i="3"/>
  <c r="P1524" i="3"/>
  <c r="P1462" i="3"/>
  <c r="K1462" i="3"/>
  <c r="O1462" i="3"/>
  <c r="Q1462" i="3"/>
  <c r="N1462" i="3"/>
  <c r="I1462" i="3"/>
  <c r="L1462" i="3"/>
  <c r="M1462" i="3"/>
  <c r="J1462" i="3"/>
  <c r="R1462" i="3"/>
  <c r="M1441" i="3"/>
  <c r="I1441" i="3"/>
  <c r="O1441" i="3"/>
  <c r="N1441" i="3"/>
  <c r="R1441" i="3"/>
  <c r="L1441" i="3"/>
  <c r="K1441" i="3"/>
  <c r="J1441" i="3"/>
  <c r="P1441" i="3"/>
  <c r="Q1441" i="3"/>
  <c r="M1473" i="3"/>
  <c r="I1473" i="3"/>
  <c r="O1473" i="3"/>
  <c r="N1473" i="3"/>
  <c r="R1473" i="3"/>
  <c r="L1473" i="3"/>
  <c r="J1473" i="3"/>
  <c r="K1473" i="3"/>
  <c r="P1473" i="3"/>
  <c r="Q1473" i="3"/>
  <c r="P1544" i="3"/>
  <c r="O1544" i="3"/>
  <c r="Q1544" i="3"/>
  <c r="L1544" i="3"/>
  <c r="M1544" i="3"/>
  <c r="I1544" i="3"/>
  <c r="S1544" i="3" s="1"/>
  <c r="R1544" i="3"/>
  <c r="K1544" i="3"/>
  <c r="J1544" i="3"/>
  <c r="N1544" i="3"/>
  <c r="N1532" i="3"/>
  <c r="M1532" i="3"/>
  <c r="K1532" i="3"/>
  <c r="Q1532" i="3"/>
  <c r="P1532" i="3"/>
  <c r="L1532" i="3"/>
  <c r="J1532" i="3"/>
  <c r="I1532" i="3"/>
  <c r="R1532" i="3"/>
  <c r="O1532" i="3"/>
  <c r="R1584" i="3"/>
  <c r="J1584" i="3"/>
  <c r="Q1584" i="3"/>
  <c r="M1584" i="3"/>
  <c r="I1584" i="3"/>
  <c r="O1584" i="3"/>
  <c r="N1584" i="3"/>
  <c r="L1584" i="3"/>
  <c r="K1584" i="3"/>
  <c r="P1584" i="3"/>
  <c r="O1523" i="3"/>
  <c r="I1523" i="3"/>
  <c r="K1523" i="3"/>
  <c r="Q1523" i="3"/>
  <c r="R1523" i="3"/>
  <c r="P1523" i="3"/>
  <c r="L1523" i="3"/>
  <c r="M1523" i="3"/>
  <c r="J1523" i="3"/>
  <c r="N1523" i="3"/>
  <c r="I1570" i="3"/>
  <c r="N1570" i="3"/>
  <c r="O1570" i="3"/>
  <c r="R1570" i="3"/>
  <c r="J1570" i="3"/>
  <c r="M1570" i="3"/>
  <c r="Q1570" i="3"/>
  <c r="L1570" i="3"/>
  <c r="P1570" i="3"/>
  <c r="K1570" i="3"/>
  <c r="Q1502" i="3"/>
  <c r="I1502" i="3"/>
  <c r="P1502" i="3"/>
  <c r="R1502" i="3"/>
  <c r="O1502" i="3"/>
  <c r="M1502" i="3"/>
  <c r="N1502" i="3"/>
  <c r="J1502" i="3"/>
  <c r="L1502" i="3"/>
  <c r="K1502" i="3"/>
  <c r="R1534" i="3"/>
  <c r="J1534" i="3"/>
  <c r="Q1534" i="3"/>
  <c r="I1534" i="3"/>
  <c r="N1534" i="3"/>
  <c r="M1534" i="3"/>
  <c r="L1534" i="3"/>
  <c r="K1534" i="3"/>
  <c r="O1534" i="3"/>
  <c r="P1534" i="3"/>
  <c r="M1590" i="3"/>
  <c r="Q1590" i="3"/>
  <c r="N1590" i="3"/>
  <c r="I1590" i="3"/>
  <c r="R1590" i="3"/>
  <c r="J1590" i="3"/>
  <c r="O1590" i="3"/>
  <c r="P1590" i="3"/>
  <c r="K1590" i="3"/>
  <c r="L1590" i="3"/>
  <c r="O1501" i="3"/>
  <c r="M1501" i="3"/>
  <c r="J1501" i="3"/>
  <c r="I1501" i="3"/>
  <c r="Q1501" i="3"/>
  <c r="L1501" i="3"/>
  <c r="K1501" i="3"/>
  <c r="R1501" i="3"/>
  <c r="P1501" i="3"/>
  <c r="N1501" i="3"/>
  <c r="O1533" i="3"/>
  <c r="M1533" i="3"/>
  <c r="P1533" i="3"/>
  <c r="K1533" i="3"/>
  <c r="Q1533" i="3"/>
  <c r="I1533" i="3"/>
  <c r="R1533" i="3"/>
  <c r="L1533" i="3"/>
  <c r="N1533" i="3"/>
  <c r="J1533" i="3"/>
  <c r="M1625" i="3"/>
  <c r="Q1625" i="3"/>
  <c r="J1625" i="3"/>
  <c r="I1625" i="3"/>
  <c r="K1625" i="3"/>
  <c r="N1625" i="3"/>
  <c r="R1625" i="3"/>
  <c r="P1625" i="3"/>
  <c r="O1625" i="3"/>
  <c r="L1625" i="3"/>
  <c r="N1571" i="3"/>
  <c r="R1571" i="3"/>
  <c r="I1571" i="3"/>
  <c r="L1571" i="3"/>
  <c r="O1571" i="3"/>
  <c r="K1571" i="3"/>
  <c r="M1571" i="3"/>
  <c r="P1571" i="3"/>
  <c r="Q1571" i="3"/>
  <c r="J1571" i="3"/>
  <c r="M1604" i="3"/>
  <c r="Q1604" i="3"/>
  <c r="I1604" i="3"/>
  <c r="K1604" i="3"/>
  <c r="P1604" i="3"/>
  <c r="L1604" i="3"/>
  <c r="N1604" i="3"/>
  <c r="J1604" i="3"/>
  <c r="R1604" i="3"/>
  <c r="O1604" i="3"/>
  <c r="P1601" i="3"/>
  <c r="M1601" i="3"/>
  <c r="K1601" i="3"/>
  <c r="Q1601" i="3"/>
  <c r="N1601" i="3"/>
  <c r="R1601" i="3"/>
  <c r="I1601" i="3"/>
  <c r="O1601" i="3"/>
  <c r="L1601" i="3"/>
  <c r="J1601" i="3"/>
  <c r="R1565" i="3"/>
  <c r="P1565" i="3"/>
  <c r="J1565" i="3"/>
  <c r="K1565" i="3"/>
  <c r="N1565" i="3"/>
  <c r="O1565" i="3"/>
  <c r="L1565" i="3"/>
  <c r="I1565" i="3"/>
  <c r="M1565" i="3"/>
  <c r="Q1565" i="3"/>
  <c r="L1597" i="3"/>
  <c r="M1597" i="3"/>
  <c r="P1597" i="3"/>
  <c r="N1597" i="3"/>
  <c r="K1597" i="3"/>
  <c r="O1597" i="3"/>
  <c r="Q1597" i="3"/>
  <c r="J1597" i="3"/>
  <c r="R1597" i="3"/>
  <c r="I1597" i="3"/>
  <c r="R1633" i="3"/>
  <c r="I1633" i="3"/>
  <c r="N1633" i="3"/>
  <c r="L1633" i="3"/>
  <c r="Q1633" i="3"/>
  <c r="K1633" i="3"/>
  <c r="M1633" i="3"/>
  <c r="J1633" i="3"/>
  <c r="O1633" i="3"/>
  <c r="P1633" i="3"/>
  <c r="N1650" i="3"/>
  <c r="K1650" i="3"/>
  <c r="R1650" i="3"/>
  <c r="M1650" i="3"/>
  <c r="Q1650" i="3"/>
  <c r="P1650" i="3"/>
  <c r="L1650" i="3"/>
  <c r="O1650" i="3"/>
  <c r="J1650" i="3"/>
  <c r="I1650" i="3"/>
  <c r="P1616" i="3"/>
  <c r="O1616" i="3"/>
  <c r="K1616" i="3"/>
  <c r="Q1616" i="3"/>
  <c r="J1616" i="3"/>
  <c r="I1616" i="3"/>
  <c r="R1616" i="3"/>
  <c r="L1616" i="3"/>
  <c r="M1616" i="3"/>
  <c r="N1616" i="3"/>
  <c r="O1607" i="3"/>
  <c r="R1607" i="3"/>
  <c r="N1607" i="3"/>
  <c r="I1607" i="3"/>
  <c r="P1607" i="3"/>
  <c r="L1607" i="3"/>
  <c r="M1607" i="3"/>
  <c r="J1607" i="3"/>
  <c r="K1607" i="3"/>
  <c r="Q1607" i="3"/>
  <c r="J1644" i="3"/>
  <c r="N1644" i="3"/>
  <c r="Q1644" i="3"/>
  <c r="K1644" i="3"/>
  <c r="I1644" i="3"/>
  <c r="O1644" i="3"/>
  <c r="M1644" i="3"/>
  <c r="L1644" i="3"/>
  <c r="P1644" i="3"/>
  <c r="R1644" i="3"/>
  <c r="P1706" i="3"/>
  <c r="O1706" i="3"/>
  <c r="M1706" i="3"/>
  <c r="L1706" i="3"/>
  <c r="K1706" i="3"/>
  <c r="J1706" i="3"/>
  <c r="Q1706" i="3"/>
  <c r="R1706" i="3"/>
  <c r="N1706" i="3"/>
  <c r="I1706" i="3"/>
  <c r="O1635" i="3"/>
  <c r="K1635" i="3"/>
  <c r="Q1635" i="3"/>
  <c r="P1635" i="3"/>
  <c r="J1635" i="3"/>
  <c r="N1635" i="3"/>
  <c r="L1635" i="3"/>
  <c r="R1635" i="3"/>
  <c r="I1635" i="3"/>
  <c r="M1635" i="3"/>
  <c r="M1663" i="3"/>
  <c r="Q1663" i="3"/>
  <c r="O1663" i="3"/>
  <c r="N1663" i="3"/>
  <c r="J1663" i="3"/>
  <c r="I1663" i="3"/>
  <c r="P1663" i="3"/>
  <c r="K1663" i="3"/>
  <c r="L1663" i="3"/>
  <c r="R1663" i="3"/>
  <c r="O1693" i="3"/>
  <c r="I1693" i="3"/>
  <c r="N1693" i="3"/>
  <c r="M1693" i="3"/>
  <c r="K1693" i="3"/>
  <c r="R1693" i="3"/>
  <c r="Q1693" i="3"/>
  <c r="P1693" i="3"/>
  <c r="J1693" i="3"/>
  <c r="L1693" i="3"/>
  <c r="K1686" i="3"/>
  <c r="P1686" i="3"/>
  <c r="N1686" i="3"/>
  <c r="I1686" i="3"/>
  <c r="S1686" i="3" s="1"/>
  <c r="R1686" i="3"/>
  <c r="M1686" i="3"/>
  <c r="Q1686" i="3"/>
  <c r="J1686" i="3"/>
  <c r="O1686" i="3"/>
  <c r="L1686" i="3"/>
  <c r="K1694" i="3"/>
  <c r="Q1694" i="3"/>
  <c r="O1694" i="3"/>
  <c r="J1694" i="3"/>
  <c r="R1694" i="3"/>
  <c r="M1694" i="3"/>
  <c r="P1694" i="3"/>
  <c r="N1694" i="3"/>
  <c r="L1694" i="3"/>
  <c r="I1694" i="3"/>
  <c r="S1694" i="3" s="1"/>
  <c r="Q1713" i="3"/>
  <c r="N1713" i="3"/>
  <c r="I1713" i="3"/>
  <c r="M1713" i="3"/>
  <c r="J1713" i="3"/>
  <c r="L1713" i="3"/>
  <c r="P1713" i="3"/>
  <c r="O1713" i="3"/>
  <c r="K1713" i="3"/>
  <c r="R1713" i="3"/>
  <c r="P1710" i="3"/>
  <c r="N1710" i="3"/>
  <c r="J1710" i="3"/>
  <c r="K1710" i="3"/>
  <c r="R1710" i="3"/>
  <c r="Q1710" i="3"/>
  <c r="O1710" i="3"/>
  <c r="M1710" i="3"/>
  <c r="L1710" i="3"/>
  <c r="I1710" i="3"/>
  <c r="Q1695" i="3"/>
  <c r="R1695" i="3"/>
  <c r="M1695" i="3"/>
  <c r="I1695" i="3"/>
  <c r="S1695" i="3" s="1"/>
  <c r="O1695" i="3"/>
  <c r="P1695" i="3"/>
  <c r="L1695" i="3"/>
  <c r="K1695" i="3"/>
  <c r="J1695" i="3"/>
  <c r="N1695" i="3"/>
  <c r="M1739" i="3"/>
  <c r="P1739" i="3"/>
  <c r="K1739" i="3"/>
  <c r="R1739" i="3"/>
  <c r="Q1739" i="3"/>
  <c r="J1739" i="3"/>
  <c r="N1739" i="3"/>
  <c r="I1739" i="3"/>
  <c r="O1739" i="3"/>
  <c r="L1739" i="3"/>
  <c r="M1732" i="3"/>
  <c r="R1732" i="3"/>
  <c r="I1732" i="3"/>
  <c r="L1732" i="3"/>
  <c r="N1732" i="3"/>
  <c r="Q1732" i="3"/>
  <c r="O1732" i="3"/>
  <c r="K1732" i="3"/>
  <c r="P1732" i="3"/>
  <c r="J1732" i="3"/>
  <c r="F1090" i="3"/>
  <c r="F1086" i="3"/>
  <c r="F1082" i="3"/>
  <c r="F1091" i="3"/>
  <c r="F1087" i="3"/>
  <c r="F1083" i="3"/>
  <c r="F1089" i="3"/>
  <c r="F1085" i="3"/>
  <c r="F1081" i="3"/>
  <c r="F1088" i="3"/>
  <c r="F1084" i="3"/>
  <c r="F1080" i="3"/>
  <c r="F275" i="3"/>
  <c r="F271" i="3"/>
  <c r="F267" i="3"/>
  <c r="F272" i="3"/>
  <c r="F268" i="3"/>
  <c r="F264" i="3"/>
  <c r="F274" i="3"/>
  <c r="F270" i="3"/>
  <c r="F266" i="3"/>
  <c r="F273" i="3"/>
  <c r="F269" i="3"/>
  <c r="F265" i="3"/>
  <c r="M141" i="2"/>
  <c r="L141" i="2"/>
  <c r="M176" i="2"/>
  <c r="L176" i="2"/>
  <c r="M221" i="2"/>
  <c r="L221" i="2"/>
  <c r="M162" i="2"/>
  <c r="L162" i="2"/>
  <c r="F995" i="3"/>
  <c r="F987" i="3"/>
  <c r="F988" i="3"/>
  <c r="F989" i="3"/>
  <c r="F990" i="3"/>
  <c r="F991" i="3"/>
  <c r="F993" i="3"/>
  <c r="F985" i="3"/>
  <c r="F994" i="3"/>
  <c r="F986" i="3"/>
  <c r="F984" i="3"/>
  <c r="F992" i="3"/>
  <c r="F179" i="3"/>
  <c r="F175" i="3"/>
  <c r="F171" i="3"/>
  <c r="F177" i="3"/>
  <c r="F174" i="3"/>
  <c r="F168" i="3"/>
  <c r="F178" i="3"/>
  <c r="F172" i="3"/>
  <c r="F169" i="3"/>
  <c r="F176" i="3"/>
  <c r="F173" i="3"/>
  <c r="F170" i="3"/>
  <c r="L203" i="2"/>
  <c r="L219" i="2"/>
  <c r="L171" i="2"/>
  <c r="L123" i="2"/>
  <c r="Q170" i="3"/>
  <c r="I170" i="3"/>
  <c r="K170" i="3"/>
  <c r="O170" i="3"/>
  <c r="N170" i="3"/>
  <c r="J170" i="3"/>
  <c r="P170" i="3"/>
  <c r="M170" i="3"/>
  <c r="L170" i="3"/>
  <c r="R170" i="3"/>
  <c r="O197" i="3"/>
  <c r="Q197" i="3"/>
  <c r="P197" i="3"/>
  <c r="R197" i="3"/>
  <c r="I197" i="3"/>
  <c r="M197" i="3"/>
  <c r="L197" i="3"/>
  <c r="J197" i="3"/>
  <c r="K197" i="3"/>
  <c r="N197" i="3"/>
  <c r="Q228" i="3"/>
  <c r="I228" i="3"/>
  <c r="M228" i="3"/>
  <c r="N228" i="3"/>
  <c r="O228" i="3"/>
  <c r="L228" i="3"/>
  <c r="P228" i="3"/>
  <c r="K228" i="3"/>
  <c r="R228" i="3"/>
  <c r="J228" i="3"/>
  <c r="O255" i="3"/>
  <c r="P255" i="3"/>
  <c r="R255" i="3"/>
  <c r="L255" i="3"/>
  <c r="K255" i="3"/>
  <c r="N255" i="3"/>
  <c r="M255" i="3"/>
  <c r="Q255" i="3"/>
  <c r="I255" i="3"/>
  <c r="J255" i="3"/>
  <c r="N412" i="3"/>
  <c r="M412" i="3"/>
  <c r="R412" i="3"/>
  <c r="O412" i="3"/>
  <c r="K412" i="3"/>
  <c r="Q412" i="3"/>
  <c r="P412" i="3"/>
  <c r="I412" i="3"/>
  <c r="L412" i="3"/>
  <c r="J412" i="3"/>
  <c r="K440" i="3"/>
  <c r="M440" i="3"/>
  <c r="J440" i="3"/>
  <c r="L440" i="3"/>
  <c r="Q440" i="3"/>
  <c r="R440" i="3"/>
  <c r="I440" i="3"/>
  <c r="O440" i="3"/>
  <c r="N440" i="3"/>
  <c r="P440" i="3"/>
  <c r="K488" i="3"/>
  <c r="M488" i="3"/>
  <c r="N488" i="3"/>
  <c r="Q488" i="3"/>
  <c r="L488" i="3"/>
  <c r="I488" i="3"/>
  <c r="S488" i="3" s="1"/>
  <c r="R488" i="3"/>
  <c r="O488" i="3"/>
  <c r="J488" i="3"/>
  <c r="P488" i="3"/>
  <c r="Q443" i="3"/>
  <c r="N443" i="3"/>
  <c r="I443" i="3"/>
  <c r="P443" i="3"/>
  <c r="M443" i="3"/>
  <c r="J443" i="3"/>
  <c r="K443" i="3"/>
  <c r="R443" i="3"/>
  <c r="L443" i="3"/>
  <c r="O443" i="3"/>
  <c r="I478" i="3"/>
  <c r="P478" i="3"/>
  <c r="O478" i="3"/>
  <c r="M478" i="3"/>
  <c r="L478" i="3"/>
  <c r="N478" i="3"/>
  <c r="Q478" i="3"/>
  <c r="R478" i="3"/>
  <c r="J478" i="3"/>
  <c r="K478" i="3"/>
  <c r="M1017" i="3"/>
  <c r="L1017" i="3"/>
  <c r="O1017" i="3"/>
  <c r="R1017" i="3"/>
  <c r="K1017" i="3"/>
  <c r="J1017" i="3"/>
  <c r="P1017" i="3"/>
  <c r="Q1017" i="3"/>
  <c r="I1017" i="3"/>
  <c r="N1017" i="3"/>
  <c r="K992" i="3"/>
  <c r="Q992" i="3"/>
  <c r="I992" i="3"/>
  <c r="J992" i="3"/>
  <c r="P992" i="3"/>
  <c r="O992" i="3"/>
  <c r="N992" i="3"/>
  <c r="R992" i="3"/>
  <c r="M992" i="3"/>
  <c r="L992" i="3"/>
  <c r="Q1027" i="3"/>
  <c r="I1027" i="3"/>
  <c r="O1027" i="3"/>
  <c r="P1027" i="3"/>
  <c r="N1027" i="3"/>
  <c r="K1027" i="3"/>
  <c r="R1027" i="3"/>
  <c r="J1027" i="3"/>
  <c r="L1027" i="3"/>
  <c r="M1027" i="3"/>
  <c r="N1026" i="3"/>
  <c r="L1026" i="3"/>
  <c r="O1026" i="3"/>
  <c r="M1026" i="3"/>
  <c r="J1026" i="3"/>
  <c r="K1026" i="3"/>
  <c r="Q1026" i="3"/>
  <c r="I1026" i="3"/>
  <c r="P1026" i="3"/>
  <c r="R1026" i="3"/>
  <c r="K1130" i="3"/>
  <c r="M1130" i="3"/>
  <c r="P1130" i="3"/>
  <c r="O1130" i="3"/>
  <c r="Q1130" i="3"/>
  <c r="R1130" i="3"/>
  <c r="I1130" i="3"/>
  <c r="N1130" i="3"/>
  <c r="J1130" i="3"/>
  <c r="L1130" i="3"/>
  <c r="M1160" i="3"/>
  <c r="P1160" i="3"/>
  <c r="O1160" i="3"/>
  <c r="N1160" i="3"/>
  <c r="Q1160" i="3"/>
  <c r="I1160" i="3"/>
  <c r="S1160" i="3" s="1"/>
  <c r="L1160" i="3"/>
  <c r="K1160" i="3"/>
  <c r="R1160" i="3"/>
  <c r="J1160" i="3"/>
  <c r="J1201" i="3"/>
  <c r="I1201" i="3"/>
  <c r="M1201" i="3"/>
  <c r="P1201" i="3"/>
  <c r="K1201" i="3"/>
  <c r="O1201" i="3"/>
  <c r="L1201" i="3"/>
  <c r="N1201" i="3"/>
  <c r="R1201" i="3"/>
  <c r="Q1201" i="3"/>
  <c r="N1228" i="3"/>
  <c r="M1228" i="3"/>
  <c r="J1228" i="3"/>
  <c r="R1228" i="3"/>
  <c r="P1228" i="3"/>
  <c r="L1228" i="3"/>
  <c r="K1228" i="3"/>
  <c r="Q1228" i="3"/>
  <c r="I1228" i="3"/>
  <c r="O1228" i="3"/>
  <c r="N1239" i="3"/>
  <c r="L1239" i="3"/>
  <c r="J1239" i="3"/>
  <c r="R1239" i="3"/>
  <c r="P1239" i="3"/>
  <c r="K1239" i="3"/>
  <c r="Q1239" i="3"/>
  <c r="I1239" i="3"/>
  <c r="S1239" i="3" s="1"/>
  <c r="O1239" i="3"/>
  <c r="M1239" i="3"/>
  <c r="R1250" i="3"/>
  <c r="I1250" i="3"/>
  <c r="Q1250" i="3"/>
  <c r="N1250" i="3"/>
  <c r="L1250" i="3"/>
  <c r="O1250" i="3"/>
  <c r="M1250" i="3"/>
  <c r="J1250" i="3"/>
  <c r="P1250" i="3"/>
  <c r="K1250" i="3"/>
  <c r="K1341" i="3"/>
  <c r="I1341" i="3"/>
  <c r="P1341" i="3"/>
  <c r="L1341" i="3"/>
  <c r="R1341" i="3"/>
  <c r="O1341" i="3"/>
  <c r="M1341" i="3"/>
  <c r="J1341" i="3"/>
  <c r="Q1341" i="3"/>
  <c r="N1341" i="3"/>
  <c r="F1739" i="3"/>
  <c r="F1737" i="3"/>
  <c r="F1735" i="3"/>
  <c r="F1733" i="3"/>
  <c r="F1731" i="3"/>
  <c r="F1729" i="3"/>
  <c r="F1734" i="3"/>
  <c r="F1732" i="3"/>
  <c r="F1730" i="3"/>
  <c r="F1728" i="3"/>
  <c r="F1736" i="3"/>
  <c r="F1738" i="3"/>
  <c r="F922" i="3"/>
  <c r="F918" i="3"/>
  <c r="F914" i="3"/>
  <c r="F921" i="3"/>
  <c r="F917" i="3"/>
  <c r="F913" i="3"/>
  <c r="F923" i="3"/>
  <c r="F916" i="3"/>
  <c r="F920" i="3"/>
  <c r="F915" i="3"/>
  <c r="F919" i="3"/>
  <c r="F912" i="3"/>
  <c r="O570" i="3"/>
  <c r="Q570" i="3"/>
  <c r="J570" i="3"/>
  <c r="I570" i="3"/>
  <c r="M570" i="3"/>
  <c r="N570" i="3"/>
  <c r="L570" i="3"/>
  <c r="R570" i="3"/>
  <c r="K570" i="3"/>
  <c r="P570" i="3"/>
  <c r="J621" i="3"/>
  <c r="Q621" i="3"/>
  <c r="K621" i="3"/>
  <c r="I621" i="3"/>
  <c r="L621" i="3"/>
  <c r="M621" i="3"/>
  <c r="O621" i="3"/>
  <c r="P621" i="3"/>
  <c r="N621" i="3"/>
  <c r="R621" i="3"/>
  <c r="M877" i="3"/>
  <c r="R877" i="3"/>
  <c r="N877" i="3"/>
  <c r="J877" i="3"/>
  <c r="L877" i="3"/>
  <c r="P877" i="3"/>
  <c r="K877" i="3"/>
  <c r="Q877" i="3"/>
  <c r="I877" i="3"/>
  <c r="O877" i="3"/>
  <c r="N627" i="3"/>
  <c r="M627" i="3"/>
  <c r="O627" i="3"/>
  <c r="Q627" i="3"/>
  <c r="I627" i="3"/>
  <c r="P627" i="3"/>
  <c r="K627" i="3"/>
  <c r="L627" i="3"/>
  <c r="R627" i="3"/>
  <c r="J627" i="3"/>
  <c r="N921" i="3"/>
  <c r="L921" i="3"/>
  <c r="O921" i="3"/>
  <c r="K921" i="3"/>
  <c r="Q921" i="3"/>
  <c r="I921" i="3"/>
  <c r="R921" i="3"/>
  <c r="M921" i="3"/>
  <c r="J921" i="3"/>
  <c r="P921" i="3"/>
  <c r="O739" i="3"/>
  <c r="M739" i="3"/>
  <c r="Q739" i="3"/>
  <c r="J739" i="3"/>
  <c r="I739" i="3"/>
  <c r="K739" i="3"/>
  <c r="N739" i="3"/>
  <c r="L739" i="3"/>
  <c r="P739" i="3"/>
  <c r="R739" i="3"/>
  <c r="I828" i="3"/>
  <c r="O828" i="3"/>
  <c r="M828" i="3"/>
  <c r="K828" i="3"/>
  <c r="P828" i="3"/>
  <c r="L828" i="3"/>
  <c r="R828" i="3"/>
  <c r="J828" i="3"/>
  <c r="Q828" i="3"/>
  <c r="N828" i="3"/>
  <c r="K879" i="3"/>
  <c r="O879" i="3"/>
  <c r="M879" i="3"/>
  <c r="J879" i="3"/>
  <c r="N879" i="3"/>
  <c r="Q879" i="3"/>
  <c r="L879" i="3"/>
  <c r="I879" i="3"/>
  <c r="R879" i="3"/>
  <c r="P879" i="3"/>
  <c r="L894" i="3"/>
  <c r="P894" i="3"/>
  <c r="R894" i="3"/>
  <c r="Q894" i="3"/>
  <c r="N894" i="3"/>
  <c r="M894" i="3"/>
  <c r="K894" i="3"/>
  <c r="J894" i="3"/>
  <c r="O894" i="3"/>
  <c r="I894" i="3"/>
  <c r="S894" i="3" s="1"/>
  <c r="J1350" i="3"/>
  <c r="R1350" i="3"/>
  <c r="Q1350" i="3"/>
  <c r="M1350" i="3"/>
  <c r="O1350" i="3"/>
  <c r="I1350" i="3"/>
  <c r="K1350" i="3"/>
  <c r="P1350" i="3"/>
  <c r="N1350" i="3"/>
  <c r="L1350" i="3"/>
  <c r="O1389" i="3"/>
  <c r="K1389" i="3"/>
  <c r="I1389" i="3"/>
  <c r="Q1389" i="3"/>
  <c r="R1389" i="3"/>
  <c r="L1389" i="3"/>
  <c r="M1389" i="3"/>
  <c r="N1389" i="3"/>
  <c r="J1389" i="3"/>
  <c r="P1389" i="3"/>
  <c r="J1450" i="3"/>
  <c r="N1450" i="3"/>
  <c r="L1450" i="3"/>
  <c r="K1450" i="3"/>
  <c r="O1450" i="3"/>
  <c r="Q1450" i="3"/>
  <c r="I1450" i="3"/>
  <c r="R1450" i="3"/>
  <c r="P1450" i="3"/>
  <c r="M1450" i="3"/>
  <c r="K1511" i="3"/>
  <c r="Q1511" i="3"/>
  <c r="I1511" i="3"/>
  <c r="P1511" i="3"/>
  <c r="O1511" i="3"/>
  <c r="R1511" i="3"/>
  <c r="M1511" i="3"/>
  <c r="J1511" i="3"/>
  <c r="N1511" i="3"/>
  <c r="L1511" i="3"/>
  <c r="Q1522" i="3"/>
  <c r="I1522" i="3"/>
  <c r="O1522" i="3"/>
  <c r="M1522" i="3"/>
  <c r="R1522" i="3"/>
  <c r="J1522" i="3"/>
  <c r="L1522" i="3"/>
  <c r="N1522" i="3"/>
  <c r="K1522" i="3"/>
  <c r="P1522" i="3"/>
  <c r="N1653" i="3"/>
  <c r="P1653" i="3"/>
  <c r="O1653" i="3"/>
  <c r="L1653" i="3"/>
  <c r="K1653" i="3"/>
  <c r="M1653" i="3"/>
  <c r="R1653" i="3"/>
  <c r="Q1653" i="3"/>
  <c r="I1653" i="3"/>
  <c r="J1653" i="3"/>
  <c r="K1680" i="3"/>
  <c r="I1680" i="3"/>
  <c r="P1680" i="3"/>
  <c r="M1680" i="3"/>
  <c r="L1680" i="3"/>
  <c r="R1680" i="3"/>
  <c r="J1680" i="3"/>
  <c r="N1680" i="3"/>
  <c r="Q1680" i="3"/>
  <c r="O1680" i="3"/>
  <c r="Q1729" i="3"/>
  <c r="I1729" i="3"/>
  <c r="O1729" i="3"/>
  <c r="M1729" i="3"/>
  <c r="J1729" i="3"/>
  <c r="R1729" i="3"/>
  <c r="N1729" i="3"/>
  <c r="P1729" i="3"/>
  <c r="L1729" i="3"/>
  <c r="K1729" i="3"/>
  <c r="M119" i="2"/>
  <c r="L119" i="2"/>
  <c r="M126" i="2"/>
  <c r="L126" i="2"/>
  <c r="P133" i="2"/>
  <c r="M196" i="2"/>
  <c r="L196" i="2"/>
  <c r="M175" i="2"/>
  <c r="L175" i="2"/>
  <c r="L174" i="2"/>
  <c r="M174" i="2"/>
  <c r="M228" i="2"/>
  <c r="L228" i="2"/>
  <c r="M138" i="2"/>
  <c r="L138" i="2"/>
  <c r="M185" i="2"/>
  <c r="L185" i="2"/>
  <c r="M161" i="2"/>
  <c r="L161" i="2"/>
  <c r="M218" i="2"/>
  <c r="L218" i="2"/>
  <c r="L110" i="2"/>
  <c r="M110" i="2"/>
  <c r="M180" i="2"/>
  <c r="L180" i="2"/>
  <c r="M159" i="2"/>
  <c r="L159" i="2"/>
  <c r="L158" i="2"/>
  <c r="M158" i="2"/>
  <c r="M212" i="2"/>
  <c r="L212" i="2"/>
  <c r="M191" i="2"/>
  <c r="L191" i="2"/>
  <c r="F1078" i="3"/>
  <c r="F1074" i="3"/>
  <c r="F1070" i="3"/>
  <c r="F1079" i="3"/>
  <c r="F1075" i="3"/>
  <c r="F1071" i="3"/>
  <c r="F1077" i="3"/>
  <c r="F1073" i="3"/>
  <c r="F1069" i="3"/>
  <c r="F1072" i="3"/>
  <c r="F1068" i="3"/>
  <c r="F1076" i="3"/>
  <c r="F263" i="3"/>
  <c r="F259" i="3"/>
  <c r="F255" i="3"/>
  <c r="F260" i="3"/>
  <c r="F256" i="3"/>
  <c r="F252" i="3"/>
  <c r="F262" i="3"/>
  <c r="F258" i="3"/>
  <c r="F254" i="3"/>
  <c r="F261" i="3"/>
  <c r="F257" i="3"/>
  <c r="F253" i="3"/>
  <c r="Q131" i="3"/>
  <c r="I131" i="3"/>
  <c r="L131" i="3"/>
  <c r="N131" i="3"/>
  <c r="K131" i="3"/>
  <c r="O131" i="3"/>
  <c r="J131" i="3"/>
  <c r="M131" i="3"/>
  <c r="R131" i="3"/>
  <c r="P131" i="3"/>
  <c r="Q124" i="3"/>
  <c r="I124" i="3"/>
  <c r="P124" i="3"/>
  <c r="R124" i="3"/>
  <c r="J124" i="3"/>
  <c r="M124" i="3"/>
  <c r="O124" i="3"/>
  <c r="N124" i="3"/>
  <c r="L124" i="3"/>
  <c r="K124" i="3"/>
  <c r="N305" i="3"/>
  <c r="K305" i="3"/>
  <c r="R305" i="3"/>
  <c r="P305" i="3"/>
  <c r="L305" i="3"/>
  <c r="M305" i="3"/>
  <c r="Q305" i="3"/>
  <c r="O305" i="3"/>
  <c r="J305" i="3"/>
  <c r="I305" i="3"/>
  <c r="I448" i="3"/>
  <c r="P448" i="3"/>
  <c r="K448" i="3"/>
  <c r="M448" i="3"/>
  <c r="N448" i="3"/>
  <c r="J448" i="3"/>
  <c r="O448" i="3"/>
  <c r="Q448" i="3"/>
  <c r="L448" i="3"/>
  <c r="R448" i="3"/>
  <c r="Q154" i="3"/>
  <c r="I154" i="3"/>
  <c r="L154" i="3"/>
  <c r="K154" i="3"/>
  <c r="O154" i="3"/>
  <c r="N154" i="3"/>
  <c r="J154" i="3"/>
  <c r="P154" i="3"/>
  <c r="M154" i="3"/>
  <c r="R154" i="3"/>
  <c r="R186" i="3"/>
  <c r="J186" i="3"/>
  <c r="L186" i="3"/>
  <c r="Q186" i="3"/>
  <c r="I186" i="3"/>
  <c r="S186" i="3" s="1"/>
  <c r="K186" i="3"/>
  <c r="O186" i="3"/>
  <c r="M186" i="3"/>
  <c r="P186" i="3"/>
  <c r="N186" i="3"/>
  <c r="R218" i="3"/>
  <c r="J218" i="3"/>
  <c r="L218" i="3"/>
  <c r="Q218" i="3"/>
  <c r="I218" i="3"/>
  <c r="K218" i="3"/>
  <c r="O218" i="3"/>
  <c r="P218" i="3"/>
  <c r="M218" i="3"/>
  <c r="N218" i="3"/>
  <c r="R250" i="3"/>
  <c r="J250" i="3"/>
  <c r="L250" i="3"/>
  <c r="Q250" i="3"/>
  <c r="I250" i="3"/>
  <c r="K250" i="3"/>
  <c r="O250" i="3"/>
  <c r="P250" i="3"/>
  <c r="M250" i="3"/>
  <c r="N250" i="3"/>
  <c r="P317" i="3"/>
  <c r="O317" i="3"/>
  <c r="J317" i="3"/>
  <c r="M317" i="3"/>
  <c r="Q317" i="3"/>
  <c r="N317" i="3"/>
  <c r="I317" i="3"/>
  <c r="S317" i="3" s="1"/>
  <c r="L317" i="3"/>
  <c r="K317" i="3"/>
  <c r="R317" i="3"/>
  <c r="L149" i="3"/>
  <c r="O149" i="3"/>
  <c r="R149" i="3"/>
  <c r="Q149" i="3"/>
  <c r="M149" i="3"/>
  <c r="P149" i="3"/>
  <c r="N149" i="3"/>
  <c r="K149" i="3"/>
  <c r="I149" i="3"/>
  <c r="J149" i="3"/>
  <c r="P181" i="3"/>
  <c r="R181" i="3"/>
  <c r="J181" i="3"/>
  <c r="O181" i="3"/>
  <c r="Q181" i="3"/>
  <c r="I181" i="3"/>
  <c r="M181" i="3"/>
  <c r="L181" i="3"/>
  <c r="N181" i="3"/>
  <c r="K181" i="3"/>
  <c r="P213" i="3"/>
  <c r="R213" i="3"/>
  <c r="J213" i="3"/>
  <c r="O213" i="3"/>
  <c r="Q213" i="3"/>
  <c r="I213" i="3"/>
  <c r="M213" i="3"/>
  <c r="L213" i="3"/>
  <c r="N213" i="3"/>
  <c r="K213" i="3"/>
  <c r="P245" i="3"/>
  <c r="R245" i="3"/>
  <c r="J245" i="3"/>
  <c r="O245" i="3"/>
  <c r="Q245" i="3"/>
  <c r="I245" i="3"/>
  <c r="M245" i="3"/>
  <c r="L245" i="3"/>
  <c r="K245" i="3"/>
  <c r="N245" i="3"/>
  <c r="Q309" i="3"/>
  <c r="I309" i="3"/>
  <c r="J309" i="3"/>
  <c r="K309" i="3"/>
  <c r="P309" i="3"/>
  <c r="N309" i="3"/>
  <c r="M309" i="3"/>
  <c r="R309" i="3"/>
  <c r="O309" i="3"/>
  <c r="L309" i="3"/>
  <c r="Q389" i="3"/>
  <c r="N389" i="3"/>
  <c r="I389" i="3"/>
  <c r="S389" i="3" s="1"/>
  <c r="L389" i="3"/>
  <c r="K389" i="3"/>
  <c r="O389" i="3"/>
  <c r="R389" i="3"/>
  <c r="J389" i="3"/>
  <c r="P389" i="3"/>
  <c r="M389" i="3"/>
  <c r="Q180" i="3"/>
  <c r="I180" i="3"/>
  <c r="N180" i="3"/>
  <c r="P180" i="3"/>
  <c r="M180" i="3"/>
  <c r="O180" i="3"/>
  <c r="L180" i="3"/>
  <c r="J180" i="3"/>
  <c r="K180" i="3"/>
  <c r="R180" i="3"/>
  <c r="Q212" i="3"/>
  <c r="I212" i="3"/>
  <c r="N212" i="3"/>
  <c r="P212" i="3"/>
  <c r="M212" i="3"/>
  <c r="O212" i="3"/>
  <c r="K212" i="3"/>
  <c r="L212" i="3"/>
  <c r="R212" i="3"/>
  <c r="J212" i="3"/>
  <c r="Q244" i="3"/>
  <c r="I244" i="3"/>
  <c r="N244" i="3"/>
  <c r="P244" i="3"/>
  <c r="M244" i="3"/>
  <c r="O244" i="3"/>
  <c r="K244" i="3"/>
  <c r="L244" i="3"/>
  <c r="J244" i="3"/>
  <c r="R244" i="3"/>
  <c r="P301" i="3"/>
  <c r="M301" i="3"/>
  <c r="N301" i="3"/>
  <c r="Q301" i="3"/>
  <c r="J301" i="3"/>
  <c r="R301" i="3"/>
  <c r="I301" i="3"/>
  <c r="L301" i="3"/>
  <c r="O301" i="3"/>
  <c r="K301" i="3"/>
  <c r="R313" i="3"/>
  <c r="M313" i="3"/>
  <c r="L313" i="3"/>
  <c r="Q313" i="3"/>
  <c r="P313" i="3"/>
  <c r="I313" i="3"/>
  <c r="J313" i="3"/>
  <c r="K313" i="3"/>
  <c r="O313" i="3"/>
  <c r="N313" i="3"/>
  <c r="O175" i="3"/>
  <c r="J175" i="3"/>
  <c r="N175" i="3"/>
  <c r="L175" i="3"/>
  <c r="K175" i="3"/>
  <c r="M175" i="3"/>
  <c r="Q175" i="3"/>
  <c r="P175" i="3"/>
  <c r="R175" i="3"/>
  <c r="I175" i="3"/>
  <c r="O207" i="3"/>
  <c r="P207" i="3"/>
  <c r="N207" i="3"/>
  <c r="R207" i="3"/>
  <c r="K207" i="3"/>
  <c r="M207" i="3"/>
  <c r="Q207" i="3"/>
  <c r="I207" i="3"/>
  <c r="L207" i="3"/>
  <c r="J207" i="3"/>
  <c r="O239" i="3"/>
  <c r="P239" i="3"/>
  <c r="N239" i="3"/>
  <c r="R239" i="3"/>
  <c r="K239" i="3"/>
  <c r="M239" i="3"/>
  <c r="Q239" i="3"/>
  <c r="I239" i="3"/>
  <c r="L239" i="3"/>
  <c r="J239" i="3"/>
  <c r="O271" i="3"/>
  <c r="P271" i="3"/>
  <c r="N271" i="3"/>
  <c r="R271" i="3"/>
  <c r="K271" i="3"/>
  <c r="M271" i="3"/>
  <c r="Q271" i="3"/>
  <c r="J271" i="3"/>
  <c r="L271" i="3"/>
  <c r="I271" i="3"/>
  <c r="I294" i="3"/>
  <c r="M294" i="3"/>
  <c r="N294" i="3"/>
  <c r="R294" i="3"/>
  <c r="J294" i="3"/>
  <c r="Q294" i="3"/>
  <c r="L294" i="3"/>
  <c r="O294" i="3"/>
  <c r="K294" i="3"/>
  <c r="P294" i="3"/>
  <c r="M326" i="3"/>
  <c r="R326" i="3"/>
  <c r="Q326" i="3"/>
  <c r="L326" i="3"/>
  <c r="P326" i="3"/>
  <c r="O326" i="3"/>
  <c r="I326" i="3"/>
  <c r="N326" i="3"/>
  <c r="K326" i="3"/>
  <c r="J326" i="3"/>
  <c r="I358" i="3"/>
  <c r="M358" i="3"/>
  <c r="N358" i="3"/>
  <c r="L358" i="3"/>
  <c r="R358" i="3"/>
  <c r="Q358" i="3"/>
  <c r="O358" i="3"/>
  <c r="P358" i="3"/>
  <c r="J358" i="3"/>
  <c r="K358" i="3"/>
  <c r="R390" i="3"/>
  <c r="M390" i="3"/>
  <c r="N390" i="3"/>
  <c r="Q390" i="3"/>
  <c r="L390" i="3"/>
  <c r="J390" i="3"/>
  <c r="I390" i="3"/>
  <c r="O390" i="3"/>
  <c r="K390" i="3"/>
  <c r="P390" i="3"/>
  <c r="K424" i="3"/>
  <c r="M424" i="3"/>
  <c r="P424" i="3"/>
  <c r="N424" i="3"/>
  <c r="R424" i="3"/>
  <c r="Q424" i="3"/>
  <c r="O424" i="3"/>
  <c r="I424" i="3"/>
  <c r="J424" i="3"/>
  <c r="L424" i="3"/>
  <c r="K292" i="3"/>
  <c r="R292" i="3"/>
  <c r="O292" i="3"/>
  <c r="L292" i="3"/>
  <c r="P292" i="3"/>
  <c r="Q292" i="3"/>
  <c r="I292" i="3"/>
  <c r="M292" i="3"/>
  <c r="N292" i="3"/>
  <c r="J292" i="3"/>
  <c r="L324" i="3"/>
  <c r="K324" i="3"/>
  <c r="P324" i="3"/>
  <c r="O324" i="3"/>
  <c r="J324" i="3"/>
  <c r="Q324" i="3"/>
  <c r="I324" i="3"/>
  <c r="N324" i="3"/>
  <c r="M324" i="3"/>
  <c r="R324" i="3"/>
  <c r="L356" i="3"/>
  <c r="K356" i="3"/>
  <c r="O356" i="3"/>
  <c r="R356" i="3"/>
  <c r="Q356" i="3"/>
  <c r="J356" i="3"/>
  <c r="I356" i="3"/>
  <c r="P356" i="3"/>
  <c r="N356" i="3"/>
  <c r="M356" i="3"/>
  <c r="L388" i="3"/>
  <c r="K388" i="3"/>
  <c r="O388" i="3"/>
  <c r="N388" i="3"/>
  <c r="R388" i="3"/>
  <c r="Q388" i="3"/>
  <c r="J388" i="3"/>
  <c r="I388" i="3"/>
  <c r="P388" i="3"/>
  <c r="M388" i="3"/>
  <c r="P468" i="3"/>
  <c r="R468" i="3"/>
  <c r="Q468" i="3"/>
  <c r="I468" i="3"/>
  <c r="L468" i="3"/>
  <c r="N468" i="3"/>
  <c r="O468" i="3"/>
  <c r="K468" i="3"/>
  <c r="M468" i="3"/>
  <c r="J468" i="3"/>
  <c r="O279" i="3"/>
  <c r="N279" i="3"/>
  <c r="J279" i="3"/>
  <c r="L279" i="3"/>
  <c r="M279" i="3"/>
  <c r="R279" i="3"/>
  <c r="P279" i="3"/>
  <c r="K279" i="3"/>
  <c r="I279" i="3"/>
  <c r="Q279" i="3"/>
  <c r="O311" i="3"/>
  <c r="R311" i="3"/>
  <c r="P311" i="3"/>
  <c r="N311" i="3"/>
  <c r="Q311" i="3"/>
  <c r="K311" i="3"/>
  <c r="M311" i="3"/>
  <c r="I311" i="3"/>
  <c r="J311" i="3"/>
  <c r="L311" i="3"/>
  <c r="O343" i="3"/>
  <c r="N343" i="3"/>
  <c r="K343" i="3"/>
  <c r="J343" i="3"/>
  <c r="Q343" i="3"/>
  <c r="M343" i="3"/>
  <c r="I343" i="3"/>
  <c r="S343" i="3" s="1"/>
  <c r="R343" i="3"/>
  <c r="L343" i="3"/>
  <c r="P343" i="3"/>
  <c r="O375" i="3"/>
  <c r="R375" i="3"/>
  <c r="J375" i="3"/>
  <c r="Q375" i="3"/>
  <c r="P375" i="3"/>
  <c r="M375" i="3"/>
  <c r="I375" i="3"/>
  <c r="N375" i="3"/>
  <c r="K375" i="3"/>
  <c r="L375" i="3"/>
  <c r="N420" i="3"/>
  <c r="Q420" i="3"/>
  <c r="I420" i="3"/>
  <c r="S420" i="3" s="1"/>
  <c r="J420" i="3"/>
  <c r="K420" i="3"/>
  <c r="P420" i="3"/>
  <c r="R420" i="3"/>
  <c r="O420" i="3"/>
  <c r="M420" i="3"/>
  <c r="L420" i="3"/>
  <c r="K421" i="3"/>
  <c r="M421" i="3"/>
  <c r="I421" i="3"/>
  <c r="L421" i="3"/>
  <c r="P421" i="3"/>
  <c r="Q421" i="3"/>
  <c r="O421" i="3"/>
  <c r="J421" i="3"/>
  <c r="R421" i="3"/>
  <c r="N421" i="3"/>
  <c r="K453" i="3"/>
  <c r="P453" i="3"/>
  <c r="Q453" i="3"/>
  <c r="J453" i="3"/>
  <c r="R453" i="3"/>
  <c r="L453" i="3"/>
  <c r="M453" i="3"/>
  <c r="O453" i="3"/>
  <c r="N453" i="3"/>
  <c r="I453" i="3"/>
  <c r="K485" i="3"/>
  <c r="P485" i="3"/>
  <c r="M485" i="3"/>
  <c r="R485" i="3"/>
  <c r="J485" i="3"/>
  <c r="Q485" i="3"/>
  <c r="I485" i="3"/>
  <c r="L485" i="3"/>
  <c r="O485" i="3"/>
  <c r="N485" i="3"/>
  <c r="M517" i="3"/>
  <c r="K517" i="3"/>
  <c r="R517" i="3"/>
  <c r="J517" i="3"/>
  <c r="P517" i="3"/>
  <c r="L517" i="3"/>
  <c r="O517" i="3"/>
  <c r="I517" i="3"/>
  <c r="Q517" i="3"/>
  <c r="N517" i="3"/>
  <c r="L427" i="3"/>
  <c r="P427" i="3"/>
  <c r="Q427" i="3"/>
  <c r="I427" i="3"/>
  <c r="K427" i="3"/>
  <c r="M427" i="3"/>
  <c r="J427" i="3"/>
  <c r="N427" i="3"/>
  <c r="R427" i="3"/>
  <c r="O427" i="3"/>
  <c r="M459" i="3"/>
  <c r="J459" i="3"/>
  <c r="N459" i="3"/>
  <c r="K459" i="3"/>
  <c r="Q459" i="3"/>
  <c r="L459" i="3"/>
  <c r="O459" i="3"/>
  <c r="I459" i="3"/>
  <c r="R459" i="3"/>
  <c r="P459" i="3"/>
  <c r="J491" i="3"/>
  <c r="L491" i="3"/>
  <c r="Q491" i="3"/>
  <c r="P491" i="3"/>
  <c r="I491" i="3"/>
  <c r="S491" i="3" s="1"/>
  <c r="N491" i="3"/>
  <c r="K491" i="3"/>
  <c r="O491" i="3"/>
  <c r="M491" i="3"/>
  <c r="R491" i="3"/>
  <c r="I523" i="3"/>
  <c r="J523" i="3"/>
  <c r="Q523" i="3"/>
  <c r="N523" i="3"/>
  <c r="M523" i="3"/>
  <c r="K523" i="3"/>
  <c r="L523" i="3"/>
  <c r="P523" i="3"/>
  <c r="R523" i="3"/>
  <c r="O523" i="3"/>
  <c r="O430" i="3"/>
  <c r="I430" i="3"/>
  <c r="M430" i="3"/>
  <c r="J430" i="3"/>
  <c r="K430" i="3"/>
  <c r="R430" i="3"/>
  <c r="N430" i="3"/>
  <c r="L430" i="3"/>
  <c r="P430" i="3"/>
  <c r="Q430" i="3"/>
  <c r="I462" i="3"/>
  <c r="J462" i="3"/>
  <c r="K462" i="3"/>
  <c r="M462" i="3"/>
  <c r="P462" i="3"/>
  <c r="O462" i="3"/>
  <c r="N462" i="3"/>
  <c r="R462" i="3"/>
  <c r="L462" i="3"/>
  <c r="Q462" i="3"/>
  <c r="O494" i="3"/>
  <c r="I494" i="3"/>
  <c r="K494" i="3"/>
  <c r="M494" i="3"/>
  <c r="R494" i="3"/>
  <c r="J494" i="3"/>
  <c r="N494" i="3"/>
  <c r="P494" i="3"/>
  <c r="Q494" i="3"/>
  <c r="L494" i="3"/>
  <c r="O526" i="3"/>
  <c r="I526" i="3"/>
  <c r="N526" i="3"/>
  <c r="M526" i="3"/>
  <c r="K526" i="3"/>
  <c r="R526" i="3"/>
  <c r="P526" i="3"/>
  <c r="J526" i="3"/>
  <c r="L526" i="3"/>
  <c r="Q526" i="3"/>
  <c r="N1107" i="3"/>
  <c r="M1107" i="3"/>
  <c r="K1107" i="3"/>
  <c r="L1107" i="3"/>
  <c r="Q1107" i="3"/>
  <c r="I1107" i="3"/>
  <c r="J1107" i="3"/>
  <c r="O1107" i="3"/>
  <c r="R1107" i="3"/>
  <c r="P1107" i="3"/>
  <c r="O946" i="3"/>
  <c r="Q946" i="3"/>
  <c r="I946" i="3"/>
  <c r="P946" i="3"/>
  <c r="J946" i="3"/>
  <c r="N946" i="3"/>
  <c r="M946" i="3"/>
  <c r="L946" i="3"/>
  <c r="K946" i="3"/>
  <c r="R946" i="3"/>
  <c r="M969" i="3"/>
  <c r="K969" i="3"/>
  <c r="R969" i="3"/>
  <c r="O969" i="3"/>
  <c r="P969" i="3"/>
  <c r="N969" i="3"/>
  <c r="J969" i="3"/>
  <c r="Q969" i="3"/>
  <c r="L969" i="3"/>
  <c r="I969" i="3"/>
  <c r="M1001" i="3"/>
  <c r="K1001" i="3"/>
  <c r="N1001" i="3"/>
  <c r="O1001" i="3"/>
  <c r="J1001" i="3"/>
  <c r="L1001" i="3"/>
  <c r="R1001" i="3"/>
  <c r="Q1001" i="3"/>
  <c r="P1001" i="3"/>
  <c r="I1001" i="3"/>
  <c r="J1033" i="3"/>
  <c r="M1033" i="3"/>
  <c r="L1033" i="3"/>
  <c r="K1033" i="3"/>
  <c r="O1033" i="3"/>
  <c r="P1033" i="3"/>
  <c r="N1033" i="3"/>
  <c r="R1033" i="3"/>
  <c r="Q1033" i="3"/>
  <c r="I1033" i="3"/>
  <c r="J1065" i="3"/>
  <c r="M1065" i="3"/>
  <c r="L1065" i="3"/>
  <c r="O1065" i="3"/>
  <c r="R1065" i="3"/>
  <c r="N1065" i="3"/>
  <c r="P1065" i="3"/>
  <c r="K1065" i="3"/>
  <c r="Q1065" i="3"/>
  <c r="I1065" i="3"/>
  <c r="J1097" i="3"/>
  <c r="M1097" i="3"/>
  <c r="K1097" i="3"/>
  <c r="L1097" i="3"/>
  <c r="O1097" i="3"/>
  <c r="N1097" i="3"/>
  <c r="R1097" i="3"/>
  <c r="Q1097" i="3"/>
  <c r="P1097" i="3"/>
  <c r="I1097" i="3"/>
  <c r="K976" i="3"/>
  <c r="Q976" i="3"/>
  <c r="I976" i="3"/>
  <c r="S976" i="3" s="1"/>
  <c r="L976" i="3"/>
  <c r="J976" i="3"/>
  <c r="O976" i="3"/>
  <c r="P976" i="3"/>
  <c r="M976" i="3"/>
  <c r="N976" i="3"/>
  <c r="R976" i="3"/>
  <c r="K1008" i="3"/>
  <c r="Q1008" i="3"/>
  <c r="I1008" i="3"/>
  <c r="P1008" i="3"/>
  <c r="N1008" i="3"/>
  <c r="R1008" i="3"/>
  <c r="O1008" i="3"/>
  <c r="L1008" i="3"/>
  <c r="M1008" i="3"/>
  <c r="J1008" i="3"/>
  <c r="K1040" i="3"/>
  <c r="Q1040" i="3"/>
  <c r="I1040" i="3"/>
  <c r="R1040" i="3"/>
  <c r="J1040" i="3"/>
  <c r="N1040" i="3"/>
  <c r="L1040" i="3"/>
  <c r="O1040" i="3"/>
  <c r="P1040" i="3"/>
  <c r="M1040" i="3"/>
  <c r="K1072" i="3"/>
  <c r="Q1072" i="3"/>
  <c r="I1072" i="3"/>
  <c r="R1072" i="3"/>
  <c r="J1072" i="3"/>
  <c r="L1072" i="3"/>
  <c r="N1072" i="3"/>
  <c r="O1072" i="3"/>
  <c r="P1072" i="3"/>
  <c r="M1072" i="3"/>
  <c r="Q1127" i="3"/>
  <c r="N1127" i="3"/>
  <c r="I1127" i="3"/>
  <c r="S1127" i="3" s="1"/>
  <c r="J1127" i="3"/>
  <c r="K1127" i="3"/>
  <c r="M1127" i="3"/>
  <c r="L1127" i="3"/>
  <c r="O1127" i="3"/>
  <c r="R1127" i="3"/>
  <c r="P1127" i="3"/>
  <c r="Q979" i="3"/>
  <c r="I979" i="3"/>
  <c r="O979" i="3"/>
  <c r="K979" i="3"/>
  <c r="J979" i="3"/>
  <c r="R979" i="3"/>
  <c r="N979" i="3"/>
  <c r="L979" i="3"/>
  <c r="M979" i="3"/>
  <c r="P979" i="3"/>
  <c r="Q1011" i="3"/>
  <c r="I1011" i="3"/>
  <c r="O1011" i="3"/>
  <c r="J1011" i="3"/>
  <c r="R1011" i="3"/>
  <c r="L1011" i="3"/>
  <c r="K1011" i="3"/>
  <c r="N1011" i="3"/>
  <c r="P1011" i="3"/>
  <c r="M1011" i="3"/>
  <c r="P1043" i="3"/>
  <c r="Q1043" i="3"/>
  <c r="I1043" i="3"/>
  <c r="O1043" i="3"/>
  <c r="L1043" i="3"/>
  <c r="K1043" i="3"/>
  <c r="N1043" i="3"/>
  <c r="R1043" i="3"/>
  <c r="M1043" i="3"/>
  <c r="J1043" i="3"/>
  <c r="P1075" i="3"/>
  <c r="Q1075" i="3"/>
  <c r="I1075" i="3"/>
  <c r="S1075" i="3" s="1"/>
  <c r="O1075" i="3"/>
  <c r="K1075" i="3"/>
  <c r="N1075" i="3"/>
  <c r="L1075" i="3"/>
  <c r="R1075" i="3"/>
  <c r="M1075" i="3"/>
  <c r="J1075" i="3"/>
  <c r="M1119" i="3"/>
  <c r="P1119" i="3"/>
  <c r="Q1119" i="3"/>
  <c r="I1119" i="3"/>
  <c r="K1119" i="3"/>
  <c r="J1119" i="3"/>
  <c r="O1119" i="3"/>
  <c r="R1119" i="3"/>
  <c r="N1119" i="3"/>
  <c r="L1119" i="3"/>
  <c r="O978" i="3"/>
  <c r="M978" i="3"/>
  <c r="N978" i="3"/>
  <c r="K978" i="3"/>
  <c r="Q978" i="3"/>
  <c r="I978" i="3"/>
  <c r="R978" i="3"/>
  <c r="P978" i="3"/>
  <c r="L978" i="3"/>
  <c r="J978" i="3"/>
  <c r="O1010" i="3"/>
  <c r="M1010" i="3"/>
  <c r="R1010" i="3"/>
  <c r="K1010" i="3"/>
  <c r="P1010" i="3"/>
  <c r="Q1010" i="3"/>
  <c r="L1010" i="3"/>
  <c r="J1010" i="3"/>
  <c r="I1010" i="3"/>
  <c r="N1010" i="3"/>
  <c r="N1042" i="3"/>
  <c r="O1042" i="3"/>
  <c r="M1042" i="3"/>
  <c r="P1042" i="3"/>
  <c r="K1042" i="3"/>
  <c r="Q1042" i="3"/>
  <c r="L1042" i="3"/>
  <c r="I1042" i="3"/>
  <c r="R1042" i="3"/>
  <c r="J1042" i="3"/>
  <c r="N1074" i="3"/>
  <c r="O1074" i="3"/>
  <c r="L1074" i="3"/>
  <c r="M1074" i="3"/>
  <c r="P1074" i="3"/>
  <c r="R1074" i="3"/>
  <c r="K1074" i="3"/>
  <c r="Q1074" i="3"/>
  <c r="I1074" i="3"/>
  <c r="S1074" i="3" s="1"/>
  <c r="J1074" i="3"/>
  <c r="R1131" i="3"/>
  <c r="Q1131" i="3"/>
  <c r="L1131" i="3"/>
  <c r="I1131" i="3"/>
  <c r="N1131" i="3"/>
  <c r="K1131" i="3"/>
  <c r="P1131" i="3"/>
  <c r="M1131" i="3"/>
  <c r="O1131" i="3"/>
  <c r="J1131" i="3"/>
  <c r="Q1163" i="3"/>
  <c r="R1163" i="3"/>
  <c r="I1163" i="3"/>
  <c r="K1163" i="3"/>
  <c r="J1163" i="3"/>
  <c r="N1163" i="3"/>
  <c r="M1163" i="3"/>
  <c r="L1163" i="3"/>
  <c r="O1163" i="3"/>
  <c r="P1163" i="3"/>
  <c r="K1114" i="3"/>
  <c r="N1114" i="3"/>
  <c r="P1114" i="3"/>
  <c r="O1114" i="3"/>
  <c r="Q1114" i="3"/>
  <c r="I1114" i="3"/>
  <c r="M1114" i="3"/>
  <c r="R1114" i="3"/>
  <c r="L1114" i="3"/>
  <c r="J1114" i="3"/>
  <c r="K1146" i="3"/>
  <c r="M1146" i="3"/>
  <c r="P1146" i="3"/>
  <c r="L1146" i="3"/>
  <c r="N1146" i="3"/>
  <c r="R1146" i="3"/>
  <c r="O1146" i="3"/>
  <c r="J1146" i="3"/>
  <c r="Q1146" i="3"/>
  <c r="I1146" i="3"/>
  <c r="Q1113" i="3"/>
  <c r="P1113" i="3"/>
  <c r="I1113" i="3"/>
  <c r="R1113" i="3"/>
  <c r="M1113" i="3"/>
  <c r="N1113" i="3"/>
  <c r="O1113" i="3"/>
  <c r="J1113" i="3"/>
  <c r="L1113" i="3"/>
  <c r="K1113" i="3"/>
  <c r="Q1145" i="3"/>
  <c r="I1145" i="3"/>
  <c r="N1145" i="3"/>
  <c r="K1145" i="3"/>
  <c r="R1145" i="3"/>
  <c r="J1145" i="3"/>
  <c r="M1145" i="3"/>
  <c r="P1145" i="3"/>
  <c r="O1145" i="3"/>
  <c r="L1145" i="3"/>
  <c r="K1174" i="3"/>
  <c r="M1174" i="3"/>
  <c r="Q1174" i="3"/>
  <c r="N1174" i="3"/>
  <c r="R1174" i="3"/>
  <c r="P1174" i="3"/>
  <c r="I1174" i="3"/>
  <c r="O1174" i="3"/>
  <c r="J1174" i="3"/>
  <c r="L1174" i="3"/>
  <c r="M1112" i="3"/>
  <c r="Q1112" i="3"/>
  <c r="N1112" i="3"/>
  <c r="O1112" i="3"/>
  <c r="R1112" i="3"/>
  <c r="P1112" i="3"/>
  <c r="K1112" i="3"/>
  <c r="L1112" i="3"/>
  <c r="I1112" i="3"/>
  <c r="S1112" i="3" s="1"/>
  <c r="J1112" i="3"/>
  <c r="M1144" i="3"/>
  <c r="O1144" i="3"/>
  <c r="Q1144" i="3"/>
  <c r="I1144" i="3"/>
  <c r="P1144" i="3"/>
  <c r="N1144" i="3"/>
  <c r="K1144" i="3"/>
  <c r="R1144" i="3"/>
  <c r="J1144" i="3"/>
  <c r="L1144" i="3"/>
  <c r="O1186" i="3"/>
  <c r="N1186" i="3"/>
  <c r="Q1186" i="3"/>
  <c r="R1186" i="3"/>
  <c r="I1186" i="3"/>
  <c r="S1186" i="3" s="1"/>
  <c r="J1186" i="3"/>
  <c r="L1186" i="3"/>
  <c r="P1186" i="3"/>
  <c r="M1186" i="3"/>
  <c r="K1186" i="3"/>
  <c r="R1210" i="3"/>
  <c r="N1210" i="3"/>
  <c r="K1210" i="3"/>
  <c r="J1210" i="3"/>
  <c r="M1210" i="3"/>
  <c r="O1210" i="3"/>
  <c r="L1210" i="3"/>
  <c r="P1210" i="3"/>
  <c r="Q1210" i="3"/>
  <c r="I1210" i="3"/>
  <c r="K1185" i="3"/>
  <c r="R1185" i="3"/>
  <c r="Q1185" i="3"/>
  <c r="L1185" i="3"/>
  <c r="J1185" i="3"/>
  <c r="O1185" i="3"/>
  <c r="M1185" i="3"/>
  <c r="N1185" i="3"/>
  <c r="P1185" i="3"/>
  <c r="I1185" i="3"/>
  <c r="I1217" i="3"/>
  <c r="M1217" i="3"/>
  <c r="L1217" i="3"/>
  <c r="N1217" i="3"/>
  <c r="K1217" i="3"/>
  <c r="P1217" i="3"/>
  <c r="R1217" i="3"/>
  <c r="O1217" i="3"/>
  <c r="J1217" i="3"/>
  <c r="Q1217" i="3"/>
  <c r="L1200" i="3"/>
  <c r="P1200" i="3"/>
  <c r="O1200" i="3"/>
  <c r="Q1200" i="3"/>
  <c r="K1200" i="3"/>
  <c r="I1200" i="3"/>
  <c r="M1200" i="3"/>
  <c r="R1200" i="3"/>
  <c r="J1200" i="3"/>
  <c r="N1200" i="3"/>
  <c r="N1229" i="3"/>
  <c r="L1229" i="3"/>
  <c r="R1229" i="3"/>
  <c r="P1229" i="3"/>
  <c r="O1229" i="3"/>
  <c r="J1229" i="3"/>
  <c r="M1229" i="3"/>
  <c r="K1229" i="3"/>
  <c r="Q1229" i="3"/>
  <c r="I1229" i="3"/>
  <c r="O1191" i="3"/>
  <c r="I1191" i="3"/>
  <c r="N1191" i="3"/>
  <c r="K1191" i="3"/>
  <c r="R1191" i="3"/>
  <c r="P1191" i="3"/>
  <c r="L1191" i="3"/>
  <c r="M1191" i="3"/>
  <c r="J1191" i="3"/>
  <c r="Q1191" i="3"/>
  <c r="O1223" i="3"/>
  <c r="I1223" i="3"/>
  <c r="L1223" i="3"/>
  <c r="P1223" i="3"/>
  <c r="K1223" i="3"/>
  <c r="J1223" i="3"/>
  <c r="N1223" i="3"/>
  <c r="M1223" i="3"/>
  <c r="Q1223" i="3"/>
  <c r="R1223" i="3"/>
  <c r="P1244" i="3"/>
  <c r="L1244" i="3"/>
  <c r="R1244" i="3"/>
  <c r="K1244" i="3"/>
  <c r="Q1244" i="3"/>
  <c r="J1244" i="3"/>
  <c r="N1244" i="3"/>
  <c r="I1244" i="3"/>
  <c r="O1244" i="3"/>
  <c r="M1244" i="3"/>
  <c r="P1276" i="3"/>
  <c r="R1276" i="3"/>
  <c r="L1276" i="3"/>
  <c r="J1276" i="3"/>
  <c r="N1276" i="3"/>
  <c r="K1276" i="3"/>
  <c r="Q1276" i="3"/>
  <c r="M1276" i="3"/>
  <c r="I1276" i="3"/>
  <c r="O1276" i="3"/>
  <c r="O1312" i="3"/>
  <c r="K1312" i="3"/>
  <c r="N1312" i="3"/>
  <c r="P1312" i="3"/>
  <c r="Q1312" i="3"/>
  <c r="R1312" i="3"/>
  <c r="I1312" i="3"/>
  <c r="J1312" i="3"/>
  <c r="M1312" i="3"/>
  <c r="L1312" i="3"/>
  <c r="J1255" i="3"/>
  <c r="L1255" i="3"/>
  <c r="P1255" i="3"/>
  <c r="Q1255" i="3"/>
  <c r="I1255" i="3"/>
  <c r="O1255" i="3"/>
  <c r="M1255" i="3"/>
  <c r="K1255" i="3"/>
  <c r="R1255" i="3"/>
  <c r="N1255" i="3"/>
  <c r="R1324" i="3"/>
  <c r="J1324" i="3"/>
  <c r="Q1324" i="3"/>
  <c r="M1324" i="3"/>
  <c r="I1324" i="3"/>
  <c r="S1324" i="3" s="1"/>
  <c r="L1324" i="3"/>
  <c r="N1324" i="3"/>
  <c r="O1324" i="3"/>
  <c r="K1324" i="3"/>
  <c r="P1324" i="3"/>
  <c r="Q1234" i="3"/>
  <c r="N1234" i="3"/>
  <c r="O1234" i="3"/>
  <c r="M1234" i="3"/>
  <c r="L1234" i="3"/>
  <c r="K1234" i="3"/>
  <c r="J1234" i="3"/>
  <c r="I1234" i="3"/>
  <c r="R1234" i="3"/>
  <c r="P1234" i="3"/>
  <c r="N1266" i="3"/>
  <c r="J1266" i="3"/>
  <c r="P1266" i="3"/>
  <c r="O1266" i="3"/>
  <c r="M1266" i="3"/>
  <c r="Q1266" i="3"/>
  <c r="K1266" i="3"/>
  <c r="I1266" i="3"/>
  <c r="L1266" i="3"/>
  <c r="R1266" i="3"/>
  <c r="I1304" i="3"/>
  <c r="L1304" i="3"/>
  <c r="M1304" i="3"/>
  <c r="K1304" i="3"/>
  <c r="O1304" i="3"/>
  <c r="J1304" i="3"/>
  <c r="R1304" i="3"/>
  <c r="Q1304" i="3"/>
  <c r="P1304" i="3"/>
  <c r="N1304" i="3"/>
  <c r="O1281" i="3"/>
  <c r="I1281" i="3"/>
  <c r="P1281" i="3"/>
  <c r="R1281" i="3"/>
  <c r="J1281" i="3"/>
  <c r="M1281" i="3"/>
  <c r="L1281" i="3"/>
  <c r="N1281" i="3"/>
  <c r="K1281" i="3"/>
  <c r="Q1281" i="3"/>
  <c r="Q1307" i="3"/>
  <c r="M1307" i="3"/>
  <c r="I1307" i="3"/>
  <c r="S1307" i="3" s="1"/>
  <c r="P1307" i="3"/>
  <c r="K1307" i="3"/>
  <c r="O1307" i="3"/>
  <c r="R1307" i="3"/>
  <c r="N1307" i="3"/>
  <c r="L1307" i="3"/>
  <c r="J1307" i="3"/>
  <c r="Q1339" i="3"/>
  <c r="I1339" i="3"/>
  <c r="M1339" i="3"/>
  <c r="O1339" i="3"/>
  <c r="L1339" i="3"/>
  <c r="P1339" i="3"/>
  <c r="K1339" i="3"/>
  <c r="J1339" i="3"/>
  <c r="R1339" i="3"/>
  <c r="N1339" i="3"/>
  <c r="I1310" i="3"/>
  <c r="K1310" i="3"/>
  <c r="R1310" i="3"/>
  <c r="P1310" i="3"/>
  <c r="J1310" i="3"/>
  <c r="L1310" i="3"/>
  <c r="O1310" i="3"/>
  <c r="N1310" i="3"/>
  <c r="M1310" i="3"/>
  <c r="Q1310" i="3"/>
  <c r="J1342" i="3"/>
  <c r="P1342" i="3"/>
  <c r="I1342" i="3"/>
  <c r="N1342" i="3"/>
  <c r="L1342" i="3"/>
  <c r="O1342" i="3"/>
  <c r="Q1342" i="3"/>
  <c r="M1342" i="3"/>
  <c r="K1342" i="3"/>
  <c r="R1342" i="3"/>
  <c r="M232" i="2"/>
  <c r="L232" i="2"/>
  <c r="N131" i="2"/>
  <c r="U131" i="2"/>
  <c r="R244" i="2"/>
  <c r="F1183" i="3"/>
  <c r="F1186" i="3"/>
  <c r="F1180" i="3"/>
  <c r="F1178" i="3"/>
  <c r="F1176" i="3"/>
  <c r="F1185" i="3"/>
  <c r="F1182" i="3"/>
  <c r="F1187" i="3"/>
  <c r="F1184" i="3"/>
  <c r="F1177" i="3"/>
  <c r="F1179" i="3"/>
  <c r="F1181" i="3"/>
  <c r="F370" i="3"/>
  <c r="F366" i="3"/>
  <c r="F362" i="3"/>
  <c r="F371" i="3"/>
  <c r="F367" i="3"/>
  <c r="F363" i="3"/>
  <c r="F369" i="3"/>
  <c r="F365" i="3"/>
  <c r="F361" i="3"/>
  <c r="F368" i="3"/>
  <c r="F360" i="3"/>
  <c r="F364" i="3"/>
  <c r="F1437" i="3"/>
  <c r="F1433" i="3"/>
  <c r="F1429" i="3"/>
  <c r="F1438" i="3"/>
  <c r="F1439" i="3"/>
  <c r="F1430" i="3"/>
  <c r="F1436" i="3"/>
  <c r="F1428" i="3"/>
  <c r="F1435" i="3"/>
  <c r="F1434" i="3"/>
  <c r="F1432" i="3"/>
  <c r="F1431" i="3"/>
  <c r="F623" i="3"/>
  <c r="F619" i="3"/>
  <c r="F615" i="3"/>
  <c r="F622" i="3"/>
  <c r="F618" i="3"/>
  <c r="F614" i="3"/>
  <c r="F620" i="3"/>
  <c r="F616" i="3"/>
  <c r="F612" i="3"/>
  <c r="F613" i="3"/>
  <c r="F617" i="3"/>
  <c r="F621" i="3"/>
  <c r="F1751" i="3"/>
  <c r="F1743" i="3"/>
  <c r="F1741" i="3"/>
  <c r="F1748" i="3"/>
  <c r="F1746" i="3"/>
  <c r="F1744" i="3"/>
  <c r="F1742" i="3"/>
  <c r="F1740" i="3"/>
  <c r="F1749" i="3"/>
  <c r="F1747" i="3"/>
  <c r="F1745" i="3"/>
  <c r="F1750" i="3"/>
  <c r="F934" i="3"/>
  <c r="F930" i="3"/>
  <c r="F926" i="3"/>
  <c r="F935" i="3"/>
  <c r="F931" i="3"/>
  <c r="F927" i="3"/>
  <c r="F933" i="3"/>
  <c r="F929" i="3"/>
  <c r="F925" i="3"/>
  <c r="F924" i="3"/>
  <c r="F932" i="3"/>
  <c r="F928" i="3"/>
  <c r="F1547" i="3"/>
  <c r="F1544" i="3"/>
  <c r="F1540" i="3"/>
  <c r="F1536" i="3"/>
  <c r="F1546" i="3"/>
  <c r="F1538" i="3"/>
  <c r="F1545" i="3"/>
  <c r="F1543" i="3"/>
  <c r="F1537" i="3"/>
  <c r="F1541" i="3"/>
  <c r="F1542" i="3"/>
  <c r="F1539" i="3"/>
  <c r="F722" i="3"/>
  <c r="F731" i="3"/>
  <c r="F721" i="3"/>
  <c r="F720" i="3"/>
  <c r="F730" i="3"/>
  <c r="F727" i="3"/>
  <c r="F725" i="3"/>
  <c r="F724" i="3"/>
  <c r="F723" i="3"/>
  <c r="F728" i="3"/>
  <c r="F729" i="3"/>
  <c r="F726" i="3"/>
  <c r="F1473" i="3"/>
  <c r="F1469" i="3"/>
  <c r="F1465" i="3"/>
  <c r="F1474" i="3"/>
  <c r="F1470" i="3"/>
  <c r="F1466" i="3"/>
  <c r="F1475" i="3"/>
  <c r="F1471" i="3"/>
  <c r="F1467" i="3"/>
  <c r="F1472" i="3"/>
  <c r="F1468" i="3"/>
  <c r="F1464" i="3"/>
  <c r="F659" i="3"/>
  <c r="F655" i="3"/>
  <c r="F651" i="3"/>
  <c r="F658" i="3"/>
  <c r="F654" i="3"/>
  <c r="F650" i="3"/>
  <c r="F656" i="3"/>
  <c r="F652" i="3"/>
  <c r="F648" i="3"/>
  <c r="F649" i="3"/>
  <c r="F657" i="3"/>
  <c r="F653" i="3"/>
  <c r="M181" i="2"/>
  <c r="L181" i="2"/>
  <c r="Q536" i="3"/>
  <c r="K536" i="3"/>
  <c r="M536" i="3"/>
  <c r="R536" i="3"/>
  <c r="P536" i="3"/>
  <c r="O536" i="3"/>
  <c r="I536" i="3"/>
  <c r="N536" i="3"/>
  <c r="J536" i="3"/>
  <c r="L536" i="3"/>
  <c r="Q684" i="3"/>
  <c r="L684" i="3"/>
  <c r="I684" i="3"/>
  <c r="N684" i="3"/>
  <c r="M684" i="3"/>
  <c r="K684" i="3"/>
  <c r="P684" i="3"/>
  <c r="R684" i="3"/>
  <c r="J684" i="3"/>
  <c r="O684" i="3"/>
  <c r="K701" i="3"/>
  <c r="I701" i="3"/>
  <c r="M701" i="3"/>
  <c r="R701" i="3"/>
  <c r="J701" i="3"/>
  <c r="N701" i="3"/>
  <c r="Q701" i="3"/>
  <c r="P701" i="3"/>
  <c r="L701" i="3"/>
  <c r="O701" i="3"/>
  <c r="K717" i="3"/>
  <c r="Q717" i="3"/>
  <c r="R717" i="3"/>
  <c r="I717" i="3"/>
  <c r="M717" i="3"/>
  <c r="J717" i="3"/>
  <c r="P717" i="3"/>
  <c r="L717" i="3"/>
  <c r="O717" i="3"/>
  <c r="N717" i="3"/>
  <c r="I550" i="3"/>
  <c r="R550" i="3"/>
  <c r="M550" i="3"/>
  <c r="Q550" i="3"/>
  <c r="K550" i="3"/>
  <c r="J550" i="3"/>
  <c r="O550" i="3"/>
  <c r="N550" i="3"/>
  <c r="P550" i="3"/>
  <c r="L550" i="3"/>
  <c r="L793" i="3"/>
  <c r="K793" i="3"/>
  <c r="J793" i="3"/>
  <c r="O793" i="3"/>
  <c r="N793" i="3"/>
  <c r="Q793" i="3"/>
  <c r="I793" i="3"/>
  <c r="M793" i="3"/>
  <c r="P793" i="3"/>
  <c r="R793" i="3"/>
  <c r="O586" i="3"/>
  <c r="Q586" i="3"/>
  <c r="I586" i="3"/>
  <c r="M586" i="3"/>
  <c r="J586" i="3"/>
  <c r="P586" i="3"/>
  <c r="K586" i="3"/>
  <c r="L586" i="3"/>
  <c r="N586" i="3"/>
  <c r="R586" i="3"/>
  <c r="O618" i="3"/>
  <c r="Q618" i="3"/>
  <c r="L618" i="3"/>
  <c r="I618" i="3"/>
  <c r="J618" i="3"/>
  <c r="M618" i="3"/>
  <c r="K618" i="3"/>
  <c r="R618" i="3"/>
  <c r="P618" i="3"/>
  <c r="N618" i="3"/>
  <c r="O650" i="3"/>
  <c r="Q650" i="3"/>
  <c r="L650" i="3"/>
  <c r="I650" i="3"/>
  <c r="S650" i="3" s="1"/>
  <c r="J650" i="3"/>
  <c r="M650" i="3"/>
  <c r="N650" i="3"/>
  <c r="R650" i="3"/>
  <c r="K650" i="3"/>
  <c r="P650" i="3"/>
  <c r="K541" i="3"/>
  <c r="P541" i="3"/>
  <c r="I541" i="3"/>
  <c r="Q541" i="3"/>
  <c r="R541" i="3"/>
  <c r="O541" i="3"/>
  <c r="M541" i="3"/>
  <c r="L541" i="3"/>
  <c r="J541" i="3"/>
  <c r="N541" i="3"/>
  <c r="Q573" i="3"/>
  <c r="K573" i="3"/>
  <c r="I573" i="3"/>
  <c r="M573" i="3"/>
  <c r="R573" i="3"/>
  <c r="O573" i="3"/>
  <c r="N573" i="3"/>
  <c r="J573" i="3"/>
  <c r="P573" i="3"/>
  <c r="L573" i="3"/>
  <c r="Q605" i="3"/>
  <c r="K605" i="3"/>
  <c r="I605" i="3"/>
  <c r="R605" i="3"/>
  <c r="J605" i="3"/>
  <c r="M605" i="3"/>
  <c r="O605" i="3"/>
  <c r="P605" i="3"/>
  <c r="N605" i="3"/>
  <c r="L605" i="3"/>
  <c r="Q637" i="3"/>
  <c r="K637" i="3"/>
  <c r="I637" i="3"/>
  <c r="R637" i="3"/>
  <c r="J637" i="3"/>
  <c r="M637" i="3"/>
  <c r="P637" i="3"/>
  <c r="N637" i="3"/>
  <c r="L637" i="3"/>
  <c r="O637" i="3"/>
  <c r="Q669" i="3"/>
  <c r="K669" i="3"/>
  <c r="I669" i="3"/>
  <c r="R669" i="3"/>
  <c r="J669" i="3"/>
  <c r="M669" i="3"/>
  <c r="P669" i="3"/>
  <c r="N669" i="3"/>
  <c r="O669" i="3"/>
  <c r="L669" i="3"/>
  <c r="Q572" i="3"/>
  <c r="O572" i="3"/>
  <c r="I572" i="3"/>
  <c r="M572" i="3"/>
  <c r="L572" i="3"/>
  <c r="N572" i="3"/>
  <c r="J572" i="3"/>
  <c r="R572" i="3"/>
  <c r="K572" i="3"/>
  <c r="P572" i="3"/>
  <c r="J604" i="3"/>
  <c r="Q604" i="3"/>
  <c r="O604" i="3"/>
  <c r="I604" i="3"/>
  <c r="P604" i="3"/>
  <c r="M604" i="3"/>
  <c r="L604" i="3"/>
  <c r="K604" i="3"/>
  <c r="R604" i="3"/>
  <c r="N604" i="3"/>
  <c r="J636" i="3"/>
  <c r="Q636" i="3"/>
  <c r="O636" i="3"/>
  <c r="I636" i="3"/>
  <c r="S636" i="3" s="1"/>
  <c r="P636" i="3"/>
  <c r="M636" i="3"/>
  <c r="K636" i="3"/>
  <c r="L636" i="3"/>
  <c r="R636" i="3"/>
  <c r="N636" i="3"/>
  <c r="J668" i="3"/>
  <c r="Q668" i="3"/>
  <c r="O668" i="3"/>
  <c r="I668" i="3"/>
  <c r="P668" i="3"/>
  <c r="R668" i="3"/>
  <c r="K668" i="3"/>
  <c r="L668" i="3"/>
  <c r="M668" i="3"/>
  <c r="N668" i="3"/>
  <c r="I692" i="3"/>
  <c r="K692" i="3"/>
  <c r="R692" i="3"/>
  <c r="P692" i="3"/>
  <c r="L692" i="3"/>
  <c r="Q692" i="3"/>
  <c r="O692" i="3"/>
  <c r="M692" i="3"/>
  <c r="N692" i="3"/>
  <c r="J692" i="3"/>
  <c r="O547" i="3"/>
  <c r="Q547" i="3"/>
  <c r="K547" i="3"/>
  <c r="N547" i="3"/>
  <c r="M547" i="3"/>
  <c r="P547" i="3"/>
  <c r="J547" i="3"/>
  <c r="R547" i="3"/>
  <c r="I547" i="3"/>
  <c r="L547" i="3"/>
  <c r="M579" i="3"/>
  <c r="O579" i="3"/>
  <c r="N579" i="3"/>
  <c r="Q579" i="3"/>
  <c r="I579" i="3"/>
  <c r="K579" i="3"/>
  <c r="J579" i="3"/>
  <c r="L579" i="3"/>
  <c r="P579" i="3"/>
  <c r="R579" i="3"/>
  <c r="M611" i="3"/>
  <c r="O611" i="3"/>
  <c r="Q611" i="3"/>
  <c r="N611" i="3"/>
  <c r="I611" i="3"/>
  <c r="K611" i="3"/>
  <c r="L611" i="3"/>
  <c r="P611" i="3"/>
  <c r="R611" i="3"/>
  <c r="J611" i="3"/>
  <c r="M643" i="3"/>
  <c r="O643" i="3"/>
  <c r="Q643" i="3"/>
  <c r="N643" i="3"/>
  <c r="I643" i="3"/>
  <c r="K643" i="3"/>
  <c r="L643" i="3"/>
  <c r="P643" i="3"/>
  <c r="J643" i="3"/>
  <c r="R643" i="3"/>
  <c r="R721" i="3"/>
  <c r="P721" i="3"/>
  <c r="K721" i="3"/>
  <c r="Q721" i="3"/>
  <c r="J721" i="3"/>
  <c r="I721" i="3"/>
  <c r="S721" i="3" s="1"/>
  <c r="M721" i="3"/>
  <c r="N721" i="3"/>
  <c r="O721" i="3"/>
  <c r="L721" i="3"/>
  <c r="M690" i="3"/>
  <c r="J690" i="3"/>
  <c r="Q690" i="3"/>
  <c r="K690" i="3"/>
  <c r="O690" i="3"/>
  <c r="P690" i="3"/>
  <c r="N690" i="3"/>
  <c r="L690" i="3"/>
  <c r="R690" i="3"/>
  <c r="I690" i="3"/>
  <c r="Q722" i="3"/>
  <c r="M722" i="3"/>
  <c r="P722" i="3"/>
  <c r="K722" i="3"/>
  <c r="R722" i="3"/>
  <c r="I722" i="3"/>
  <c r="O722" i="3"/>
  <c r="N722" i="3"/>
  <c r="L722" i="3"/>
  <c r="J722" i="3"/>
  <c r="L754" i="3"/>
  <c r="M754" i="3"/>
  <c r="K754" i="3"/>
  <c r="N754" i="3"/>
  <c r="O754" i="3"/>
  <c r="Q754" i="3"/>
  <c r="R754" i="3"/>
  <c r="I754" i="3"/>
  <c r="S754" i="3" s="1"/>
  <c r="J754" i="3"/>
  <c r="P754" i="3"/>
  <c r="L786" i="3"/>
  <c r="M786" i="3"/>
  <c r="K786" i="3"/>
  <c r="N786" i="3"/>
  <c r="O786" i="3"/>
  <c r="R786" i="3"/>
  <c r="Q786" i="3"/>
  <c r="J786" i="3"/>
  <c r="P786" i="3"/>
  <c r="I786" i="3"/>
  <c r="L897" i="3"/>
  <c r="K897" i="3"/>
  <c r="Q897" i="3"/>
  <c r="I897" i="3"/>
  <c r="S897" i="3" s="1"/>
  <c r="M897" i="3"/>
  <c r="P897" i="3"/>
  <c r="O897" i="3"/>
  <c r="N897" i="3"/>
  <c r="R897" i="3"/>
  <c r="J897" i="3"/>
  <c r="R720" i="3"/>
  <c r="Q720" i="3"/>
  <c r="L720" i="3"/>
  <c r="J720" i="3"/>
  <c r="I720" i="3"/>
  <c r="O720" i="3"/>
  <c r="K720" i="3"/>
  <c r="P720" i="3"/>
  <c r="N720" i="3"/>
  <c r="M720" i="3"/>
  <c r="N752" i="3"/>
  <c r="L752" i="3"/>
  <c r="P752" i="3"/>
  <c r="Q752" i="3"/>
  <c r="M752" i="3"/>
  <c r="R752" i="3"/>
  <c r="I752" i="3"/>
  <c r="O752" i="3"/>
  <c r="J752" i="3"/>
  <c r="K752" i="3"/>
  <c r="N784" i="3"/>
  <c r="L784" i="3"/>
  <c r="P784" i="3"/>
  <c r="Q784" i="3"/>
  <c r="R784" i="3"/>
  <c r="I784" i="3"/>
  <c r="S784" i="3" s="1"/>
  <c r="O784" i="3"/>
  <c r="J784" i="3"/>
  <c r="K784" i="3"/>
  <c r="M784" i="3"/>
  <c r="O917" i="3"/>
  <c r="K917" i="3"/>
  <c r="Q917" i="3"/>
  <c r="I917" i="3"/>
  <c r="S917" i="3" s="1"/>
  <c r="M917" i="3"/>
  <c r="R917" i="3"/>
  <c r="J917" i="3"/>
  <c r="N917" i="3"/>
  <c r="L917" i="3"/>
  <c r="P917" i="3"/>
  <c r="O691" i="3"/>
  <c r="Q691" i="3"/>
  <c r="I691" i="3"/>
  <c r="L691" i="3"/>
  <c r="K691" i="3"/>
  <c r="J691" i="3"/>
  <c r="N691" i="3"/>
  <c r="P691" i="3"/>
  <c r="R691" i="3"/>
  <c r="M691" i="3"/>
  <c r="O723" i="3"/>
  <c r="M723" i="3"/>
  <c r="N723" i="3"/>
  <c r="Q723" i="3"/>
  <c r="R723" i="3"/>
  <c r="I723" i="3"/>
  <c r="K723" i="3"/>
  <c r="J723" i="3"/>
  <c r="P723" i="3"/>
  <c r="L723" i="3"/>
  <c r="O755" i="3"/>
  <c r="M755" i="3"/>
  <c r="Q755" i="3"/>
  <c r="P755" i="3"/>
  <c r="I755" i="3"/>
  <c r="K755" i="3"/>
  <c r="L755" i="3"/>
  <c r="R755" i="3"/>
  <c r="J755" i="3"/>
  <c r="N755" i="3"/>
  <c r="N787" i="3"/>
  <c r="O787" i="3"/>
  <c r="M787" i="3"/>
  <c r="Q787" i="3"/>
  <c r="P787" i="3"/>
  <c r="I787" i="3"/>
  <c r="L787" i="3"/>
  <c r="R787" i="3"/>
  <c r="J787" i="3"/>
  <c r="K787" i="3"/>
  <c r="R841" i="3"/>
  <c r="O841" i="3"/>
  <c r="P841" i="3"/>
  <c r="K841" i="3"/>
  <c r="Q841" i="3"/>
  <c r="I841" i="3"/>
  <c r="M841" i="3"/>
  <c r="J841" i="3"/>
  <c r="L841" i="3"/>
  <c r="N841" i="3"/>
  <c r="I812" i="3"/>
  <c r="O812" i="3"/>
  <c r="N812" i="3"/>
  <c r="L812" i="3"/>
  <c r="K812" i="3"/>
  <c r="M812" i="3"/>
  <c r="R812" i="3"/>
  <c r="P812" i="3"/>
  <c r="J812" i="3"/>
  <c r="Q812" i="3"/>
  <c r="I844" i="3"/>
  <c r="O844" i="3"/>
  <c r="M844" i="3"/>
  <c r="K844" i="3"/>
  <c r="P844" i="3"/>
  <c r="J844" i="3"/>
  <c r="Q844" i="3"/>
  <c r="N844" i="3"/>
  <c r="L844" i="3"/>
  <c r="R844" i="3"/>
  <c r="I876" i="3"/>
  <c r="O876" i="3"/>
  <c r="P876" i="3"/>
  <c r="K876" i="3"/>
  <c r="J876" i="3"/>
  <c r="N876" i="3"/>
  <c r="L876" i="3"/>
  <c r="M876" i="3"/>
  <c r="R876" i="3"/>
  <c r="Q876" i="3"/>
  <c r="I908" i="3"/>
  <c r="O908" i="3"/>
  <c r="L908" i="3"/>
  <c r="K908" i="3"/>
  <c r="R908" i="3"/>
  <c r="M908" i="3"/>
  <c r="J908" i="3"/>
  <c r="P908" i="3"/>
  <c r="N908" i="3"/>
  <c r="Q908" i="3"/>
  <c r="L799" i="3"/>
  <c r="O799" i="3"/>
  <c r="M799" i="3"/>
  <c r="R799" i="3"/>
  <c r="N799" i="3"/>
  <c r="Q799" i="3"/>
  <c r="P799" i="3"/>
  <c r="I799" i="3"/>
  <c r="S799" i="3" s="1"/>
  <c r="K799" i="3"/>
  <c r="J799" i="3"/>
  <c r="R831" i="3"/>
  <c r="N831" i="3"/>
  <c r="K831" i="3"/>
  <c r="O831" i="3"/>
  <c r="M831" i="3"/>
  <c r="P831" i="3"/>
  <c r="Q831" i="3"/>
  <c r="I831" i="3"/>
  <c r="J831" i="3"/>
  <c r="L831" i="3"/>
  <c r="R863" i="3"/>
  <c r="P863" i="3"/>
  <c r="O863" i="3"/>
  <c r="M863" i="3"/>
  <c r="J863" i="3"/>
  <c r="Q863" i="3"/>
  <c r="L863" i="3"/>
  <c r="I863" i="3"/>
  <c r="K863" i="3"/>
  <c r="N863" i="3"/>
  <c r="R895" i="3"/>
  <c r="J895" i="3"/>
  <c r="P895" i="3"/>
  <c r="O895" i="3"/>
  <c r="M895" i="3"/>
  <c r="K895" i="3"/>
  <c r="Q895" i="3"/>
  <c r="I895" i="3"/>
  <c r="N895" i="3"/>
  <c r="L895" i="3"/>
  <c r="R927" i="3"/>
  <c r="J927" i="3"/>
  <c r="P927" i="3"/>
  <c r="O927" i="3"/>
  <c r="M927" i="3"/>
  <c r="L927" i="3"/>
  <c r="K927" i="3"/>
  <c r="Q927" i="3"/>
  <c r="I927" i="3"/>
  <c r="N927" i="3"/>
  <c r="J814" i="3"/>
  <c r="N814" i="3"/>
  <c r="M814" i="3"/>
  <c r="K814" i="3"/>
  <c r="Q814" i="3"/>
  <c r="O814" i="3"/>
  <c r="L814" i="3"/>
  <c r="I814" i="3"/>
  <c r="P814" i="3"/>
  <c r="R814" i="3"/>
  <c r="N846" i="3"/>
  <c r="Q846" i="3"/>
  <c r="M846" i="3"/>
  <c r="K846" i="3"/>
  <c r="L846" i="3"/>
  <c r="I846" i="3"/>
  <c r="J846" i="3"/>
  <c r="P846" i="3"/>
  <c r="O846" i="3"/>
  <c r="R846" i="3"/>
  <c r="Q878" i="3"/>
  <c r="L878" i="3"/>
  <c r="I878" i="3"/>
  <c r="M878" i="3"/>
  <c r="J878" i="3"/>
  <c r="P878" i="3"/>
  <c r="R878" i="3"/>
  <c r="K878" i="3"/>
  <c r="N878" i="3"/>
  <c r="O878" i="3"/>
  <c r="N910" i="3"/>
  <c r="J910" i="3"/>
  <c r="Q910" i="3"/>
  <c r="M910" i="3"/>
  <c r="I910" i="3"/>
  <c r="K910" i="3"/>
  <c r="L910" i="3"/>
  <c r="O910" i="3"/>
  <c r="P910" i="3"/>
  <c r="R910" i="3"/>
  <c r="R1348" i="3"/>
  <c r="P1348" i="3"/>
  <c r="N1348" i="3"/>
  <c r="O1348" i="3"/>
  <c r="K1348" i="3"/>
  <c r="M1348" i="3"/>
  <c r="Q1348" i="3"/>
  <c r="I1348" i="3"/>
  <c r="L1348" i="3"/>
  <c r="J1348" i="3"/>
  <c r="O1366" i="3"/>
  <c r="L1366" i="3"/>
  <c r="N1366" i="3"/>
  <c r="R1366" i="3"/>
  <c r="Q1366" i="3"/>
  <c r="M1366" i="3"/>
  <c r="J1366" i="3"/>
  <c r="I1366" i="3"/>
  <c r="K1366" i="3"/>
  <c r="P1366" i="3"/>
  <c r="N1356" i="3"/>
  <c r="M1356" i="3"/>
  <c r="Q1356" i="3"/>
  <c r="K1356" i="3"/>
  <c r="I1356" i="3"/>
  <c r="J1356" i="3"/>
  <c r="P1356" i="3"/>
  <c r="L1356" i="3"/>
  <c r="R1356" i="3"/>
  <c r="O1356" i="3"/>
  <c r="Q1378" i="3"/>
  <c r="M1378" i="3"/>
  <c r="O1378" i="3"/>
  <c r="I1378" i="3"/>
  <c r="N1378" i="3"/>
  <c r="K1378" i="3"/>
  <c r="R1378" i="3"/>
  <c r="P1378" i="3"/>
  <c r="J1378" i="3"/>
  <c r="L1378" i="3"/>
  <c r="N1351" i="3"/>
  <c r="P1351" i="3"/>
  <c r="K1351" i="3"/>
  <c r="O1351" i="3"/>
  <c r="L1351" i="3"/>
  <c r="R1351" i="3"/>
  <c r="M1351" i="3"/>
  <c r="J1351" i="3"/>
  <c r="I1351" i="3"/>
  <c r="Q1351" i="3"/>
  <c r="Q1383" i="3"/>
  <c r="K1383" i="3"/>
  <c r="O1383" i="3"/>
  <c r="R1383" i="3"/>
  <c r="P1383" i="3"/>
  <c r="L1383" i="3"/>
  <c r="J1383" i="3"/>
  <c r="N1383" i="3"/>
  <c r="I1383" i="3"/>
  <c r="M1383" i="3"/>
  <c r="I1409" i="3"/>
  <c r="P1409" i="3"/>
  <c r="O1409" i="3"/>
  <c r="N1409" i="3"/>
  <c r="K1409" i="3"/>
  <c r="J1409" i="3"/>
  <c r="Q1409" i="3"/>
  <c r="M1409" i="3"/>
  <c r="L1409" i="3"/>
  <c r="R1409" i="3"/>
  <c r="P1413" i="3"/>
  <c r="Q1413" i="3"/>
  <c r="I1413" i="3"/>
  <c r="R1413" i="3"/>
  <c r="J1413" i="3"/>
  <c r="O1413" i="3"/>
  <c r="M1413" i="3"/>
  <c r="N1413" i="3"/>
  <c r="L1413" i="3"/>
  <c r="K1413" i="3"/>
  <c r="O1373" i="3"/>
  <c r="K1373" i="3"/>
  <c r="I1373" i="3"/>
  <c r="N1373" i="3"/>
  <c r="P1373" i="3"/>
  <c r="Q1373" i="3"/>
  <c r="R1373" i="3"/>
  <c r="L1373" i="3"/>
  <c r="M1373" i="3"/>
  <c r="J1373" i="3"/>
  <c r="N1429" i="3"/>
  <c r="Q1429" i="3"/>
  <c r="P1429" i="3"/>
  <c r="I1429" i="3"/>
  <c r="S1429" i="3" s="1"/>
  <c r="R1429" i="3"/>
  <c r="O1429" i="3"/>
  <c r="L1429" i="3"/>
  <c r="M1429" i="3"/>
  <c r="J1429" i="3"/>
  <c r="K1429" i="3"/>
  <c r="Q1412" i="3"/>
  <c r="I1412" i="3"/>
  <c r="J1412" i="3"/>
  <c r="O1412" i="3"/>
  <c r="K1412" i="3"/>
  <c r="N1412" i="3"/>
  <c r="P1412" i="3"/>
  <c r="M1412" i="3"/>
  <c r="L1412" i="3"/>
  <c r="R1412" i="3"/>
  <c r="R1444" i="3"/>
  <c r="Q1444" i="3"/>
  <c r="P1444" i="3"/>
  <c r="J1444" i="3"/>
  <c r="I1444" i="3"/>
  <c r="O1444" i="3"/>
  <c r="K1444" i="3"/>
  <c r="N1444" i="3"/>
  <c r="M1444" i="3"/>
  <c r="L1444" i="3"/>
  <c r="R1476" i="3"/>
  <c r="Q1476" i="3"/>
  <c r="P1476" i="3"/>
  <c r="J1476" i="3"/>
  <c r="I1476" i="3"/>
  <c r="O1476" i="3"/>
  <c r="K1476" i="3"/>
  <c r="N1476" i="3"/>
  <c r="M1476" i="3"/>
  <c r="L1476" i="3"/>
  <c r="P1427" i="3"/>
  <c r="N1427" i="3"/>
  <c r="O1427" i="3"/>
  <c r="R1427" i="3"/>
  <c r="J1427" i="3"/>
  <c r="M1427" i="3"/>
  <c r="K1427" i="3"/>
  <c r="Q1427" i="3"/>
  <c r="I1427" i="3"/>
  <c r="L1427" i="3"/>
  <c r="N1459" i="3"/>
  <c r="O1459" i="3"/>
  <c r="R1459" i="3"/>
  <c r="J1459" i="3"/>
  <c r="M1459" i="3"/>
  <c r="Q1459" i="3"/>
  <c r="L1459" i="3"/>
  <c r="I1459" i="3"/>
  <c r="P1459" i="3"/>
  <c r="K1459" i="3"/>
  <c r="M1484" i="3"/>
  <c r="K1484" i="3"/>
  <c r="R1484" i="3"/>
  <c r="Q1484" i="3"/>
  <c r="O1484" i="3"/>
  <c r="N1484" i="3"/>
  <c r="L1484" i="3"/>
  <c r="J1484" i="3"/>
  <c r="I1484" i="3"/>
  <c r="P1484" i="3"/>
  <c r="L1466" i="3"/>
  <c r="K1466" i="3"/>
  <c r="P1466" i="3"/>
  <c r="O1466" i="3"/>
  <c r="Q1466" i="3"/>
  <c r="J1466" i="3"/>
  <c r="I1466" i="3"/>
  <c r="N1466" i="3"/>
  <c r="R1466" i="3"/>
  <c r="M1466" i="3"/>
  <c r="R1445" i="3"/>
  <c r="Q1445" i="3"/>
  <c r="M1445" i="3"/>
  <c r="I1445" i="3"/>
  <c r="S1445" i="3" s="1"/>
  <c r="J1445" i="3"/>
  <c r="O1445" i="3"/>
  <c r="P1445" i="3"/>
  <c r="N1445" i="3"/>
  <c r="L1445" i="3"/>
  <c r="K1445" i="3"/>
  <c r="R1477" i="3"/>
  <c r="Q1477" i="3"/>
  <c r="M1477" i="3"/>
  <c r="I1477" i="3"/>
  <c r="J1477" i="3"/>
  <c r="O1477" i="3"/>
  <c r="P1477" i="3"/>
  <c r="N1477" i="3"/>
  <c r="L1477" i="3"/>
  <c r="K1477" i="3"/>
  <c r="L1613" i="3"/>
  <c r="M1613" i="3"/>
  <c r="J1613" i="3"/>
  <c r="O1613" i="3"/>
  <c r="Q1613" i="3"/>
  <c r="I1613" i="3"/>
  <c r="K1613" i="3"/>
  <c r="P1613" i="3"/>
  <c r="R1613" i="3"/>
  <c r="N1613" i="3"/>
  <c r="Q1480" i="3"/>
  <c r="I1480" i="3"/>
  <c r="O1480" i="3"/>
  <c r="P1480" i="3"/>
  <c r="K1480" i="3"/>
  <c r="M1480" i="3"/>
  <c r="L1480" i="3"/>
  <c r="N1480" i="3"/>
  <c r="J1480" i="3"/>
  <c r="R1480" i="3"/>
  <c r="L1588" i="3"/>
  <c r="O1588" i="3"/>
  <c r="P1588" i="3"/>
  <c r="R1588" i="3"/>
  <c r="Q1588" i="3"/>
  <c r="M1588" i="3"/>
  <c r="J1588" i="3"/>
  <c r="I1588" i="3"/>
  <c r="N1588" i="3"/>
  <c r="K1588" i="3"/>
  <c r="K1527" i="3"/>
  <c r="M1527" i="3"/>
  <c r="Q1527" i="3"/>
  <c r="I1527" i="3"/>
  <c r="P1527" i="3"/>
  <c r="J1527" i="3"/>
  <c r="R1527" i="3"/>
  <c r="N1527" i="3"/>
  <c r="L1527" i="3"/>
  <c r="O1527" i="3"/>
  <c r="N1626" i="3"/>
  <c r="K1626" i="3"/>
  <c r="I1626" i="3"/>
  <c r="M1626" i="3"/>
  <c r="P1626" i="3"/>
  <c r="Q1626" i="3"/>
  <c r="R1626" i="3"/>
  <c r="J1626" i="3"/>
  <c r="O1626" i="3"/>
  <c r="L1626" i="3"/>
  <c r="Q1506" i="3"/>
  <c r="I1506" i="3"/>
  <c r="O1506" i="3"/>
  <c r="R1506" i="3"/>
  <c r="P1506" i="3"/>
  <c r="J1506" i="3"/>
  <c r="M1506" i="3"/>
  <c r="K1506" i="3"/>
  <c r="N1506" i="3"/>
  <c r="L1506" i="3"/>
  <c r="R1538" i="3"/>
  <c r="Q1538" i="3"/>
  <c r="J1538" i="3"/>
  <c r="I1538" i="3"/>
  <c r="S1538" i="3" s="1"/>
  <c r="P1538" i="3"/>
  <c r="O1538" i="3"/>
  <c r="N1538" i="3"/>
  <c r="L1538" i="3"/>
  <c r="M1538" i="3"/>
  <c r="K1538" i="3"/>
  <c r="P1594" i="3"/>
  <c r="M1594" i="3"/>
  <c r="Q1594" i="3"/>
  <c r="I1594" i="3"/>
  <c r="N1594" i="3"/>
  <c r="K1594" i="3"/>
  <c r="R1594" i="3"/>
  <c r="J1594" i="3"/>
  <c r="L1594" i="3"/>
  <c r="O1594" i="3"/>
  <c r="O1505" i="3"/>
  <c r="M1505" i="3"/>
  <c r="P1505" i="3"/>
  <c r="I1505" i="3"/>
  <c r="K1505" i="3"/>
  <c r="L1505" i="3"/>
  <c r="R1505" i="3"/>
  <c r="Q1505" i="3"/>
  <c r="N1505" i="3"/>
  <c r="J1505" i="3"/>
  <c r="P1537" i="3"/>
  <c r="O1537" i="3"/>
  <c r="M1537" i="3"/>
  <c r="K1537" i="3"/>
  <c r="I1537" i="3"/>
  <c r="R1537" i="3"/>
  <c r="Q1537" i="3"/>
  <c r="J1537" i="3"/>
  <c r="L1537" i="3"/>
  <c r="N1537" i="3"/>
  <c r="K1543" i="3"/>
  <c r="N1543" i="3"/>
  <c r="I1543" i="3"/>
  <c r="R1543" i="3"/>
  <c r="P1543" i="3"/>
  <c r="O1543" i="3"/>
  <c r="L1543" i="3"/>
  <c r="J1543" i="3"/>
  <c r="M1543" i="3"/>
  <c r="Q1543" i="3"/>
  <c r="K1575" i="3"/>
  <c r="R1575" i="3"/>
  <c r="P1575" i="3"/>
  <c r="M1575" i="3"/>
  <c r="L1575" i="3"/>
  <c r="O1575" i="3"/>
  <c r="Q1575" i="3"/>
  <c r="N1575" i="3"/>
  <c r="I1575" i="3"/>
  <c r="J1575" i="3"/>
  <c r="K1606" i="3"/>
  <c r="M1606" i="3"/>
  <c r="O1606" i="3"/>
  <c r="J1606" i="3"/>
  <c r="Q1606" i="3"/>
  <c r="L1606" i="3"/>
  <c r="R1606" i="3"/>
  <c r="P1606" i="3"/>
  <c r="N1606" i="3"/>
  <c r="I1606" i="3"/>
  <c r="O1654" i="3"/>
  <c r="R1654" i="3"/>
  <c r="N1654" i="3"/>
  <c r="M1654" i="3"/>
  <c r="P1654" i="3"/>
  <c r="J1654" i="3"/>
  <c r="L1654" i="3"/>
  <c r="Q1654" i="3"/>
  <c r="I1654" i="3"/>
  <c r="K1654" i="3"/>
  <c r="K1569" i="3"/>
  <c r="O1569" i="3"/>
  <c r="N1569" i="3"/>
  <c r="Q1569" i="3"/>
  <c r="M1569" i="3"/>
  <c r="P1569" i="3"/>
  <c r="J1569" i="3"/>
  <c r="R1569" i="3"/>
  <c r="L1569" i="3"/>
  <c r="I1569" i="3"/>
  <c r="Q1605" i="3"/>
  <c r="K1605" i="3"/>
  <c r="O1605" i="3"/>
  <c r="L1605" i="3"/>
  <c r="P1605" i="3"/>
  <c r="R1605" i="3"/>
  <c r="M1605" i="3"/>
  <c r="J1605" i="3"/>
  <c r="I1605" i="3"/>
  <c r="N1605" i="3"/>
  <c r="R1637" i="3"/>
  <c r="I1637" i="3"/>
  <c r="L1637" i="3"/>
  <c r="N1637" i="3"/>
  <c r="Q1637" i="3"/>
  <c r="K1637" i="3"/>
  <c r="M1637" i="3"/>
  <c r="J1637" i="3"/>
  <c r="P1637" i="3"/>
  <c r="O1637" i="3"/>
  <c r="R1656" i="3"/>
  <c r="Q1656" i="3"/>
  <c r="N1656" i="3"/>
  <c r="J1656" i="3"/>
  <c r="I1656" i="3"/>
  <c r="O1656" i="3"/>
  <c r="L1656" i="3"/>
  <c r="P1656" i="3"/>
  <c r="M1656" i="3"/>
  <c r="K1656" i="3"/>
  <c r="N1620" i="3"/>
  <c r="P1620" i="3"/>
  <c r="J1620" i="3"/>
  <c r="O1620" i="3"/>
  <c r="K1620" i="3"/>
  <c r="Q1620" i="3"/>
  <c r="M1620" i="3"/>
  <c r="I1620" i="3"/>
  <c r="R1620" i="3"/>
  <c r="L1620" i="3"/>
  <c r="M1611" i="3"/>
  <c r="L1611" i="3"/>
  <c r="N1611" i="3"/>
  <c r="O1611" i="3"/>
  <c r="R1611" i="3"/>
  <c r="I1611" i="3"/>
  <c r="Q1611" i="3"/>
  <c r="P1611" i="3"/>
  <c r="K1611" i="3"/>
  <c r="J1611" i="3"/>
  <c r="P1652" i="3"/>
  <c r="N1652" i="3"/>
  <c r="O1652" i="3"/>
  <c r="K1652" i="3"/>
  <c r="R1652" i="3"/>
  <c r="J1652" i="3"/>
  <c r="Q1652" i="3"/>
  <c r="M1652" i="3"/>
  <c r="I1652" i="3"/>
  <c r="L1652" i="3"/>
  <c r="I1673" i="3"/>
  <c r="M1673" i="3"/>
  <c r="K1673" i="3"/>
  <c r="R1673" i="3"/>
  <c r="N1673" i="3"/>
  <c r="J1673" i="3"/>
  <c r="Q1673" i="3"/>
  <c r="L1673" i="3"/>
  <c r="P1673" i="3"/>
  <c r="O1673" i="3"/>
  <c r="Q1639" i="3"/>
  <c r="K1639" i="3"/>
  <c r="N1639" i="3"/>
  <c r="O1639" i="3"/>
  <c r="L1639" i="3"/>
  <c r="J1639" i="3"/>
  <c r="P1639" i="3"/>
  <c r="M1639" i="3"/>
  <c r="R1639" i="3"/>
  <c r="I1639" i="3"/>
  <c r="N1667" i="3"/>
  <c r="M1667" i="3"/>
  <c r="Q1667" i="3"/>
  <c r="O1667" i="3"/>
  <c r="I1667" i="3"/>
  <c r="P1667" i="3"/>
  <c r="K1667" i="3"/>
  <c r="L1667" i="3"/>
  <c r="R1667" i="3"/>
  <c r="J1667" i="3"/>
  <c r="Q1696" i="3"/>
  <c r="I1696" i="3"/>
  <c r="O1696" i="3"/>
  <c r="M1696" i="3"/>
  <c r="R1696" i="3"/>
  <c r="P1696" i="3"/>
  <c r="L1696" i="3"/>
  <c r="K1696" i="3"/>
  <c r="N1696" i="3"/>
  <c r="J1696" i="3"/>
  <c r="N1690" i="3"/>
  <c r="M1690" i="3"/>
  <c r="R1690" i="3"/>
  <c r="O1690" i="3"/>
  <c r="Q1690" i="3"/>
  <c r="J1690" i="3"/>
  <c r="I1690" i="3"/>
  <c r="L1690" i="3"/>
  <c r="P1690" i="3"/>
  <c r="K1690" i="3"/>
  <c r="Q1698" i="3"/>
  <c r="K1698" i="3"/>
  <c r="J1698" i="3"/>
  <c r="I1698" i="3"/>
  <c r="S1698" i="3" s="1"/>
  <c r="L1698" i="3"/>
  <c r="P1698" i="3"/>
  <c r="O1698" i="3"/>
  <c r="M1698" i="3"/>
  <c r="R1698" i="3"/>
  <c r="N1698" i="3"/>
  <c r="K1715" i="3"/>
  <c r="P1715" i="3"/>
  <c r="O1715" i="3"/>
  <c r="Q1715" i="3"/>
  <c r="J1715" i="3"/>
  <c r="M1715" i="3"/>
  <c r="N1715" i="3"/>
  <c r="R1715" i="3"/>
  <c r="I1715" i="3"/>
  <c r="L1715" i="3"/>
  <c r="K1725" i="3"/>
  <c r="R1725" i="3"/>
  <c r="O1725" i="3"/>
  <c r="M1725" i="3"/>
  <c r="L1725" i="3"/>
  <c r="J1725" i="3"/>
  <c r="N1725" i="3"/>
  <c r="Q1725" i="3"/>
  <c r="P1725" i="3"/>
  <c r="I1725" i="3"/>
  <c r="J1699" i="3"/>
  <c r="Q1699" i="3"/>
  <c r="I1699" i="3"/>
  <c r="P1699" i="3"/>
  <c r="O1699" i="3"/>
  <c r="N1699" i="3"/>
  <c r="K1699" i="3"/>
  <c r="M1699" i="3"/>
  <c r="R1699" i="3"/>
  <c r="L1699" i="3"/>
  <c r="R1704" i="3"/>
  <c r="P1704" i="3"/>
  <c r="I1704" i="3"/>
  <c r="N1704" i="3"/>
  <c r="M1704" i="3"/>
  <c r="Q1704" i="3"/>
  <c r="K1704" i="3"/>
  <c r="O1704" i="3"/>
  <c r="J1704" i="3"/>
  <c r="L1704" i="3"/>
  <c r="J1736" i="3"/>
  <c r="R1736" i="3"/>
  <c r="P1736" i="3"/>
  <c r="I1736" i="3"/>
  <c r="L1736" i="3"/>
  <c r="Q1736" i="3"/>
  <c r="M1736" i="3"/>
  <c r="O1736" i="3"/>
  <c r="K1736" i="3"/>
  <c r="N1736" i="3"/>
  <c r="F1160" i="3"/>
  <c r="F1156" i="3"/>
  <c r="F1152" i="3"/>
  <c r="F1161" i="3"/>
  <c r="F1157" i="3"/>
  <c r="F1153" i="3"/>
  <c r="F1163" i="3"/>
  <c r="F1159" i="3"/>
  <c r="F1155" i="3"/>
  <c r="F1162" i="3"/>
  <c r="F1158" i="3"/>
  <c r="F1154" i="3"/>
  <c r="F346" i="3"/>
  <c r="F337" i="3"/>
  <c r="F336" i="3"/>
  <c r="F347" i="3"/>
  <c r="F345" i="3"/>
  <c r="F344" i="3"/>
  <c r="F343" i="3"/>
  <c r="F342" i="3"/>
  <c r="F339" i="3"/>
  <c r="F341" i="3"/>
  <c r="F338" i="3"/>
  <c r="F340" i="3"/>
  <c r="F979" i="3"/>
  <c r="F980" i="3"/>
  <c r="F972" i="3"/>
  <c r="F981" i="3"/>
  <c r="F973" i="3"/>
  <c r="F982" i="3"/>
  <c r="F974" i="3"/>
  <c r="F983" i="3"/>
  <c r="F975" i="3"/>
  <c r="F977" i="3"/>
  <c r="F978" i="3"/>
  <c r="F976" i="3"/>
  <c r="F167" i="3"/>
  <c r="F164" i="3"/>
  <c r="F165" i="3"/>
  <c r="F158" i="3"/>
  <c r="F159" i="3"/>
  <c r="F157" i="3"/>
  <c r="F160" i="3"/>
  <c r="F156" i="3"/>
  <c r="F166" i="3"/>
  <c r="F161" i="3"/>
  <c r="F162" i="3"/>
  <c r="F163" i="3"/>
  <c r="F1066" i="3"/>
  <c r="F1062" i="3"/>
  <c r="F1058" i="3"/>
  <c r="F1067" i="3"/>
  <c r="F1063" i="3"/>
  <c r="F1059" i="3"/>
  <c r="F1065" i="3"/>
  <c r="F1061" i="3"/>
  <c r="F1057" i="3"/>
  <c r="F1056" i="3"/>
  <c r="F1060" i="3"/>
  <c r="F1064" i="3"/>
  <c r="F251" i="3"/>
  <c r="F247" i="3"/>
  <c r="F243" i="3"/>
  <c r="F248" i="3"/>
  <c r="F244" i="3"/>
  <c r="F240" i="3"/>
  <c r="F250" i="3"/>
  <c r="F246" i="3"/>
  <c r="F242" i="3"/>
  <c r="F249" i="3"/>
  <c r="F245" i="3"/>
  <c r="F241" i="3"/>
  <c r="C108" i="2"/>
  <c r="AC9" i="2" s="1"/>
  <c r="L117" i="2"/>
  <c r="L235" i="2"/>
  <c r="L187" i="2"/>
  <c r="M172" i="2"/>
  <c r="L172" i="2"/>
  <c r="M111" i="2"/>
  <c r="L111" i="2"/>
  <c r="M160" i="2"/>
  <c r="L160" i="2"/>
  <c r="F1223" i="3"/>
  <c r="F1219" i="3"/>
  <c r="F1215" i="3"/>
  <c r="F1220" i="3"/>
  <c r="F1216" i="3"/>
  <c r="F1212" i="3"/>
  <c r="F1222" i="3"/>
  <c r="F1218" i="3"/>
  <c r="F1214" i="3"/>
  <c r="F1213" i="3"/>
  <c r="F1221" i="3"/>
  <c r="F1217" i="3"/>
  <c r="F406" i="3"/>
  <c r="F402" i="3"/>
  <c r="F398" i="3"/>
  <c r="F403" i="3"/>
  <c r="F399" i="3"/>
  <c r="F405" i="3"/>
  <c r="F401" i="3"/>
  <c r="F397" i="3"/>
  <c r="F407" i="3"/>
  <c r="F404" i="3"/>
  <c r="F400" i="3"/>
  <c r="F396" i="3"/>
  <c r="M121" i="2"/>
  <c r="L121" i="2"/>
  <c r="Q202" i="3"/>
  <c r="I202" i="3"/>
  <c r="K202" i="3"/>
  <c r="R202" i="3"/>
  <c r="J202" i="3"/>
  <c r="O202" i="3"/>
  <c r="M202" i="3"/>
  <c r="L202" i="3"/>
  <c r="P202" i="3"/>
  <c r="N202" i="3"/>
  <c r="O229" i="3"/>
  <c r="Q229" i="3"/>
  <c r="P229" i="3"/>
  <c r="R229" i="3"/>
  <c r="I229" i="3"/>
  <c r="M229" i="3"/>
  <c r="L229" i="3"/>
  <c r="J229" i="3"/>
  <c r="K229" i="3"/>
  <c r="N229" i="3"/>
  <c r="K436" i="3"/>
  <c r="Q436" i="3"/>
  <c r="N436" i="3"/>
  <c r="I436" i="3"/>
  <c r="R436" i="3"/>
  <c r="J436" i="3"/>
  <c r="M436" i="3"/>
  <c r="O436" i="3"/>
  <c r="L436" i="3"/>
  <c r="P436" i="3"/>
  <c r="K401" i="3"/>
  <c r="N401" i="3"/>
  <c r="O401" i="3"/>
  <c r="L401" i="3"/>
  <c r="R401" i="3"/>
  <c r="M401" i="3"/>
  <c r="J401" i="3"/>
  <c r="Q401" i="3"/>
  <c r="P401" i="3"/>
  <c r="I401" i="3"/>
  <c r="K340" i="3"/>
  <c r="L340" i="3"/>
  <c r="O340" i="3"/>
  <c r="J340" i="3"/>
  <c r="Q340" i="3"/>
  <c r="R340" i="3"/>
  <c r="I340" i="3"/>
  <c r="N340" i="3"/>
  <c r="P340" i="3"/>
  <c r="M340" i="3"/>
  <c r="O359" i="3"/>
  <c r="L359" i="3"/>
  <c r="P359" i="3"/>
  <c r="N359" i="3"/>
  <c r="Q359" i="3"/>
  <c r="M359" i="3"/>
  <c r="R359" i="3"/>
  <c r="I359" i="3"/>
  <c r="K359" i="3"/>
  <c r="J359" i="3"/>
  <c r="P475" i="3"/>
  <c r="M475" i="3"/>
  <c r="R475" i="3"/>
  <c r="Q475" i="3"/>
  <c r="K475" i="3"/>
  <c r="J475" i="3"/>
  <c r="L475" i="3"/>
  <c r="I475" i="3"/>
  <c r="S475" i="3" s="1"/>
  <c r="N475" i="3"/>
  <c r="O475" i="3"/>
  <c r="M953" i="3"/>
  <c r="L953" i="3"/>
  <c r="O953" i="3"/>
  <c r="R953" i="3"/>
  <c r="K953" i="3"/>
  <c r="P953" i="3"/>
  <c r="Q953" i="3"/>
  <c r="N953" i="3"/>
  <c r="I953" i="3"/>
  <c r="J953" i="3"/>
  <c r="K1024" i="3"/>
  <c r="R1024" i="3"/>
  <c r="Q1024" i="3"/>
  <c r="J1024" i="3"/>
  <c r="I1024" i="3"/>
  <c r="N1024" i="3"/>
  <c r="O1024" i="3"/>
  <c r="P1024" i="3"/>
  <c r="M1024" i="3"/>
  <c r="L1024" i="3"/>
  <c r="O962" i="3"/>
  <c r="M962" i="3"/>
  <c r="P962" i="3"/>
  <c r="K962" i="3"/>
  <c r="L962" i="3"/>
  <c r="N962" i="3"/>
  <c r="Q962" i="3"/>
  <c r="I962" i="3"/>
  <c r="J962" i="3"/>
  <c r="R962" i="3"/>
  <c r="K1162" i="3"/>
  <c r="R1162" i="3"/>
  <c r="M1162" i="3"/>
  <c r="J1162" i="3"/>
  <c r="O1162" i="3"/>
  <c r="Q1162" i="3"/>
  <c r="P1162" i="3"/>
  <c r="L1162" i="3"/>
  <c r="I1162" i="3"/>
  <c r="N1162" i="3"/>
  <c r="O1175" i="3"/>
  <c r="R1175" i="3"/>
  <c r="L1175" i="3"/>
  <c r="I1175" i="3"/>
  <c r="M1175" i="3"/>
  <c r="K1175" i="3"/>
  <c r="N1175" i="3"/>
  <c r="J1175" i="3"/>
  <c r="Q1175" i="3"/>
  <c r="P1175" i="3"/>
  <c r="Q1291" i="3"/>
  <c r="I1291" i="3"/>
  <c r="M1291" i="3"/>
  <c r="K1291" i="3"/>
  <c r="P1291" i="3"/>
  <c r="O1291" i="3"/>
  <c r="R1291" i="3"/>
  <c r="N1291" i="3"/>
  <c r="L1291" i="3"/>
  <c r="J1291" i="3"/>
  <c r="F1654" i="3"/>
  <c r="F1650" i="3"/>
  <c r="F1646" i="3"/>
  <c r="F1655" i="3"/>
  <c r="F1651" i="3"/>
  <c r="F1653" i="3"/>
  <c r="F1649" i="3"/>
  <c r="F1647" i="3"/>
  <c r="F1652" i="3"/>
  <c r="F1648" i="3"/>
  <c r="F1645" i="3"/>
  <c r="F1644" i="3"/>
  <c r="F831" i="3"/>
  <c r="F830" i="3"/>
  <c r="F839" i="3"/>
  <c r="F829" i="3"/>
  <c r="F828" i="3"/>
  <c r="F838" i="3"/>
  <c r="F837" i="3"/>
  <c r="F836" i="3"/>
  <c r="F834" i="3"/>
  <c r="F833" i="3"/>
  <c r="F832" i="3"/>
  <c r="F835" i="3"/>
  <c r="O693" i="3"/>
  <c r="N693" i="3"/>
  <c r="P693" i="3"/>
  <c r="R693" i="3"/>
  <c r="K693" i="3"/>
  <c r="M693" i="3"/>
  <c r="L693" i="3"/>
  <c r="I693" i="3"/>
  <c r="J693" i="3"/>
  <c r="Q693" i="3"/>
  <c r="J589" i="3"/>
  <c r="Q589" i="3"/>
  <c r="K589" i="3"/>
  <c r="I589" i="3"/>
  <c r="M589" i="3"/>
  <c r="P589" i="3"/>
  <c r="L589" i="3"/>
  <c r="O589" i="3"/>
  <c r="N589" i="3"/>
  <c r="R589" i="3"/>
  <c r="P652" i="3"/>
  <c r="Q652" i="3"/>
  <c r="O652" i="3"/>
  <c r="I652" i="3"/>
  <c r="R652" i="3"/>
  <c r="J652" i="3"/>
  <c r="K652" i="3"/>
  <c r="L652" i="3"/>
  <c r="M652" i="3"/>
  <c r="N652" i="3"/>
  <c r="N659" i="3"/>
  <c r="M659" i="3"/>
  <c r="O659" i="3"/>
  <c r="Q659" i="3"/>
  <c r="I659" i="3"/>
  <c r="P659" i="3"/>
  <c r="K659" i="3"/>
  <c r="L659" i="3"/>
  <c r="J659" i="3"/>
  <c r="R659" i="3"/>
  <c r="Q736" i="3"/>
  <c r="M736" i="3"/>
  <c r="I736" i="3"/>
  <c r="O736" i="3"/>
  <c r="L736" i="3"/>
  <c r="K736" i="3"/>
  <c r="N736" i="3"/>
  <c r="P736" i="3"/>
  <c r="J736" i="3"/>
  <c r="R736" i="3"/>
  <c r="O771" i="3"/>
  <c r="M771" i="3"/>
  <c r="L771" i="3"/>
  <c r="R771" i="3"/>
  <c r="J771" i="3"/>
  <c r="Q771" i="3"/>
  <c r="I771" i="3"/>
  <c r="K771" i="3"/>
  <c r="N771" i="3"/>
  <c r="P771" i="3"/>
  <c r="L815" i="3"/>
  <c r="O815" i="3"/>
  <c r="M815" i="3"/>
  <c r="P815" i="3"/>
  <c r="Q815" i="3"/>
  <c r="R815" i="3"/>
  <c r="I815" i="3"/>
  <c r="K815" i="3"/>
  <c r="J815" i="3"/>
  <c r="N815" i="3"/>
  <c r="L926" i="3"/>
  <c r="P926" i="3"/>
  <c r="R926" i="3"/>
  <c r="Q926" i="3"/>
  <c r="N926" i="3"/>
  <c r="M926" i="3"/>
  <c r="J926" i="3"/>
  <c r="K926" i="3"/>
  <c r="O926" i="3"/>
  <c r="I926" i="3"/>
  <c r="I1390" i="3"/>
  <c r="K1390" i="3"/>
  <c r="O1390" i="3"/>
  <c r="R1390" i="3"/>
  <c r="P1390" i="3"/>
  <c r="N1390" i="3"/>
  <c r="L1390" i="3"/>
  <c r="J1390" i="3"/>
  <c r="Q1390" i="3"/>
  <c r="M1390" i="3"/>
  <c r="J1443" i="3"/>
  <c r="N1443" i="3"/>
  <c r="P1443" i="3"/>
  <c r="O1443" i="3"/>
  <c r="M1443" i="3"/>
  <c r="Q1443" i="3"/>
  <c r="L1443" i="3"/>
  <c r="I1443" i="3"/>
  <c r="S1443" i="3" s="1"/>
  <c r="K1443" i="3"/>
  <c r="R1443" i="3"/>
  <c r="I1507" i="3"/>
  <c r="K1507" i="3"/>
  <c r="O1507" i="3"/>
  <c r="P1507" i="3"/>
  <c r="M1507" i="3"/>
  <c r="N1507" i="3"/>
  <c r="J1507" i="3"/>
  <c r="R1507" i="3"/>
  <c r="L1507" i="3"/>
  <c r="Q1507" i="3"/>
  <c r="O1489" i="3"/>
  <c r="M1489" i="3"/>
  <c r="I1489" i="3"/>
  <c r="R1489" i="3"/>
  <c r="J1489" i="3"/>
  <c r="P1489" i="3"/>
  <c r="L1489" i="3"/>
  <c r="Q1489" i="3"/>
  <c r="N1489" i="3"/>
  <c r="K1489" i="3"/>
  <c r="K1553" i="3"/>
  <c r="R1553" i="3"/>
  <c r="Q1553" i="3"/>
  <c r="O1553" i="3"/>
  <c r="M1553" i="3"/>
  <c r="I1553" i="3"/>
  <c r="J1553" i="3"/>
  <c r="P1553" i="3"/>
  <c r="N1553" i="3"/>
  <c r="L1553" i="3"/>
  <c r="M1627" i="3"/>
  <c r="K1627" i="3"/>
  <c r="P1627" i="3"/>
  <c r="J1627" i="3"/>
  <c r="O1627" i="3"/>
  <c r="L1627" i="3"/>
  <c r="R1627" i="3"/>
  <c r="N1627" i="3"/>
  <c r="Q1627" i="3"/>
  <c r="I1627" i="3"/>
  <c r="P1683" i="3"/>
  <c r="L1683" i="3"/>
  <c r="N1683" i="3"/>
  <c r="Q1683" i="3"/>
  <c r="O1683" i="3"/>
  <c r="I1683" i="3"/>
  <c r="S1683" i="3" s="1"/>
  <c r="R1683" i="3"/>
  <c r="M1683" i="3"/>
  <c r="J1683" i="3"/>
  <c r="K1683" i="3"/>
  <c r="L1751" i="3"/>
  <c r="Q1751" i="3"/>
  <c r="K1751" i="3"/>
  <c r="I1751" i="3"/>
  <c r="S1751" i="3" s="1"/>
  <c r="P1751" i="3"/>
  <c r="O1751" i="3"/>
  <c r="R1751" i="3"/>
  <c r="N1751" i="3"/>
  <c r="J1751" i="3"/>
  <c r="M1751" i="3"/>
  <c r="M217" i="2"/>
  <c r="L217" i="2"/>
  <c r="M200" i="2"/>
  <c r="L200" i="2"/>
  <c r="M243" i="2"/>
  <c r="L243" i="2"/>
  <c r="M192" i="2"/>
  <c r="L192" i="2"/>
  <c r="M205" i="2"/>
  <c r="L205" i="2"/>
  <c r="M145" i="2"/>
  <c r="L145" i="2"/>
  <c r="M154" i="2"/>
  <c r="L154" i="2"/>
  <c r="M169" i="2"/>
  <c r="L169" i="2"/>
  <c r="J122" i="3"/>
  <c r="L122" i="3"/>
  <c r="N122" i="3"/>
  <c r="M122" i="3"/>
  <c r="P122" i="3"/>
  <c r="O122" i="3"/>
  <c r="Q122" i="3"/>
  <c r="I122" i="3"/>
  <c r="K122" i="3"/>
  <c r="R122" i="3"/>
  <c r="N144" i="3"/>
  <c r="M144" i="3"/>
  <c r="L144" i="3"/>
  <c r="Q144" i="3"/>
  <c r="K144" i="3"/>
  <c r="J144" i="3"/>
  <c r="R144" i="3"/>
  <c r="I144" i="3"/>
  <c r="S144" i="3" s="1"/>
  <c r="P144" i="3"/>
  <c r="O144" i="3"/>
  <c r="J128" i="3"/>
  <c r="Q128" i="3"/>
  <c r="I128" i="3"/>
  <c r="N128" i="3"/>
  <c r="R128" i="3"/>
  <c r="M128" i="3"/>
  <c r="L128" i="3"/>
  <c r="K128" i="3"/>
  <c r="P128" i="3"/>
  <c r="O128" i="3"/>
  <c r="O123" i="3"/>
  <c r="N123" i="3"/>
  <c r="P123" i="3"/>
  <c r="M123" i="3"/>
  <c r="R123" i="3"/>
  <c r="K123" i="3"/>
  <c r="J123" i="3"/>
  <c r="I123" i="3"/>
  <c r="L123" i="3"/>
  <c r="Q123" i="3"/>
  <c r="R476" i="3"/>
  <c r="M476" i="3"/>
  <c r="L476" i="3"/>
  <c r="J476" i="3"/>
  <c r="K476" i="3"/>
  <c r="O476" i="3"/>
  <c r="N476" i="3"/>
  <c r="Q476" i="3"/>
  <c r="I476" i="3"/>
  <c r="P476" i="3"/>
  <c r="O158" i="3"/>
  <c r="M158" i="3"/>
  <c r="J158" i="3"/>
  <c r="Q158" i="3"/>
  <c r="I158" i="3"/>
  <c r="K158" i="3"/>
  <c r="N158" i="3"/>
  <c r="R158" i="3"/>
  <c r="P158" i="3"/>
  <c r="L158" i="3"/>
  <c r="O190" i="3"/>
  <c r="M190" i="3"/>
  <c r="R190" i="3"/>
  <c r="J190" i="3"/>
  <c r="Q190" i="3"/>
  <c r="L190" i="3"/>
  <c r="I190" i="3"/>
  <c r="P190" i="3"/>
  <c r="K190" i="3"/>
  <c r="N190" i="3"/>
  <c r="O222" i="3"/>
  <c r="M222" i="3"/>
  <c r="R222" i="3"/>
  <c r="J222" i="3"/>
  <c r="Q222" i="3"/>
  <c r="L222" i="3"/>
  <c r="I222" i="3"/>
  <c r="P222" i="3"/>
  <c r="N222" i="3"/>
  <c r="K222" i="3"/>
  <c r="O254" i="3"/>
  <c r="M254" i="3"/>
  <c r="R254" i="3"/>
  <c r="J254" i="3"/>
  <c r="Q254" i="3"/>
  <c r="L254" i="3"/>
  <c r="I254" i="3"/>
  <c r="P254" i="3"/>
  <c r="K254" i="3"/>
  <c r="N254" i="3"/>
  <c r="M377" i="3"/>
  <c r="L377" i="3"/>
  <c r="Q377" i="3"/>
  <c r="R377" i="3"/>
  <c r="I377" i="3"/>
  <c r="J377" i="3"/>
  <c r="P377" i="3"/>
  <c r="K377" i="3"/>
  <c r="O377" i="3"/>
  <c r="N377" i="3"/>
  <c r="N153" i="3"/>
  <c r="O153" i="3"/>
  <c r="L153" i="3"/>
  <c r="Q153" i="3"/>
  <c r="J153" i="3"/>
  <c r="K153" i="3"/>
  <c r="I153" i="3"/>
  <c r="M153" i="3"/>
  <c r="R153" i="3"/>
  <c r="P153" i="3"/>
  <c r="K185" i="3"/>
  <c r="P185" i="3"/>
  <c r="R185" i="3"/>
  <c r="J185" i="3"/>
  <c r="O185" i="3"/>
  <c r="N185" i="3"/>
  <c r="Q185" i="3"/>
  <c r="L185" i="3"/>
  <c r="I185" i="3"/>
  <c r="M185" i="3"/>
  <c r="K217" i="3"/>
  <c r="P217" i="3"/>
  <c r="R217" i="3"/>
  <c r="J217" i="3"/>
  <c r="O217" i="3"/>
  <c r="N217" i="3"/>
  <c r="Q217" i="3"/>
  <c r="L217" i="3"/>
  <c r="I217" i="3"/>
  <c r="M217" i="3"/>
  <c r="K249" i="3"/>
  <c r="P249" i="3"/>
  <c r="R249" i="3"/>
  <c r="J249" i="3"/>
  <c r="O249" i="3"/>
  <c r="N249" i="3"/>
  <c r="Q249" i="3"/>
  <c r="I249" i="3"/>
  <c r="S249" i="3" s="1"/>
  <c r="M249" i="3"/>
  <c r="L249" i="3"/>
  <c r="Q341" i="3"/>
  <c r="J341" i="3"/>
  <c r="I341" i="3"/>
  <c r="K341" i="3"/>
  <c r="P341" i="3"/>
  <c r="N341" i="3"/>
  <c r="L341" i="3"/>
  <c r="M341" i="3"/>
  <c r="O341" i="3"/>
  <c r="R341" i="3"/>
  <c r="L516" i="3"/>
  <c r="O516" i="3"/>
  <c r="K516" i="3"/>
  <c r="Q516" i="3"/>
  <c r="I516" i="3"/>
  <c r="N516" i="3"/>
  <c r="P516" i="3"/>
  <c r="R516" i="3"/>
  <c r="M516" i="3"/>
  <c r="J516" i="3"/>
  <c r="O184" i="3"/>
  <c r="K184" i="3"/>
  <c r="Q184" i="3"/>
  <c r="I184" i="3"/>
  <c r="N184" i="3"/>
  <c r="P184" i="3"/>
  <c r="M184" i="3"/>
  <c r="L184" i="3"/>
  <c r="J184" i="3"/>
  <c r="R184" i="3"/>
  <c r="O216" i="3"/>
  <c r="K216" i="3"/>
  <c r="Q216" i="3"/>
  <c r="I216" i="3"/>
  <c r="N216" i="3"/>
  <c r="P216" i="3"/>
  <c r="M216" i="3"/>
  <c r="L216" i="3"/>
  <c r="R216" i="3"/>
  <c r="J216" i="3"/>
  <c r="O248" i="3"/>
  <c r="K248" i="3"/>
  <c r="Q248" i="3"/>
  <c r="I248" i="3"/>
  <c r="N248" i="3"/>
  <c r="P248" i="3"/>
  <c r="M248" i="3"/>
  <c r="J248" i="3"/>
  <c r="R248" i="3"/>
  <c r="L248" i="3"/>
  <c r="N333" i="3"/>
  <c r="J333" i="3"/>
  <c r="R333" i="3"/>
  <c r="M333" i="3"/>
  <c r="Q333" i="3"/>
  <c r="I333" i="3"/>
  <c r="P333" i="3"/>
  <c r="K333" i="3"/>
  <c r="O333" i="3"/>
  <c r="L333" i="3"/>
  <c r="P345" i="3"/>
  <c r="J345" i="3"/>
  <c r="M345" i="3"/>
  <c r="Q345" i="3"/>
  <c r="I345" i="3"/>
  <c r="O345" i="3"/>
  <c r="N345" i="3"/>
  <c r="K345" i="3"/>
  <c r="R345" i="3"/>
  <c r="L345" i="3"/>
  <c r="Q179" i="3"/>
  <c r="R179" i="3"/>
  <c r="I179" i="3"/>
  <c r="O179" i="3"/>
  <c r="N179" i="3"/>
  <c r="K179" i="3"/>
  <c r="P179" i="3"/>
  <c r="L179" i="3"/>
  <c r="M179" i="3"/>
  <c r="J179" i="3"/>
  <c r="Q211" i="3"/>
  <c r="R211" i="3"/>
  <c r="I211" i="3"/>
  <c r="O211" i="3"/>
  <c r="L211" i="3"/>
  <c r="N211" i="3"/>
  <c r="K211" i="3"/>
  <c r="P211" i="3"/>
  <c r="M211" i="3"/>
  <c r="J211" i="3"/>
  <c r="Q243" i="3"/>
  <c r="R243" i="3"/>
  <c r="I243" i="3"/>
  <c r="O243" i="3"/>
  <c r="L243" i="3"/>
  <c r="N243" i="3"/>
  <c r="K243" i="3"/>
  <c r="P243" i="3"/>
  <c r="M243" i="3"/>
  <c r="J243" i="3"/>
  <c r="Q293" i="3"/>
  <c r="P293" i="3"/>
  <c r="I293" i="3"/>
  <c r="J293" i="3"/>
  <c r="O293" i="3"/>
  <c r="K293" i="3"/>
  <c r="R293" i="3"/>
  <c r="N293" i="3"/>
  <c r="M293" i="3"/>
  <c r="L293" i="3"/>
  <c r="O298" i="3"/>
  <c r="L298" i="3"/>
  <c r="K298" i="3"/>
  <c r="M298" i="3"/>
  <c r="J298" i="3"/>
  <c r="I298" i="3"/>
  <c r="Q298" i="3"/>
  <c r="N298" i="3"/>
  <c r="R298" i="3"/>
  <c r="P298" i="3"/>
  <c r="O330" i="3"/>
  <c r="K330" i="3"/>
  <c r="J330" i="3"/>
  <c r="M330" i="3"/>
  <c r="I330" i="3"/>
  <c r="Q330" i="3"/>
  <c r="N330" i="3"/>
  <c r="L330" i="3"/>
  <c r="R330" i="3"/>
  <c r="P330" i="3"/>
  <c r="O362" i="3"/>
  <c r="K362" i="3"/>
  <c r="R362" i="3"/>
  <c r="Q362" i="3"/>
  <c r="P362" i="3"/>
  <c r="M362" i="3"/>
  <c r="J362" i="3"/>
  <c r="N362" i="3"/>
  <c r="L362" i="3"/>
  <c r="I362" i="3"/>
  <c r="O394" i="3"/>
  <c r="J394" i="3"/>
  <c r="K394" i="3"/>
  <c r="I394" i="3"/>
  <c r="P394" i="3"/>
  <c r="M394" i="3"/>
  <c r="N394" i="3"/>
  <c r="L394" i="3"/>
  <c r="R394" i="3"/>
  <c r="Q394" i="3"/>
  <c r="K456" i="3"/>
  <c r="M456" i="3"/>
  <c r="O456" i="3"/>
  <c r="Q456" i="3"/>
  <c r="I456" i="3"/>
  <c r="L456" i="3"/>
  <c r="P456" i="3"/>
  <c r="N456" i="3"/>
  <c r="R456" i="3"/>
  <c r="J456" i="3"/>
  <c r="P296" i="3"/>
  <c r="N296" i="3"/>
  <c r="R296" i="3"/>
  <c r="K296" i="3"/>
  <c r="J296" i="3"/>
  <c r="O296" i="3"/>
  <c r="M296" i="3"/>
  <c r="Q296" i="3"/>
  <c r="I296" i="3"/>
  <c r="L296" i="3"/>
  <c r="N328" i="3"/>
  <c r="J328" i="3"/>
  <c r="K328" i="3"/>
  <c r="M328" i="3"/>
  <c r="O328" i="3"/>
  <c r="L328" i="3"/>
  <c r="Q328" i="3"/>
  <c r="R328" i="3"/>
  <c r="I328" i="3"/>
  <c r="P328" i="3"/>
  <c r="J360" i="3"/>
  <c r="P360" i="3"/>
  <c r="N360" i="3"/>
  <c r="K360" i="3"/>
  <c r="O360" i="3"/>
  <c r="L360" i="3"/>
  <c r="M360" i="3"/>
  <c r="Q360" i="3"/>
  <c r="I360" i="3"/>
  <c r="R360" i="3"/>
  <c r="J392" i="3"/>
  <c r="P392" i="3"/>
  <c r="M392" i="3"/>
  <c r="K392" i="3"/>
  <c r="O392" i="3"/>
  <c r="L392" i="3"/>
  <c r="Q392" i="3"/>
  <c r="R392" i="3"/>
  <c r="I392" i="3"/>
  <c r="N392" i="3"/>
  <c r="P500" i="3"/>
  <c r="R500" i="3"/>
  <c r="K500" i="3"/>
  <c r="Q500" i="3"/>
  <c r="I500" i="3"/>
  <c r="L500" i="3"/>
  <c r="N500" i="3"/>
  <c r="O500" i="3"/>
  <c r="M500" i="3"/>
  <c r="J500" i="3"/>
  <c r="P283" i="3"/>
  <c r="J283" i="3"/>
  <c r="O283" i="3"/>
  <c r="N283" i="3"/>
  <c r="K283" i="3"/>
  <c r="R283" i="3"/>
  <c r="Q283" i="3"/>
  <c r="L283" i="3"/>
  <c r="M283" i="3"/>
  <c r="I283" i="3"/>
  <c r="N315" i="3"/>
  <c r="O315" i="3"/>
  <c r="R315" i="3"/>
  <c r="L315" i="3"/>
  <c r="Q315" i="3"/>
  <c r="P315" i="3"/>
  <c r="J315" i="3"/>
  <c r="M315" i="3"/>
  <c r="I315" i="3"/>
  <c r="K315" i="3"/>
  <c r="P347" i="3"/>
  <c r="O347" i="3"/>
  <c r="R347" i="3"/>
  <c r="K347" i="3"/>
  <c r="L347" i="3"/>
  <c r="Q347" i="3"/>
  <c r="M347" i="3"/>
  <c r="I347" i="3"/>
  <c r="S347" i="3" s="1"/>
  <c r="N347" i="3"/>
  <c r="J347" i="3"/>
  <c r="P379" i="3"/>
  <c r="N379" i="3"/>
  <c r="O379" i="3"/>
  <c r="L379" i="3"/>
  <c r="R379" i="3"/>
  <c r="J379" i="3"/>
  <c r="K379" i="3"/>
  <c r="Q379" i="3"/>
  <c r="M379" i="3"/>
  <c r="I379" i="3"/>
  <c r="J452" i="3"/>
  <c r="Q452" i="3"/>
  <c r="P452" i="3"/>
  <c r="O452" i="3"/>
  <c r="I452" i="3"/>
  <c r="R452" i="3"/>
  <c r="N452" i="3"/>
  <c r="L452" i="3"/>
  <c r="M452" i="3"/>
  <c r="K452" i="3"/>
  <c r="I425" i="3"/>
  <c r="K425" i="3"/>
  <c r="N425" i="3"/>
  <c r="R425" i="3"/>
  <c r="M425" i="3"/>
  <c r="J425" i="3"/>
  <c r="P425" i="3"/>
  <c r="Q425" i="3"/>
  <c r="O425" i="3"/>
  <c r="L425" i="3"/>
  <c r="N457" i="3"/>
  <c r="M457" i="3"/>
  <c r="R457" i="3"/>
  <c r="K457" i="3"/>
  <c r="J457" i="3"/>
  <c r="P457" i="3"/>
  <c r="L457" i="3"/>
  <c r="Q457" i="3"/>
  <c r="I457" i="3"/>
  <c r="O457" i="3"/>
  <c r="K489" i="3"/>
  <c r="N489" i="3"/>
  <c r="L489" i="3"/>
  <c r="P489" i="3"/>
  <c r="M489" i="3"/>
  <c r="R489" i="3"/>
  <c r="I489" i="3"/>
  <c r="Q489" i="3"/>
  <c r="J489" i="3"/>
  <c r="O489" i="3"/>
  <c r="L521" i="3"/>
  <c r="I521" i="3"/>
  <c r="K521" i="3"/>
  <c r="N521" i="3"/>
  <c r="P521" i="3"/>
  <c r="M521" i="3"/>
  <c r="R521" i="3"/>
  <c r="Q521" i="3"/>
  <c r="J521" i="3"/>
  <c r="O521" i="3"/>
  <c r="O431" i="3"/>
  <c r="J431" i="3"/>
  <c r="P431" i="3"/>
  <c r="N431" i="3"/>
  <c r="R431" i="3"/>
  <c r="L431" i="3"/>
  <c r="Q431" i="3"/>
  <c r="K431" i="3"/>
  <c r="M431" i="3"/>
  <c r="I431" i="3"/>
  <c r="S431" i="3" s="1"/>
  <c r="R463" i="3"/>
  <c r="O463" i="3"/>
  <c r="Q463" i="3"/>
  <c r="I463" i="3"/>
  <c r="J463" i="3"/>
  <c r="P463" i="3"/>
  <c r="N463" i="3"/>
  <c r="K463" i="3"/>
  <c r="L463" i="3"/>
  <c r="M463" i="3"/>
  <c r="O495" i="3"/>
  <c r="P495" i="3"/>
  <c r="R495" i="3"/>
  <c r="J495" i="3"/>
  <c r="L495" i="3"/>
  <c r="Q495" i="3"/>
  <c r="N495" i="3"/>
  <c r="K495" i="3"/>
  <c r="M495" i="3"/>
  <c r="I495" i="3"/>
  <c r="P527" i="3"/>
  <c r="O527" i="3"/>
  <c r="L527" i="3"/>
  <c r="R527" i="3"/>
  <c r="J527" i="3"/>
  <c r="Q527" i="3"/>
  <c r="N527" i="3"/>
  <c r="K527" i="3"/>
  <c r="M527" i="3"/>
  <c r="I527" i="3"/>
  <c r="O434" i="3"/>
  <c r="R434" i="3"/>
  <c r="N434" i="3"/>
  <c r="Q434" i="3"/>
  <c r="J434" i="3"/>
  <c r="I434" i="3"/>
  <c r="P434" i="3"/>
  <c r="M434" i="3"/>
  <c r="L434" i="3"/>
  <c r="K434" i="3"/>
  <c r="O466" i="3"/>
  <c r="Q466" i="3"/>
  <c r="R466" i="3"/>
  <c r="L466" i="3"/>
  <c r="I466" i="3"/>
  <c r="J466" i="3"/>
  <c r="M466" i="3"/>
  <c r="P466" i="3"/>
  <c r="K466" i="3"/>
  <c r="N466" i="3"/>
  <c r="O498" i="3"/>
  <c r="Q498" i="3"/>
  <c r="R498" i="3"/>
  <c r="L498" i="3"/>
  <c r="I498" i="3"/>
  <c r="M498" i="3"/>
  <c r="K498" i="3"/>
  <c r="J498" i="3"/>
  <c r="P498" i="3"/>
  <c r="N498" i="3"/>
  <c r="R937" i="3"/>
  <c r="J937" i="3"/>
  <c r="O937" i="3"/>
  <c r="K937" i="3"/>
  <c r="Q937" i="3"/>
  <c r="I937" i="3"/>
  <c r="N937" i="3"/>
  <c r="M937" i="3"/>
  <c r="L937" i="3"/>
  <c r="P937" i="3"/>
  <c r="Q1115" i="3"/>
  <c r="O1115" i="3"/>
  <c r="I1115" i="3"/>
  <c r="L1115" i="3"/>
  <c r="K1115" i="3"/>
  <c r="M1115" i="3"/>
  <c r="N1115" i="3"/>
  <c r="J1115" i="3"/>
  <c r="R1115" i="3"/>
  <c r="P1115" i="3"/>
  <c r="M949" i="3"/>
  <c r="K949" i="3"/>
  <c r="R949" i="3"/>
  <c r="L949" i="3"/>
  <c r="P949" i="3"/>
  <c r="N949" i="3"/>
  <c r="Q949" i="3"/>
  <c r="O949" i="3"/>
  <c r="I949" i="3"/>
  <c r="J949" i="3"/>
  <c r="M973" i="3"/>
  <c r="K973" i="3"/>
  <c r="Q973" i="3"/>
  <c r="I973" i="3"/>
  <c r="R973" i="3"/>
  <c r="L973" i="3"/>
  <c r="P973" i="3"/>
  <c r="O973" i="3"/>
  <c r="J973" i="3"/>
  <c r="N973" i="3"/>
  <c r="M1005" i="3"/>
  <c r="K1005" i="3"/>
  <c r="Q1005" i="3"/>
  <c r="I1005" i="3"/>
  <c r="S1005" i="3" s="1"/>
  <c r="O1005" i="3"/>
  <c r="J1005" i="3"/>
  <c r="N1005" i="3"/>
  <c r="P1005" i="3"/>
  <c r="R1005" i="3"/>
  <c r="L1005" i="3"/>
  <c r="L1037" i="3"/>
  <c r="M1037" i="3"/>
  <c r="K1037" i="3"/>
  <c r="R1037" i="3"/>
  <c r="Q1037" i="3"/>
  <c r="J1037" i="3"/>
  <c r="I1037" i="3"/>
  <c r="P1037" i="3"/>
  <c r="O1037" i="3"/>
  <c r="N1037" i="3"/>
  <c r="L1069" i="3"/>
  <c r="M1069" i="3"/>
  <c r="K1069" i="3"/>
  <c r="J1069" i="3"/>
  <c r="Q1069" i="3"/>
  <c r="I1069" i="3"/>
  <c r="O1069" i="3"/>
  <c r="P1069" i="3"/>
  <c r="N1069" i="3"/>
  <c r="R1069" i="3"/>
  <c r="M1177" i="3"/>
  <c r="J1177" i="3"/>
  <c r="R1177" i="3"/>
  <c r="N1177" i="3"/>
  <c r="I1177" i="3"/>
  <c r="K1177" i="3"/>
  <c r="O1177" i="3"/>
  <c r="Q1177" i="3"/>
  <c r="L1177" i="3"/>
  <c r="P1177" i="3"/>
  <c r="K980" i="3"/>
  <c r="I980" i="3"/>
  <c r="M980" i="3"/>
  <c r="N980" i="3"/>
  <c r="L980" i="3"/>
  <c r="P980" i="3"/>
  <c r="J980" i="3"/>
  <c r="O980" i="3"/>
  <c r="R980" i="3"/>
  <c r="Q980" i="3"/>
  <c r="K1012" i="3"/>
  <c r="I1012" i="3"/>
  <c r="M1012" i="3"/>
  <c r="P1012" i="3"/>
  <c r="J1012" i="3"/>
  <c r="R1012" i="3"/>
  <c r="N1012" i="3"/>
  <c r="O1012" i="3"/>
  <c r="Q1012" i="3"/>
  <c r="L1012" i="3"/>
  <c r="R1044" i="3"/>
  <c r="J1044" i="3"/>
  <c r="K1044" i="3"/>
  <c r="M1044" i="3"/>
  <c r="Q1044" i="3"/>
  <c r="I1044" i="3"/>
  <c r="P1044" i="3"/>
  <c r="N1044" i="3"/>
  <c r="L1044" i="3"/>
  <c r="O1044" i="3"/>
  <c r="R1076" i="3"/>
  <c r="J1076" i="3"/>
  <c r="K1076" i="3"/>
  <c r="I1076" i="3"/>
  <c r="M1076" i="3"/>
  <c r="Q1076" i="3"/>
  <c r="N1076" i="3"/>
  <c r="P1076" i="3"/>
  <c r="L1076" i="3"/>
  <c r="O1076" i="3"/>
  <c r="Q951" i="3"/>
  <c r="I951" i="3"/>
  <c r="N951" i="3"/>
  <c r="M951" i="3"/>
  <c r="K951" i="3"/>
  <c r="L951" i="3"/>
  <c r="J951" i="3"/>
  <c r="R951" i="3"/>
  <c r="O951" i="3"/>
  <c r="P951" i="3"/>
  <c r="Q983" i="3"/>
  <c r="I983" i="3"/>
  <c r="N983" i="3"/>
  <c r="R983" i="3"/>
  <c r="M983" i="3"/>
  <c r="L983" i="3"/>
  <c r="P983" i="3"/>
  <c r="K983" i="3"/>
  <c r="J983" i="3"/>
  <c r="O983" i="3"/>
  <c r="Q1015" i="3"/>
  <c r="P1015" i="3"/>
  <c r="I1015" i="3"/>
  <c r="J1015" i="3"/>
  <c r="M1015" i="3"/>
  <c r="K1015" i="3"/>
  <c r="N1015" i="3"/>
  <c r="O1015" i="3"/>
  <c r="L1015" i="3"/>
  <c r="R1015" i="3"/>
  <c r="O1047" i="3"/>
  <c r="Q1047" i="3"/>
  <c r="P1047" i="3"/>
  <c r="I1047" i="3"/>
  <c r="M1047" i="3"/>
  <c r="R1047" i="3"/>
  <c r="L1047" i="3"/>
  <c r="J1047" i="3"/>
  <c r="K1047" i="3"/>
  <c r="N1047" i="3"/>
  <c r="O1079" i="3"/>
  <c r="Q1079" i="3"/>
  <c r="P1079" i="3"/>
  <c r="I1079" i="3"/>
  <c r="S1079" i="3" s="1"/>
  <c r="N1079" i="3"/>
  <c r="M1079" i="3"/>
  <c r="R1079" i="3"/>
  <c r="J1079" i="3"/>
  <c r="K1079" i="3"/>
  <c r="L1079" i="3"/>
  <c r="O950" i="3"/>
  <c r="P950" i="3"/>
  <c r="L950" i="3"/>
  <c r="K950" i="3"/>
  <c r="N950" i="3"/>
  <c r="I950" i="3"/>
  <c r="J950" i="3"/>
  <c r="R950" i="3"/>
  <c r="M950" i="3"/>
  <c r="Q950" i="3"/>
  <c r="O982" i="3"/>
  <c r="L982" i="3"/>
  <c r="P982" i="3"/>
  <c r="K982" i="3"/>
  <c r="J982" i="3"/>
  <c r="N982" i="3"/>
  <c r="Q982" i="3"/>
  <c r="M982" i="3"/>
  <c r="I982" i="3"/>
  <c r="R982" i="3"/>
  <c r="O1014" i="3"/>
  <c r="R1014" i="3"/>
  <c r="K1014" i="3"/>
  <c r="Q1014" i="3"/>
  <c r="L1014" i="3"/>
  <c r="P1014" i="3"/>
  <c r="M1014" i="3"/>
  <c r="I1014" i="3"/>
  <c r="J1014" i="3"/>
  <c r="N1014" i="3"/>
  <c r="O1046" i="3"/>
  <c r="N1046" i="3"/>
  <c r="M1046" i="3"/>
  <c r="L1046" i="3"/>
  <c r="R1046" i="3"/>
  <c r="J1046" i="3"/>
  <c r="K1046" i="3"/>
  <c r="P1046" i="3"/>
  <c r="Q1046" i="3"/>
  <c r="I1046" i="3"/>
  <c r="O1078" i="3"/>
  <c r="M1078" i="3"/>
  <c r="N1078" i="3"/>
  <c r="L1078" i="3"/>
  <c r="J1078" i="3"/>
  <c r="K1078" i="3"/>
  <c r="P1078" i="3"/>
  <c r="R1078" i="3"/>
  <c r="Q1078" i="3"/>
  <c r="I1078" i="3"/>
  <c r="S1078" i="3" s="1"/>
  <c r="M1135" i="3"/>
  <c r="O1135" i="3"/>
  <c r="Q1135" i="3"/>
  <c r="I1135" i="3"/>
  <c r="K1135" i="3"/>
  <c r="N1135" i="3"/>
  <c r="J1135" i="3"/>
  <c r="L1135" i="3"/>
  <c r="P1135" i="3"/>
  <c r="R1135" i="3"/>
  <c r="M1167" i="3"/>
  <c r="O1167" i="3"/>
  <c r="L1167" i="3"/>
  <c r="Q1167" i="3"/>
  <c r="I1167" i="3"/>
  <c r="K1167" i="3"/>
  <c r="R1167" i="3"/>
  <c r="J1167" i="3"/>
  <c r="N1167" i="3"/>
  <c r="P1167" i="3"/>
  <c r="I1118" i="3"/>
  <c r="K1118" i="3"/>
  <c r="J1118" i="3"/>
  <c r="O1118" i="3"/>
  <c r="Q1118" i="3"/>
  <c r="L1118" i="3"/>
  <c r="M1118" i="3"/>
  <c r="R1118" i="3"/>
  <c r="N1118" i="3"/>
  <c r="P1118" i="3"/>
  <c r="J1150" i="3"/>
  <c r="I1150" i="3"/>
  <c r="K1150" i="3"/>
  <c r="M1150" i="3"/>
  <c r="P1150" i="3"/>
  <c r="L1150" i="3"/>
  <c r="O1150" i="3"/>
  <c r="R1150" i="3"/>
  <c r="Q1150" i="3"/>
  <c r="N1150" i="3"/>
  <c r="L1117" i="3"/>
  <c r="O1117" i="3"/>
  <c r="J1117" i="3"/>
  <c r="Q1117" i="3"/>
  <c r="I1117" i="3"/>
  <c r="K1117" i="3"/>
  <c r="M1117" i="3"/>
  <c r="N1117" i="3"/>
  <c r="R1117" i="3"/>
  <c r="P1117" i="3"/>
  <c r="P1149" i="3"/>
  <c r="O1149" i="3"/>
  <c r="Q1149" i="3"/>
  <c r="L1149" i="3"/>
  <c r="I1149" i="3"/>
  <c r="K1149" i="3"/>
  <c r="N1149" i="3"/>
  <c r="R1149" i="3"/>
  <c r="J1149" i="3"/>
  <c r="M1149" i="3"/>
  <c r="I1182" i="3"/>
  <c r="O1182" i="3"/>
  <c r="R1182" i="3"/>
  <c r="P1182" i="3"/>
  <c r="K1182" i="3"/>
  <c r="M1182" i="3"/>
  <c r="J1182" i="3"/>
  <c r="N1182" i="3"/>
  <c r="L1182" i="3"/>
  <c r="Q1182" i="3"/>
  <c r="K1116" i="3"/>
  <c r="N1116" i="3"/>
  <c r="M1116" i="3"/>
  <c r="J1116" i="3"/>
  <c r="O1116" i="3"/>
  <c r="L1116" i="3"/>
  <c r="I1116" i="3"/>
  <c r="P1116" i="3"/>
  <c r="R1116" i="3"/>
  <c r="Q1116" i="3"/>
  <c r="K1148" i="3"/>
  <c r="N1148" i="3"/>
  <c r="M1148" i="3"/>
  <c r="O1148" i="3"/>
  <c r="Q1148" i="3"/>
  <c r="L1148" i="3"/>
  <c r="I1148" i="3"/>
  <c r="P1148" i="3"/>
  <c r="J1148" i="3"/>
  <c r="R1148" i="3"/>
  <c r="P1329" i="3"/>
  <c r="L1329" i="3"/>
  <c r="K1329" i="3"/>
  <c r="R1329" i="3"/>
  <c r="J1329" i="3"/>
  <c r="Q1329" i="3"/>
  <c r="N1329" i="3"/>
  <c r="I1329" i="3"/>
  <c r="M1329" i="3"/>
  <c r="O1329" i="3"/>
  <c r="I1214" i="3"/>
  <c r="P1214" i="3"/>
  <c r="K1214" i="3"/>
  <c r="R1214" i="3"/>
  <c r="N1214" i="3"/>
  <c r="M1214" i="3"/>
  <c r="J1214" i="3"/>
  <c r="O1214" i="3"/>
  <c r="L1214" i="3"/>
  <c r="Q1214" i="3"/>
  <c r="Q1189" i="3"/>
  <c r="I1189" i="3"/>
  <c r="M1189" i="3"/>
  <c r="K1189" i="3"/>
  <c r="J1189" i="3"/>
  <c r="R1189" i="3"/>
  <c r="O1189" i="3"/>
  <c r="N1189" i="3"/>
  <c r="L1189" i="3"/>
  <c r="P1189" i="3"/>
  <c r="N1221" i="3"/>
  <c r="Q1221" i="3"/>
  <c r="I1221" i="3"/>
  <c r="M1221" i="3"/>
  <c r="K1221" i="3"/>
  <c r="L1221" i="3"/>
  <c r="P1221" i="3"/>
  <c r="O1221" i="3"/>
  <c r="R1221" i="3"/>
  <c r="J1221" i="3"/>
  <c r="R1204" i="3"/>
  <c r="J1204" i="3"/>
  <c r="O1204" i="3"/>
  <c r="Q1204" i="3"/>
  <c r="P1204" i="3"/>
  <c r="K1204" i="3"/>
  <c r="N1204" i="3"/>
  <c r="I1204" i="3"/>
  <c r="M1204" i="3"/>
  <c r="L1204" i="3"/>
  <c r="N1241" i="3"/>
  <c r="R1241" i="3"/>
  <c r="P1241" i="3"/>
  <c r="J1241" i="3"/>
  <c r="M1241" i="3"/>
  <c r="K1241" i="3"/>
  <c r="Q1241" i="3"/>
  <c r="I1241" i="3"/>
  <c r="O1241" i="3"/>
  <c r="L1241" i="3"/>
  <c r="M1195" i="3"/>
  <c r="Q1195" i="3"/>
  <c r="O1195" i="3"/>
  <c r="I1195" i="3"/>
  <c r="R1195" i="3"/>
  <c r="J1195" i="3"/>
  <c r="K1195" i="3"/>
  <c r="L1195" i="3"/>
  <c r="P1195" i="3"/>
  <c r="N1195" i="3"/>
  <c r="K1225" i="3"/>
  <c r="M1225" i="3"/>
  <c r="P1225" i="3"/>
  <c r="Q1225" i="3"/>
  <c r="I1225" i="3"/>
  <c r="O1225" i="3"/>
  <c r="J1225" i="3"/>
  <c r="R1225" i="3"/>
  <c r="N1225" i="3"/>
  <c r="L1225" i="3"/>
  <c r="L1248" i="3"/>
  <c r="K1248" i="3"/>
  <c r="Q1248" i="3"/>
  <c r="I1248" i="3"/>
  <c r="O1248" i="3"/>
  <c r="P1248" i="3"/>
  <c r="R1248" i="3"/>
  <c r="N1248" i="3"/>
  <c r="M1248" i="3"/>
  <c r="J1248" i="3"/>
  <c r="L1280" i="3"/>
  <c r="K1280" i="3"/>
  <c r="J1280" i="3"/>
  <c r="Q1280" i="3"/>
  <c r="M1280" i="3"/>
  <c r="I1280" i="3"/>
  <c r="O1280" i="3"/>
  <c r="N1280" i="3"/>
  <c r="P1280" i="3"/>
  <c r="R1280" i="3"/>
  <c r="K1325" i="3"/>
  <c r="N1325" i="3"/>
  <c r="I1325" i="3"/>
  <c r="J1325" i="3"/>
  <c r="M1325" i="3"/>
  <c r="P1325" i="3"/>
  <c r="O1325" i="3"/>
  <c r="R1325" i="3"/>
  <c r="L1325" i="3"/>
  <c r="Q1325" i="3"/>
  <c r="I1259" i="3"/>
  <c r="O1259" i="3"/>
  <c r="M1259" i="3"/>
  <c r="R1259" i="3"/>
  <c r="P1259" i="3"/>
  <c r="J1259" i="3"/>
  <c r="N1259" i="3"/>
  <c r="L1259" i="3"/>
  <c r="K1259" i="3"/>
  <c r="Q1259" i="3"/>
  <c r="I1336" i="3"/>
  <c r="M1336" i="3"/>
  <c r="R1336" i="3"/>
  <c r="J1336" i="3"/>
  <c r="P1336" i="3"/>
  <c r="L1336" i="3"/>
  <c r="K1336" i="3"/>
  <c r="Q1336" i="3"/>
  <c r="N1336" i="3"/>
  <c r="O1336" i="3"/>
  <c r="K1238" i="3"/>
  <c r="P1238" i="3"/>
  <c r="N1238" i="3"/>
  <c r="J1238" i="3"/>
  <c r="R1238" i="3"/>
  <c r="Q1238" i="3"/>
  <c r="L1238" i="3"/>
  <c r="O1238" i="3"/>
  <c r="M1238" i="3"/>
  <c r="I1238" i="3"/>
  <c r="Q1270" i="3"/>
  <c r="K1270" i="3"/>
  <c r="I1270" i="3"/>
  <c r="L1270" i="3"/>
  <c r="P1270" i="3"/>
  <c r="R1270" i="3"/>
  <c r="N1270" i="3"/>
  <c r="O1270" i="3"/>
  <c r="M1270" i="3"/>
  <c r="J1270" i="3"/>
  <c r="Q1317" i="3"/>
  <c r="M1317" i="3"/>
  <c r="P1317" i="3"/>
  <c r="N1317" i="3"/>
  <c r="K1317" i="3"/>
  <c r="R1317" i="3"/>
  <c r="J1317" i="3"/>
  <c r="I1317" i="3"/>
  <c r="S1317" i="3" s="1"/>
  <c r="L1317" i="3"/>
  <c r="O1317" i="3"/>
  <c r="P1332" i="3"/>
  <c r="L1332" i="3"/>
  <c r="K1332" i="3"/>
  <c r="M1332" i="3"/>
  <c r="N1332" i="3"/>
  <c r="Q1332" i="3"/>
  <c r="R1332" i="3"/>
  <c r="I1332" i="3"/>
  <c r="J1332" i="3"/>
  <c r="O1332" i="3"/>
  <c r="N1311" i="3"/>
  <c r="L1311" i="3"/>
  <c r="Q1311" i="3"/>
  <c r="R1311" i="3"/>
  <c r="J1311" i="3"/>
  <c r="I1311" i="3"/>
  <c r="K1311" i="3"/>
  <c r="O1311" i="3"/>
  <c r="M1311" i="3"/>
  <c r="P1311" i="3"/>
  <c r="J1343" i="3"/>
  <c r="P1343" i="3"/>
  <c r="Q1343" i="3"/>
  <c r="N1343" i="3"/>
  <c r="I1343" i="3"/>
  <c r="M1343" i="3"/>
  <c r="O1343" i="3"/>
  <c r="K1343" i="3"/>
  <c r="L1343" i="3"/>
  <c r="R1343" i="3"/>
  <c r="M1314" i="3"/>
  <c r="K1314" i="3"/>
  <c r="N1314" i="3"/>
  <c r="Q1314" i="3"/>
  <c r="P1314" i="3"/>
  <c r="O1314" i="3"/>
  <c r="L1314" i="3"/>
  <c r="R1314" i="3"/>
  <c r="J1314" i="3"/>
  <c r="I1314" i="3"/>
  <c r="M211" i="2"/>
  <c r="L211" i="2"/>
  <c r="M236" i="2"/>
  <c r="L236" i="2"/>
  <c r="M153" i="2"/>
  <c r="L153" i="2"/>
  <c r="O131" i="2"/>
  <c r="N244" i="2"/>
  <c r="S244" i="2"/>
  <c r="F1257" i="3"/>
  <c r="F1253" i="3"/>
  <c r="F1249" i="3"/>
  <c r="F1251" i="3"/>
  <c r="F1250" i="3"/>
  <c r="F1252" i="3"/>
  <c r="F1255" i="3"/>
  <c r="F1254" i="3"/>
  <c r="F1256" i="3"/>
  <c r="F1259" i="3"/>
  <c r="F1258" i="3"/>
  <c r="F1248" i="3"/>
  <c r="F443" i="3"/>
  <c r="F433" i="3"/>
  <c r="F442" i="3"/>
  <c r="F432" i="3"/>
  <c r="F441" i="3"/>
  <c r="F440" i="3"/>
  <c r="F439" i="3"/>
  <c r="F436" i="3"/>
  <c r="F435" i="3"/>
  <c r="F434" i="3"/>
  <c r="F437" i="3"/>
  <c r="F438" i="3"/>
  <c r="F1532" i="3"/>
  <c r="F1534" i="3"/>
  <c r="F1531" i="3"/>
  <c r="F1533" i="3"/>
  <c r="F1530" i="3"/>
  <c r="F1529" i="3"/>
  <c r="F1528" i="3"/>
  <c r="F1527" i="3"/>
  <c r="F1535" i="3"/>
  <c r="F1526" i="3"/>
  <c r="F1525" i="3"/>
  <c r="F1524" i="3"/>
  <c r="F711" i="3"/>
  <c r="F710" i="3"/>
  <c r="F719" i="3"/>
  <c r="F709" i="3"/>
  <c r="F708" i="3"/>
  <c r="F717" i="3"/>
  <c r="F716" i="3"/>
  <c r="F714" i="3"/>
  <c r="F713" i="3"/>
  <c r="F712" i="3"/>
  <c r="F715" i="3"/>
  <c r="F718" i="3"/>
  <c r="F1388" i="3"/>
  <c r="F1384" i="3"/>
  <c r="F1380" i="3"/>
  <c r="F1389" i="3"/>
  <c r="F1385" i="3"/>
  <c r="F1381" i="3"/>
  <c r="F1390" i="3"/>
  <c r="F1391" i="3"/>
  <c r="F1383" i="3"/>
  <c r="F1382" i="3"/>
  <c r="F1387" i="3"/>
  <c r="F1386" i="3"/>
  <c r="F575" i="3"/>
  <c r="F567" i="3"/>
  <c r="F568" i="3"/>
  <c r="F569" i="3"/>
  <c r="F570" i="3"/>
  <c r="F573" i="3"/>
  <c r="F565" i="3"/>
  <c r="F574" i="3"/>
  <c r="F566" i="3"/>
  <c r="F571" i="3"/>
  <c r="F564" i="3"/>
  <c r="F572" i="3"/>
  <c r="F1638" i="3"/>
  <c r="F1636" i="3"/>
  <c r="F1634" i="3"/>
  <c r="F1632" i="3"/>
  <c r="F1643" i="3"/>
  <c r="F1641" i="3"/>
  <c r="F1639" i="3"/>
  <c r="F1642" i="3"/>
  <c r="F1633" i="3"/>
  <c r="F1640" i="3"/>
  <c r="F1637" i="3"/>
  <c r="F1635" i="3"/>
  <c r="F821" i="3"/>
  <c r="F820" i="3"/>
  <c r="F819" i="3"/>
  <c r="F818" i="3"/>
  <c r="F827" i="3"/>
  <c r="F817" i="3"/>
  <c r="F816" i="3"/>
  <c r="F826" i="3"/>
  <c r="F823" i="3"/>
  <c r="F822" i="3"/>
  <c r="F825" i="3"/>
  <c r="F824" i="3"/>
  <c r="F1568" i="3"/>
  <c r="F1563" i="3"/>
  <c r="F1560" i="3"/>
  <c r="F1567" i="3"/>
  <c r="F1566" i="3"/>
  <c r="F1565" i="3"/>
  <c r="F1562" i="3"/>
  <c r="F1571" i="3"/>
  <c r="F1561" i="3"/>
  <c r="F1569" i="3"/>
  <c r="F1570" i="3"/>
  <c r="F1564" i="3"/>
  <c r="F754" i="3"/>
  <c r="F750" i="3"/>
  <c r="F746" i="3"/>
  <c r="F755" i="3"/>
  <c r="F751" i="3"/>
  <c r="F747" i="3"/>
  <c r="F752" i="3"/>
  <c r="F748" i="3"/>
  <c r="F753" i="3"/>
  <c r="F749" i="3"/>
  <c r="F744" i="3"/>
  <c r="F745" i="3"/>
  <c r="M179" i="2"/>
  <c r="L179" i="2"/>
  <c r="M226" i="2"/>
  <c r="L226" i="2"/>
  <c r="M542" i="3"/>
  <c r="L542" i="3"/>
  <c r="Q542" i="3"/>
  <c r="I542" i="3"/>
  <c r="N542" i="3"/>
  <c r="O542" i="3"/>
  <c r="P542" i="3"/>
  <c r="J542" i="3"/>
  <c r="K542" i="3"/>
  <c r="R542" i="3"/>
  <c r="Q700" i="3"/>
  <c r="M700" i="3"/>
  <c r="I700" i="3"/>
  <c r="L700" i="3"/>
  <c r="K700" i="3"/>
  <c r="N700" i="3"/>
  <c r="R700" i="3"/>
  <c r="O700" i="3"/>
  <c r="P700" i="3"/>
  <c r="J700" i="3"/>
  <c r="R753" i="3"/>
  <c r="J753" i="3"/>
  <c r="K753" i="3"/>
  <c r="Q753" i="3"/>
  <c r="L753" i="3"/>
  <c r="I753" i="3"/>
  <c r="M753" i="3"/>
  <c r="P753" i="3"/>
  <c r="N753" i="3"/>
  <c r="O753" i="3"/>
  <c r="R725" i="3"/>
  <c r="P725" i="3"/>
  <c r="J725" i="3"/>
  <c r="K725" i="3"/>
  <c r="Q725" i="3"/>
  <c r="N725" i="3"/>
  <c r="I725" i="3"/>
  <c r="M725" i="3"/>
  <c r="L725" i="3"/>
  <c r="O725" i="3"/>
  <c r="K777" i="3"/>
  <c r="I777" i="3"/>
  <c r="M777" i="3"/>
  <c r="P777" i="3"/>
  <c r="N777" i="3"/>
  <c r="O777" i="3"/>
  <c r="R777" i="3"/>
  <c r="J777" i="3"/>
  <c r="L777" i="3"/>
  <c r="Q777" i="3"/>
  <c r="M893" i="3"/>
  <c r="P893" i="3"/>
  <c r="N893" i="3"/>
  <c r="O893" i="3"/>
  <c r="J893" i="3"/>
  <c r="L893" i="3"/>
  <c r="R893" i="3"/>
  <c r="K893" i="3"/>
  <c r="Q893" i="3"/>
  <c r="I893" i="3"/>
  <c r="M590" i="3"/>
  <c r="K590" i="3"/>
  <c r="N590" i="3"/>
  <c r="O590" i="3"/>
  <c r="J590" i="3"/>
  <c r="Q590" i="3"/>
  <c r="I590" i="3"/>
  <c r="P590" i="3"/>
  <c r="L590" i="3"/>
  <c r="R590" i="3"/>
  <c r="M622" i="3"/>
  <c r="K622" i="3"/>
  <c r="N622" i="3"/>
  <c r="O622" i="3"/>
  <c r="J622" i="3"/>
  <c r="Q622" i="3"/>
  <c r="I622" i="3"/>
  <c r="P622" i="3"/>
  <c r="L622" i="3"/>
  <c r="R622" i="3"/>
  <c r="M654" i="3"/>
  <c r="K654" i="3"/>
  <c r="N654" i="3"/>
  <c r="O654" i="3"/>
  <c r="J654" i="3"/>
  <c r="Q654" i="3"/>
  <c r="I654" i="3"/>
  <c r="L654" i="3"/>
  <c r="P654" i="3"/>
  <c r="R654" i="3"/>
  <c r="K545" i="3"/>
  <c r="M545" i="3"/>
  <c r="J545" i="3"/>
  <c r="I545" i="3"/>
  <c r="Q545" i="3"/>
  <c r="L545" i="3"/>
  <c r="O545" i="3"/>
  <c r="N545" i="3"/>
  <c r="R545" i="3"/>
  <c r="P545" i="3"/>
  <c r="Q577" i="3"/>
  <c r="K577" i="3"/>
  <c r="I577" i="3"/>
  <c r="J577" i="3"/>
  <c r="P577" i="3"/>
  <c r="O577" i="3"/>
  <c r="M577" i="3"/>
  <c r="L577" i="3"/>
  <c r="N577" i="3"/>
  <c r="R577" i="3"/>
  <c r="L609" i="3"/>
  <c r="Q609" i="3"/>
  <c r="K609" i="3"/>
  <c r="I609" i="3"/>
  <c r="R609" i="3"/>
  <c r="O609" i="3"/>
  <c r="J609" i="3"/>
  <c r="N609" i="3"/>
  <c r="M609" i="3"/>
  <c r="P609" i="3"/>
  <c r="L641" i="3"/>
  <c r="Q641" i="3"/>
  <c r="K641" i="3"/>
  <c r="I641" i="3"/>
  <c r="M641" i="3"/>
  <c r="N641" i="3"/>
  <c r="R641" i="3"/>
  <c r="O641" i="3"/>
  <c r="P641" i="3"/>
  <c r="J641" i="3"/>
  <c r="K737" i="3"/>
  <c r="Q737" i="3"/>
  <c r="L737" i="3"/>
  <c r="I737" i="3"/>
  <c r="M737" i="3"/>
  <c r="J737" i="3"/>
  <c r="N737" i="3"/>
  <c r="P737" i="3"/>
  <c r="R737" i="3"/>
  <c r="O737" i="3"/>
  <c r="M576" i="3"/>
  <c r="Q576" i="3"/>
  <c r="O576" i="3"/>
  <c r="I576" i="3"/>
  <c r="R576" i="3"/>
  <c r="P576" i="3"/>
  <c r="N576" i="3"/>
  <c r="J576" i="3"/>
  <c r="K576" i="3"/>
  <c r="L576" i="3"/>
  <c r="P608" i="3"/>
  <c r="M608" i="3"/>
  <c r="R608" i="3"/>
  <c r="J608" i="3"/>
  <c r="Q608" i="3"/>
  <c r="O608" i="3"/>
  <c r="I608" i="3"/>
  <c r="L608" i="3"/>
  <c r="K608" i="3"/>
  <c r="N608" i="3"/>
  <c r="P640" i="3"/>
  <c r="M640" i="3"/>
  <c r="R640" i="3"/>
  <c r="J640" i="3"/>
  <c r="Q640" i="3"/>
  <c r="O640" i="3"/>
  <c r="I640" i="3"/>
  <c r="K640" i="3"/>
  <c r="L640" i="3"/>
  <c r="N640" i="3"/>
  <c r="K729" i="3"/>
  <c r="I729" i="3"/>
  <c r="M729" i="3"/>
  <c r="J729" i="3"/>
  <c r="N729" i="3"/>
  <c r="L729" i="3"/>
  <c r="Q729" i="3"/>
  <c r="O729" i="3"/>
  <c r="P729" i="3"/>
  <c r="R729" i="3"/>
  <c r="J705" i="3"/>
  <c r="I705" i="3"/>
  <c r="K705" i="3"/>
  <c r="N705" i="3"/>
  <c r="M705" i="3"/>
  <c r="Q705" i="3"/>
  <c r="R705" i="3"/>
  <c r="P705" i="3"/>
  <c r="L705" i="3"/>
  <c r="O705" i="3"/>
  <c r="O551" i="3"/>
  <c r="K551" i="3"/>
  <c r="P551" i="3"/>
  <c r="Q551" i="3"/>
  <c r="L551" i="3"/>
  <c r="J551" i="3"/>
  <c r="I551" i="3"/>
  <c r="R551" i="3"/>
  <c r="M551" i="3"/>
  <c r="N551" i="3"/>
  <c r="M583" i="3"/>
  <c r="O583" i="3"/>
  <c r="Q583" i="3"/>
  <c r="I583" i="3"/>
  <c r="L583" i="3"/>
  <c r="J583" i="3"/>
  <c r="R583" i="3"/>
  <c r="K583" i="3"/>
  <c r="P583" i="3"/>
  <c r="N583" i="3"/>
  <c r="M615" i="3"/>
  <c r="O615" i="3"/>
  <c r="P615" i="3"/>
  <c r="Q615" i="3"/>
  <c r="J615" i="3"/>
  <c r="K615" i="3"/>
  <c r="R615" i="3"/>
  <c r="L615" i="3"/>
  <c r="N615" i="3"/>
  <c r="I615" i="3"/>
  <c r="M647" i="3"/>
  <c r="O647" i="3"/>
  <c r="P647" i="3"/>
  <c r="Q647" i="3"/>
  <c r="K647" i="3"/>
  <c r="J647" i="3"/>
  <c r="R647" i="3"/>
  <c r="N647" i="3"/>
  <c r="I647" i="3"/>
  <c r="L647" i="3"/>
  <c r="L749" i="3"/>
  <c r="K749" i="3"/>
  <c r="Q749" i="3"/>
  <c r="I749" i="3"/>
  <c r="M749" i="3"/>
  <c r="P749" i="3"/>
  <c r="N749" i="3"/>
  <c r="O749" i="3"/>
  <c r="R749" i="3"/>
  <c r="J749" i="3"/>
  <c r="K694" i="3"/>
  <c r="J694" i="3"/>
  <c r="L694" i="3"/>
  <c r="M694" i="3"/>
  <c r="P694" i="3"/>
  <c r="O694" i="3"/>
  <c r="R694" i="3"/>
  <c r="N694" i="3"/>
  <c r="Q694" i="3"/>
  <c r="I694" i="3"/>
  <c r="M726" i="3"/>
  <c r="K726" i="3"/>
  <c r="L726" i="3"/>
  <c r="O726" i="3"/>
  <c r="J726" i="3"/>
  <c r="N726" i="3"/>
  <c r="P726" i="3"/>
  <c r="R726" i="3"/>
  <c r="Q726" i="3"/>
  <c r="I726" i="3"/>
  <c r="R758" i="3"/>
  <c r="J758" i="3"/>
  <c r="P758" i="3"/>
  <c r="I758" i="3"/>
  <c r="Q758" i="3"/>
  <c r="M758" i="3"/>
  <c r="L758" i="3"/>
  <c r="K758" i="3"/>
  <c r="O758" i="3"/>
  <c r="N758" i="3"/>
  <c r="R790" i="3"/>
  <c r="J790" i="3"/>
  <c r="P790" i="3"/>
  <c r="M790" i="3"/>
  <c r="L790" i="3"/>
  <c r="K790" i="3"/>
  <c r="I790" i="3"/>
  <c r="O790" i="3"/>
  <c r="N790" i="3"/>
  <c r="Q790" i="3"/>
  <c r="N825" i="3"/>
  <c r="K825" i="3"/>
  <c r="Q825" i="3"/>
  <c r="P825" i="3"/>
  <c r="I825" i="3"/>
  <c r="M825" i="3"/>
  <c r="L825" i="3"/>
  <c r="J825" i="3"/>
  <c r="O825" i="3"/>
  <c r="R825" i="3"/>
  <c r="I724" i="3"/>
  <c r="K724" i="3"/>
  <c r="P724" i="3"/>
  <c r="J724" i="3"/>
  <c r="R724" i="3"/>
  <c r="Q724" i="3"/>
  <c r="N724" i="3"/>
  <c r="O724" i="3"/>
  <c r="M724" i="3"/>
  <c r="L724" i="3"/>
  <c r="I756" i="3"/>
  <c r="R756" i="3"/>
  <c r="K756" i="3"/>
  <c r="J756" i="3"/>
  <c r="N756" i="3"/>
  <c r="L756" i="3"/>
  <c r="Q756" i="3"/>
  <c r="P756" i="3"/>
  <c r="M756" i="3"/>
  <c r="O756" i="3"/>
  <c r="I788" i="3"/>
  <c r="R788" i="3"/>
  <c r="K788" i="3"/>
  <c r="J788" i="3"/>
  <c r="N788" i="3"/>
  <c r="L788" i="3"/>
  <c r="Q788" i="3"/>
  <c r="P788" i="3"/>
  <c r="M788" i="3"/>
  <c r="O788" i="3"/>
  <c r="K817" i="3"/>
  <c r="Q817" i="3"/>
  <c r="I817" i="3"/>
  <c r="M817" i="3"/>
  <c r="N817" i="3"/>
  <c r="O817" i="3"/>
  <c r="P817" i="3"/>
  <c r="L817" i="3"/>
  <c r="R817" i="3"/>
  <c r="J817" i="3"/>
  <c r="R695" i="3"/>
  <c r="J695" i="3"/>
  <c r="O695" i="3"/>
  <c r="L695" i="3"/>
  <c r="Q695" i="3"/>
  <c r="I695" i="3"/>
  <c r="N695" i="3"/>
  <c r="K695" i="3"/>
  <c r="M695" i="3"/>
  <c r="P695" i="3"/>
  <c r="O727" i="3"/>
  <c r="M727" i="3"/>
  <c r="Q727" i="3"/>
  <c r="K727" i="3"/>
  <c r="I727" i="3"/>
  <c r="S727" i="3" s="1"/>
  <c r="J727" i="3"/>
  <c r="L727" i="3"/>
  <c r="N727" i="3"/>
  <c r="P727" i="3"/>
  <c r="R727" i="3"/>
  <c r="J759" i="3"/>
  <c r="O759" i="3"/>
  <c r="N759" i="3"/>
  <c r="M759" i="3"/>
  <c r="Q759" i="3"/>
  <c r="I759" i="3"/>
  <c r="P759" i="3"/>
  <c r="K759" i="3"/>
  <c r="R759" i="3"/>
  <c r="L759" i="3"/>
  <c r="J791" i="3"/>
  <c r="K791" i="3"/>
  <c r="O791" i="3"/>
  <c r="N791" i="3"/>
  <c r="M791" i="3"/>
  <c r="Q791" i="3"/>
  <c r="I791" i="3"/>
  <c r="P791" i="3"/>
  <c r="L791" i="3"/>
  <c r="R791" i="3"/>
  <c r="R873" i="3"/>
  <c r="P873" i="3"/>
  <c r="K873" i="3"/>
  <c r="Q873" i="3"/>
  <c r="J873" i="3"/>
  <c r="L873" i="3"/>
  <c r="I873" i="3"/>
  <c r="S873" i="3" s="1"/>
  <c r="N873" i="3"/>
  <c r="M873" i="3"/>
  <c r="O873" i="3"/>
  <c r="L816" i="3"/>
  <c r="Q816" i="3"/>
  <c r="P816" i="3"/>
  <c r="I816" i="3"/>
  <c r="O816" i="3"/>
  <c r="N816" i="3"/>
  <c r="K816" i="3"/>
  <c r="R816" i="3"/>
  <c r="J816" i="3"/>
  <c r="M816" i="3"/>
  <c r="Q848" i="3"/>
  <c r="N848" i="3"/>
  <c r="I848" i="3"/>
  <c r="S848" i="3" s="1"/>
  <c r="O848" i="3"/>
  <c r="R848" i="3"/>
  <c r="J848" i="3"/>
  <c r="P848" i="3"/>
  <c r="K848" i="3"/>
  <c r="M848" i="3"/>
  <c r="L848" i="3"/>
  <c r="Q880" i="3"/>
  <c r="J880" i="3"/>
  <c r="I880" i="3"/>
  <c r="O880" i="3"/>
  <c r="M880" i="3"/>
  <c r="K880" i="3"/>
  <c r="L880" i="3"/>
  <c r="N880" i="3"/>
  <c r="P880" i="3"/>
  <c r="R880" i="3"/>
  <c r="Q912" i="3"/>
  <c r="I912" i="3"/>
  <c r="O912" i="3"/>
  <c r="P912" i="3"/>
  <c r="K912" i="3"/>
  <c r="L912" i="3"/>
  <c r="R912" i="3"/>
  <c r="J912" i="3"/>
  <c r="M912" i="3"/>
  <c r="N912" i="3"/>
  <c r="I803" i="3"/>
  <c r="L803" i="3"/>
  <c r="K803" i="3"/>
  <c r="P803" i="3"/>
  <c r="N803" i="3"/>
  <c r="O803" i="3"/>
  <c r="M803" i="3"/>
  <c r="R803" i="3"/>
  <c r="Q803" i="3"/>
  <c r="J803" i="3"/>
  <c r="I835" i="3"/>
  <c r="N835" i="3"/>
  <c r="R835" i="3"/>
  <c r="O835" i="3"/>
  <c r="M835" i="3"/>
  <c r="L835" i="3"/>
  <c r="J835" i="3"/>
  <c r="Q835" i="3"/>
  <c r="K835" i="3"/>
  <c r="P835" i="3"/>
  <c r="I867" i="3"/>
  <c r="R867" i="3"/>
  <c r="L867" i="3"/>
  <c r="J867" i="3"/>
  <c r="O867" i="3"/>
  <c r="M867" i="3"/>
  <c r="K867" i="3"/>
  <c r="P867" i="3"/>
  <c r="Q867" i="3"/>
  <c r="N867" i="3"/>
  <c r="I899" i="3"/>
  <c r="K899" i="3"/>
  <c r="R899" i="3"/>
  <c r="O899" i="3"/>
  <c r="M899" i="3"/>
  <c r="J899" i="3"/>
  <c r="N899" i="3"/>
  <c r="P899" i="3"/>
  <c r="Q899" i="3"/>
  <c r="L899" i="3"/>
  <c r="I931" i="3"/>
  <c r="K931" i="3"/>
  <c r="N931" i="3"/>
  <c r="R931" i="3"/>
  <c r="O931" i="3"/>
  <c r="M931" i="3"/>
  <c r="J931" i="3"/>
  <c r="L931" i="3"/>
  <c r="P931" i="3"/>
  <c r="Q931" i="3"/>
  <c r="O818" i="3"/>
  <c r="L818" i="3"/>
  <c r="P818" i="3"/>
  <c r="J818" i="3"/>
  <c r="Q818" i="3"/>
  <c r="M818" i="3"/>
  <c r="I818" i="3"/>
  <c r="R818" i="3"/>
  <c r="K818" i="3"/>
  <c r="N818" i="3"/>
  <c r="O850" i="3"/>
  <c r="J850" i="3"/>
  <c r="Q850" i="3"/>
  <c r="I850" i="3"/>
  <c r="R850" i="3"/>
  <c r="M850" i="3"/>
  <c r="K850" i="3"/>
  <c r="L850" i="3"/>
  <c r="P850" i="3"/>
  <c r="N850" i="3"/>
  <c r="O882" i="3"/>
  <c r="P882" i="3"/>
  <c r="Q882" i="3"/>
  <c r="J882" i="3"/>
  <c r="I882" i="3"/>
  <c r="N882" i="3"/>
  <c r="M882" i="3"/>
  <c r="K882" i="3"/>
  <c r="L882" i="3"/>
  <c r="R882" i="3"/>
  <c r="O914" i="3"/>
  <c r="P914" i="3"/>
  <c r="Q914" i="3"/>
  <c r="J914" i="3"/>
  <c r="I914" i="3"/>
  <c r="S914" i="3" s="1"/>
  <c r="N914" i="3"/>
  <c r="M914" i="3"/>
  <c r="K914" i="3"/>
  <c r="L914" i="3"/>
  <c r="R914" i="3"/>
  <c r="J1345" i="3"/>
  <c r="L1345" i="3"/>
  <c r="I1345" i="3"/>
  <c r="S1345" i="3" s="1"/>
  <c r="O1345" i="3"/>
  <c r="K1345" i="3"/>
  <c r="Q1345" i="3"/>
  <c r="R1345" i="3"/>
  <c r="P1345" i="3"/>
  <c r="M1345" i="3"/>
  <c r="N1345" i="3"/>
  <c r="M1384" i="3"/>
  <c r="Q1384" i="3"/>
  <c r="I1384" i="3"/>
  <c r="J1384" i="3"/>
  <c r="R1384" i="3"/>
  <c r="L1384" i="3"/>
  <c r="N1384" i="3"/>
  <c r="P1384" i="3"/>
  <c r="K1384" i="3"/>
  <c r="O1384" i="3"/>
  <c r="R1380" i="3"/>
  <c r="L1380" i="3"/>
  <c r="K1380" i="3"/>
  <c r="N1380" i="3"/>
  <c r="J1380" i="3"/>
  <c r="P1380" i="3"/>
  <c r="O1380" i="3"/>
  <c r="M1380" i="3"/>
  <c r="Q1380" i="3"/>
  <c r="I1380" i="3"/>
  <c r="P1405" i="3"/>
  <c r="M1405" i="3"/>
  <c r="K1405" i="3"/>
  <c r="N1405" i="3"/>
  <c r="J1405" i="3"/>
  <c r="O1405" i="3"/>
  <c r="Q1405" i="3"/>
  <c r="R1405" i="3"/>
  <c r="I1405" i="3"/>
  <c r="L1405" i="3"/>
  <c r="J1355" i="3"/>
  <c r="R1355" i="3"/>
  <c r="P1355" i="3"/>
  <c r="Q1355" i="3"/>
  <c r="N1355" i="3"/>
  <c r="K1355" i="3"/>
  <c r="O1355" i="3"/>
  <c r="L1355" i="3"/>
  <c r="M1355" i="3"/>
  <c r="I1355" i="3"/>
  <c r="R1387" i="3"/>
  <c r="L1387" i="3"/>
  <c r="J1387" i="3"/>
  <c r="Q1387" i="3"/>
  <c r="N1387" i="3"/>
  <c r="P1387" i="3"/>
  <c r="K1387" i="3"/>
  <c r="O1387" i="3"/>
  <c r="I1387" i="3"/>
  <c r="S1387" i="3" s="1"/>
  <c r="M1387" i="3"/>
  <c r="I1422" i="3"/>
  <c r="M1422" i="3"/>
  <c r="Q1422" i="3"/>
  <c r="O1422" i="3"/>
  <c r="N1422" i="3"/>
  <c r="L1422" i="3"/>
  <c r="J1422" i="3"/>
  <c r="K1422" i="3"/>
  <c r="P1422" i="3"/>
  <c r="R1422" i="3"/>
  <c r="I1554" i="3"/>
  <c r="M1554" i="3"/>
  <c r="J1554" i="3"/>
  <c r="Q1554" i="3"/>
  <c r="O1554" i="3"/>
  <c r="N1554" i="3"/>
  <c r="L1554" i="3"/>
  <c r="P1554" i="3"/>
  <c r="K1554" i="3"/>
  <c r="R1554" i="3"/>
  <c r="J1377" i="3"/>
  <c r="Q1377" i="3"/>
  <c r="O1377" i="3"/>
  <c r="K1377" i="3"/>
  <c r="I1377" i="3"/>
  <c r="R1377" i="3"/>
  <c r="M1377" i="3"/>
  <c r="N1377" i="3"/>
  <c r="P1377" i="3"/>
  <c r="L1377" i="3"/>
  <c r="O1437" i="3"/>
  <c r="P1437" i="3"/>
  <c r="K1437" i="3"/>
  <c r="J1437" i="3"/>
  <c r="R1437" i="3"/>
  <c r="Q1437" i="3"/>
  <c r="M1437" i="3"/>
  <c r="I1437" i="3"/>
  <c r="L1437" i="3"/>
  <c r="N1437" i="3"/>
  <c r="K1416" i="3"/>
  <c r="J1416" i="3"/>
  <c r="N1416" i="3"/>
  <c r="Q1416" i="3"/>
  <c r="I1416" i="3"/>
  <c r="L1416" i="3"/>
  <c r="O1416" i="3"/>
  <c r="R1416" i="3"/>
  <c r="P1416" i="3"/>
  <c r="M1416" i="3"/>
  <c r="L1448" i="3"/>
  <c r="Q1448" i="3"/>
  <c r="N1448" i="3"/>
  <c r="R1448" i="3"/>
  <c r="I1448" i="3"/>
  <c r="S1448" i="3" s="1"/>
  <c r="J1448" i="3"/>
  <c r="O1448" i="3"/>
  <c r="K1448" i="3"/>
  <c r="P1448" i="3"/>
  <c r="M1448" i="3"/>
  <c r="Q1499" i="3"/>
  <c r="I1499" i="3"/>
  <c r="K1499" i="3"/>
  <c r="J1499" i="3"/>
  <c r="P1499" i="3"/>
  <c r="O1499" i="3"/>
  <c r="M1499" i="3"/>
  <c r="R1499" i="3"/>
  <c r="L1499" i="3"/>
  <c r="N1499" i="3"/>
  <c r="N1431" i="3"/>
  <c r="Q1431" i="3"/>
  <c r="K1431" i="3"/>
  <c r="O1431" i="3"/>
  <c r="P1431" i="3"/>
  <c r="I1431" i="3"/>
  <c r="R1431" i="3"/>
  <c r="M1431" i="3"/>
  <c r="J1431" i="3"/>
  <c r="L1431" i="3"/>
  <c r="I1463" i="3"/>
  <c r="K1463" i="3"/>
  <c r="P1463" i="3"/>
  <c r="L1463" i="3"/>
  <c r="O1463" i="3"/>
  <c r="R1463" i="3"/>
  <c r="M1463" i="3"/>
  <c r="J1463" i="3"/>
  <c r="Q1463" i="3"/>
  <c r="N1463" i="3"/>
  <c r="N1438" i="3"/>
  <c r="M1438" i="3"/>
  <c r="R1438" i="3"/>
  <c r="J1438" i="3"/>
  <c r="K1438" i="3"/>
  <c r="O1438" i="3"/>
  <c r="Q1438" i="3"/>
  <c r="P1438" i="3"/>
  <c r="I1438" i="3"/>
  <c r="L1438" i="3"/>
  <c r="N1470" i="3"/>
  <c r="M1470" i="3"/>
  <c r="R1470" i="3"/>
  <c r="J1470" i="3"/>
  <c r="K1470" i="3"/>
  <c r="O1470" i="3"/>
  <c r="Q1470" i="3"/>
  <c r="P1470" i="3"/>
  <c r="I1470" i="3"/>
  <c r="L1470" i="3"/>
  <c r="N1449" i="3"/>
  <c r="K1449" i="3"/>
  <c r="L1449" i="3"/>
  <c r="P1449" i="3"/>
  <c r="Q1449" i="3"/>
  <c r="M1449" i="3"/>
  <c r="I1449" i="3"/>
  <c r="O1449" i="3"/>
  <c r="R1449" i="3"/>
  <c r="J1449" i="3"/>
  <c r="O1482" i="3"/>
  <c r="M1482" i="3"/>
  <c r="L1482" i="3"/>
  <c r="Q1482" i="3"/>
  <c r="R1482" i="3"/>
  <c r="N1482" i="3"/>
  <c r="I1482" i="3"/>
  <c r="S1482" i="3" s="1"/>
  <c r="P1482" i="3"/>
  <c r="K1482" i="3"/>
  <c r="J1482" i="3"/>
  <c r="K1488" i="3"/>
  <c r="M1488" i="3"/>
  <c r="Q1488" i="3"/>
  <c r="L1488" i="3"/>
  <c r="N1488" i="3"/>
  <c r="J1488" i="3"/>
  <c r="R1488" i="3"/>
  <c r="O1488" i="3"/>
  <c r="P1488" i="3"/>
  <c r="I1488" i="3"/>
  <c r="M1492" i="3"/>
  <c r="J1492" i="3"/>
  <c r="R1492" i="3"/>
  <c r="Q1492" i="3"/>
  <c r="O1492" i="3"/>
  <c r="N1492" i="3"/>
  <c r="P1492" i="3"/>
  <c r="K1492" i="3"/>
  <c r="L1492" i="3"/>
  <c r="I1492" i="3"/>
  <c r="P1592" i="3"/>
  <c r="N1592" i="3"/>
  <c r="L1592" i="3"/>
  <c r="Q1592" i="3"/>
  <c r="M1592" i="3"/>
  <c r="R1592" i="3"/>
  <c r="I1592" i="3"/>
  <c r="O1592" i="3"/>
  <c r="J1592" i="3"/>
  <c r="K1592" i="3"/>
  <c r="Q1531" i="3"/>
  <c r="I1531" i="3"/>
  <c r="K1531" i="3"/>
  <c r="O1531" i="3"/>
  <c r="R1531" i="3"/>
  <c r="N1531" i="3"/>
  <c r="P1531" i="3"/>
  <c r="J1531" i="3"/>
  <c r="M1531" i="3"/>
  <c r="L1531" i="3"/>
  <c r="M1558" i="3"/>
  <c r="Q1558" i="3"/>
  <c r="I1558" i="3"/>
  <c r="L1558" i="3"/>
  <c r="K1558" i="3"/>
  <c r="P1558" i="3"/>
  <c r="R1558" i="3"/>
  <c r="O1558" i="3"/>
  <c r="J1558" i="3"/>
  <c r="N1558" i="3"/>
  <c r="O1510" i="3"/>
  <c r="Q1510" i="3"/>
  <c r="I1510" i="3"/>
  <c r="S1510" i="3" s="1"/>
  <c r="K1510" i="3"/>
  <c r="N1510" i="3"/>
  <c r="M1510" i="3"/>
  <c r="J1510" i="3"/>
  <c r="L1510" i="3"/>
  <c r="P1510" i="3"/>
  <c r="R1510" i="3"/>
  <c r="Q1552" i="3"/>
  <c r="K1552" i="3"/>
  <c r="J1552" i="3"/>
  <c r="M1552" i="3"/>
  <c r="I1552" i="3"/>
  <c r="R1552" i="3"/>
  <c r="P1552" i="3"/>
  <c r="N1552" i="3"/>
  <c r="L1552" i="3"/>
  <c r="O1552" i="3"/>
  <c r="R1598" i="3"/>
  <c r="O1598" i="3"/>
  <c r="J1598" i="3"/>
  <c r="K1598" i="3"/>
  <c r="P1598" i="3"/>
  <c r="M1598" i="3"/>
  <c r="Q1598" i="3"/>
  <c r="I1598" i="3"/>
  <c r="N1598" i="3"/>
  <c r="L1598" i="3"/>
  <c r="M1509" i="3"/>
  <c r="J1509" i="3"/>
  <c r="N1509" i="3"/>
  <c r="R1509" i="3"/>
  <c r="P1509" i="3"/>
  <c r="K1509" i="3"/>
  <c r="Q1509" i="3"/>
  <c r="O1509" i="3"/>
  <c r="L1509" i="3"/>
  <c r="I1509" i="3"/>
  <c r="O1556" i="3"/>
  <c r="Q1556" i="3"/>
  <c r="M1556" i="3"/>
  <c r="I1556" i="3"/>
  <c r="R1556" i="3"/>
  <c r="L1556" i="3"/>
  <c r="P1556" i="3"/>
  <c r="J1556" i="3"/>
  <c r="N1556" i="3"/>
  <c r="K1556" i="3"/>
  <c r="O1547" i="3"/>
  <c r="K1547" i="3"/>
  <c r="M1547" i="3"/>
  <c r="L1547" i="3"/>
  <c r="Q1547" i="3"/>
  <c r="P1547" i="3"/>
  <c r="J1547" i="3"/>
  <c r="R1547" i="3"/>
  <c r="I1547" i="3"/>
  <c r="S1547" i="3" s="1"/>
  <c r="N1547" i="3"/>
  <c r="L1579" i="3"/>
  <c r="O1579" i="3"/>
  <c r="K1579" i="3"/>
  <c r="R1579" i="3"/>
  <c r="N1579" i="3"/>
  <c r="J1579" i="3"/>
  <c r="P1579" i="3"/>
  <c r="I1579" i="3"/>
  <c r="Q1579" i="3"/>
  <c r="M1579" i="3"/>
  <c r="M1609" i="3"/>
  <c r="L1609" i="3"/>
  <c r="R1609" i="3"/>
  <c r="Q1609" i="3"/>
  <c r="I1609" i="3"/>
  <c r="S1609" i="3" s="1"/>
  <c r="N1609" i="3"/>
  <c r="K1609" i="3"/>
  <c r="P1609" i="3"/>
  <c r="O1609" i="3"/>
  <c r="J1609" i="3"/>
  <c r="N1541" i="3"/>
  <c r="O1541" i="3"/>
  <c r="R1541" i="3"/>
  <c r="I1541" i="3"/>
  <c r="L1541" i="3"/>
  <c r="P1541" i="3"/>
  <c r="M1541" i="3"/>
  <c r="J1541" i="3"/>
  <c r="Q1541" i="3"/>
  <c r="K1541" i="3"/>
  <c r="P1573" i="3"/>
  <c r="R1573" i="3"/>
  <c r="K1573" i="3"/>
  <c r="O1573" i="3"/>
  <c r="I1573" i="3"/>
  <c r="Q1573" i="3"/>
  <c r="J1573" i="3"/>
  <c r="N1573" i="3"/>
  <c r="L1573" i="3"/>
  <c r="M1573" i="3"/>
  <c r="J1614" i="3"/>
  <c r="I1614" i="3"/>
  <c r="Q1614" i="3"/>
  <c r="L1614" i="3"/>
  <c r="O1614" i="3"/>
  <c r="K1614" i="3"/>
  <c r="P1614" i="3"/>
  <c r="M1614" i="3"/>
  <c r="N1614" i="3"/>
  <c r="R1614" i="3"/>
  <c r="R1648" i="3"/>
  <c r="N1648" i="3"/>
  <c r="J1648" i="3"/>
  <c r="Q1648" i="3"/>
  <c r="K1648" i="3"/>
  <c r="I1648" i="3"/>
  <c r="P1648" i="3"/>
  <c r="O1648" i="3"/>
  <c r="M1648" i="3"/>
  <c r="L1648" i="3"/>
  <c r="R1657" i="3"/>
  <c r="J1657" i="3"/>
  <c r="N1657" i="3"/>
  <c r="Q1657" i="3"/>
  <c r="M1657" i="3"/>
  <c r="I1657" i="3"/>
  <c r="O1657" i="3"/>
  <c r="L1657" i="3"/>
  <c r="K1657" i="3"/>
  <c r="P1657" i="3"/>
  <c r="P1624" i="3"/>
  <c r="K1624" i="3"/>
  <c r="N1624" i="3"/>
  <c r="L1624" i="3"/>
  <c r="O1624" i="3"/>
  <c r="Q1624" i="3"/>
  <c r="R1624" i="3"/>
  <c r="J1624" i="3"/>
  <c r="I1624" i="3"/>
  <c r="S1624" i="3" s="1"/>
  <c r="M1624" i="3"/>
  <c r="Q1615" i="3"/>
  <c r="M1615" i="3"/>
  <c r="N1615" i="3"/>
  <c r="I1615" i="3"/>
  <c r="L1615" i="3"/>
  <c r="O1615" i="3"/>
  <c r="J1615" i="3"/>
  <c r="P1615" i="3"/>
  <c r="R1615" i="3"/>
  <c r="K1615" i="3"/>
  <c r="O1661" i="3"/>
  <c r="I1661" i="3"/>
  <c r="Q1661" i="3"/>
  <c r="J1661" i="3"/>
  <c r="P1661" i="3"/>
  <c r="N1661" i="3"/>
  <c r="M1661" i="3"/>
  <c r="K1661" i="3"/>
  <c r="L1661" i="3"/>
  <c r="R1661" i="3"/>
  <c r="L1677" i="3"/>
  <c r="R1677" i="3"/>
  <c r="O1677" i="3"/>
  <c r="P1677" i="3"/>
  <c r="Q1677" i="3"/>
  <c r="M1677" i="3"/>
  <c r="K1677" i="3"/>
  <c r="J1677" i="3"/>
  <c r="N1677" i="3"/>
  <c r="I1677" i="3"/>
  <c r="P1643" i="3"/>
  <c r="R1643" i="3"/>
  <c r="O1643" i="3"/>
  <c r="Q1643" i="3"/>
  <c r="I1643" i="3"/>
  <c r="L1643" i="3"/>
  <c r="J1643" i="3"/>
  <c r="K1643" i="3"/>
  <c r="N1643" i="3"/>
  <c r="M1643" i="3"/>
  <c r="P1671" i="3"/>
  <c r="N1671" i="3"/>
  <c r="L1671" i="3"/>
  <c r="M1671" i="3"/>
  <c r="R1671" i="3"/>
  <c r="Q1671" i="3"/>
  <c r="O1671" i="3"/>
  <c r="J1671" i="3"/>
  <c r="I1671" i="3"/>
  <c r="K1671" i="3"/>
  <c r="Q1662" i="3"/>
  <c r="M1662" i="3"/>
  <c r="R1662" i="3"/>
  <c r="L1662" i="3"/>
  <c r="K1662" i="3"/>
  <c r="O1662" i="3"/>
  <c r="I1662" i="3"/>
  <c r="P1662" i="3"/>
  <c r="J1662" i="3"/>
  <c r="N1662" i="3"/>
  <c r="I1697" i="3"/>
  <c r="O1697" i="3"/>
  <c r="N1697" i="3"/>
  <c r="R1697" i="3"/>
  <c r="P1697" i="3"/>
  <c r="M1697" i="3"/>
  <c r="J1697" i="3"/>
  <c r="Q1697" i="3"/>
  <c r="L1697" i="3"/>
  <c r="K1697" i="3"/>
  <c r="P1702" i="3"/>
  <c r="K1702" i="3"/>
  <c r="N1702" i="3"/>
  <c r="L1702" i="3"/>
  <c r="I1702" i="3"/>
  <c r="R1702" i="3"/>
  <c r="J1702" i="3"/>
  <c r="O1702" i="3"/>
  <c r="Q1702" i="3"/>
  <c r="M1702" i="3"/>
  <c r="J1730" i="3"/>
  <c r="N1730" i="3"/>
  <c r="R1730" i="3"/>
  <c r="M1730" i="3"/>
  <c r="I1730" i="3"/>
  <c r="L1730" i="3"/>
  <c r="P1730" i="3"/>
  <c r="O1730" i="3"/>
  <c r="Q1730" i="3"/>
  <c r="K1730" i="3"/>
  <c r="J1727" i="3"/>
  <c r="R1727" i="3"/>
  <c r="I1727" i="3"/>
  <c r="Q1727" i="3"/>
  <c r="O1727" i="3"/>
  <c r="L1727" i="3"/>
  <c r="K1727" i="3"/>
  <c r="N1727" i="3"/>
  <c r="M1727" i="3"/>
  <c r="P1727" i="3"/>
  <c r="L1703" i="3"/>
  <c r="N1703" i="3"/>
  <c r="Q1703" i="3"/>
  <c r="K1703" i="3"/>
  <c r="J1703" i="3"/>
  <c r="O1703" i="3"/>
  <c r="R1703" i="3"/>
  <c r="I1703" i="3"/>
  <c r="P1703" i="3"/>
  <c r="M1703" i="3"/>
  <c r="O1708" i="3"/>
  <c r="I1708" i="3"/>
  <c r="J1708" i="3"/>
  <c r="Q1708" i="3"/>
  <c r="N1708" i="3"/>
  <c r="K1708" i="3"/>
  <c r="R1708" i="3"/>
  <c r="P1708" i="3"/>
  <c r="L1708" i="3"/>
  <c r="M1708" i="3"/>
  <c r="O1740" i="3"/>
  <c r="K1740" i="3"/>
  <c r="R1740" i="3"/>
  <c r="P1740" i="3"/>
  <c r="M1740" i="3"/>
  <c r="L1740" i="3"/>
  <c r="I1740" i="3"/>
  <c r="S1740" i="3" s="1"/>
  <c r="J1740" i="3"/>
  <c r="Q1740" i="3"/>
  <c r="N1740" i="3"/>
  <c r="F1295" i="3"/>
  <c r="F1292" i="3"/>
  <c r="F1289" i="3"/>
  <c r="F1291" i="3"/>
  <c r="F1288" i="3"/>
  <c r="F1285" i="3"/>
  <c r="F1294" i="3"/>
  <c r="F1287" i="3"/>
  <c r="F1290" i="3"/>
  <c r="F1293" i="3"/>
  <c r="F1284" i="3"/>
  <c r="F1286" i="3"/>
  <c r="F479" i="3"/>
  <c r="F475" i="3"/>
  <c r="F471" i="3"/>
  <c r="F477" i="3"/>
  <c r="F473" i="3"/>
  <c r="F469" i="3"/>
  <c r="F470" i="3"/>
  <c r="F474" i="3"/>
  <c r="F478" i="3"/>
  <c r="F476" i="3"/>
  <c r="F468" i="3"/>
  <c r="F472" i="3"/>
  <c r="F1042" i="3"/>
  <c r="F1038" i="3"/>
  <c r="F1034" i="3"/>
  <c r="F1043" i="3"/>
  <c r="F1039" i="3"/>
  <c r="F1035" i="3"/>
  <c r="F1041" i="3"/>
  <c r="F1037" i="3"/>
  <c r="F1033" i="3"/>
  <c r="F1040" i="3"/>
  <c r="F1036" i="3"/>
  <c r="F1032" i="3"/>
  <c r="F227" i="3"/>
  <c r="F223" i="3"/>
  <c r="F219" i="3"/>
  <c r="F224" i="3"/>
  <c r="F220" i="3"/>
  <c r="F216" i="3"/>
  <c r="F226" i="3"/>
  <c r="F222" i="3"/>
  <c r="F218" i="3"/>
  <c r="F225" i="3"/>
  <c r="F221" i="3"/>
  <c r="F217" i="3"/>
  <c r="M120" i="2"/>
  <c r="L120" i="2"/>
  <c r="M202" i="2"/>
  <c r="L202" i="2"/>
  <c r="F1231" i="3"/>
  <c r="F1230" i="3"/>
  <c r="F1225" i="3"/>
  <c r="F1229" i="3"/>
  <c r="F1228" i="3"/>
  <c r="F1224" i="3"/>
  <c r="F1227" i="3"/>
  <c r="F1234" i="3"/>
  <c r="F1226" i="3"/>
  <c r="F1233" i="3"/>
  <c r="F1232" i="3"/>
  <c r="F1235" i="3"/>
  <c r="F412" i="3"/>
  <c r="F411" i="3"/>
  <c r="F410" i="3"/>
  <c r="F419" i="3"/>
  <c r="F409" i="3"/>
  <c r="F418" i="3"/>
  <c r="F408" i="3"/>
  <c r="F414" i="3"/>
  <c r="F413" i="3"/>
  <c r="F415" i="3"/>
  <c r="F417" i="3"/>
  <c r="F416" i="3"/>
  <c r="L165" i="2"/>
  <c r="L197" i="2"/>
  <c r="L229" i="2"/>
  <c r="L134" i="2"/>
  <c r="P143" i="3"/>
  <c r="O143" i="3"/>
  <c r="K143" i="3"/>
  <c r="Q143" i="3"/>
  <c r="N143" i="3"/>
  <c r="M143" i="3"/>
  <c r="J143" i="3"/>
  <c r="I143" i="3"/>
  <c r="L143" i="3"/>
  <c r="R143" i="3"/>
  <c r="Q234" i="3"/>
  <c r="I234" i="3"/>
  <c r="K234" i="3"/>
  <c r="R234" i="3"/>
  <c r="J234" i="3"/>
  <c r="O234" i="3"/>
  <c r="M234" i="3"/>
  <c r="P234" i="3"/>
  <c r="L234" i="3"/>
  <c r="N234" i="3"/>
  <c r="O261" i="3"/>
  <c r="Q261" i="3"/>
  <c r="P261" i="3"/>
  <c r="R261" i="3"/>
  <c r="I261" i="3"/>
  <c r="M261" i="3"/>
  <c r="L261" i="3"/>
  <c r="J261" i="3"/>
  <c r="K261" i="3"/>
  <c r="N261" i="3"/>
  <c r="O159" i="3"/>
  <c r="L159" i="3"/>
  <c r="J159" i="3"/>
  <c r="K159" i="3"/>
  <c r="M159" i="3"/>
  <c r="Q159" i="3"/>
  <c r="I159" i="3"/>
  <c r="S159" i="3" s="1"/>
  <c r="P159" i="3"/>
  <c r="R159" i="3"/>
  <c r="N159" i="3"/>
  <c r="J374" i="3"/>
  <c r="M374" i="3"/>
  <c r="P374" i="3"/>
  <c r="Q374" i="3"/>
  <c r="I374" i="3"/>
  <c r="S374" i="3" s="1"/>
  <c r="N374" i="3"/>
  <c r="O374" i="3"/>
  <c r="K374" i="3"/>
  <c r="R374" i="3"/>
  <c r="L374" i="3"/>
  <c r="O295" i="3"/>
  <c r="L295" i="3"/>
  <c r="R295" i="3"/>
  <c r="P295" i="3"/>
  <c r="Q295" i="3"/>
  <c r="K295" i="3"/>
  <c r="M295" i="3"/>
  <c r="I295" i="3"/>
  <c r="N295" i="3"/>
  <c r="J295" i="3"/>
  <c r="N411" i="3"/>
  <c r="P411" i="3"/>
  <c r="Q411" i="3"/>
  <c r="K411" i="3"/>
  <c r="M411" i="3"/>
  <c r="I411" i="3"/>
  <c r="J411" i="3"/>
  <c r="R411" i="3"/>
  <c r="O411" i="3"/>
  <c r="L411" i="3"/>
  <c r="I510" i="3"/>
  <c r="P510" i="3"/>
  <c r="M510" i="3"/>
  <c r="L510" i="3"/>
  <c r="R510" i="3"/>
  <c r="K510" i="3"/>
  <c r="N510" i="3"/>
  <c r="O510" i="3"/>
  <c r="Q510" i="3"/>
  <c r="J510" i="3"/>
  <c r="K960" i="3"/>
  <c r="Q960" i="3"/>
  <c r="I960" i="3"/>
  <c r="N960" i="3"/>
  <c r="R960" i="3"/>
  <c r="L960" i="3"/>
  <c r="O960" i="3"/>
  <c r="J960" i="3"/>
  <c r="M960" i="3"/>
  <c r="P960" i="3"/>
  <c r="Q1059" i="3"/>
  <c r="I1059" i="3"/>
  <c r="O1059" i="3"/>
  <c r="P1059" i="3"/>
  <c r="K1059" i="3"/>
  <c r="R1059" i="3"/>
  <c r="J1059" i="3"/>
  <c r="N1059" i="3"/>
  <c r="M1059" i="3"/>
  <c r="L1059" i="3"/>
  <c r="M1289" i="3"/>
  <c r="I1289" i="3"/>
  <c r="Q1289" i="3"/>
  <c r="N1289" i="3"/>
  <c r="L1289" i="3"/>
  <c r="J1289" i="3"/>
  <c r="K1289" i="3"/>
  <c r="O1289" i="3"/>
  <c r="R1289" i="3"/>
  <c r="P1289" i="3"/>
  <c r="I1233" i="3"/>
  <c r="P1233" i="3"/>
  <c r="R1233" i="3"/>
  <c r="O1233" i="3"/>
  <c r="M1233" i="3"/>
  <c r="N1233" i="3"/>
  <c r="K1233" i="3"/>
  <c r="Q1233" i="3"/>
  <c r="L1233" i="3"/>
  <c r="J1233" i="3"/>
  <c r="K1326" i="3"/>
  <c r="L1326" i="3"/>
  <c r="R1326" i="3"/>
  <c r="O1326" i="3"/>
  <c r="J1326" i="3"/>
  <c r="Q1326" i="3"/>
  <c r="I1326" i="3"/>
  <c r="N1326" i="3"/>
  <c r="M1326" i="3"/>
  <c r="P1326" i="3"/>
  <c r="F1505" i="3"/>
  <c r="F1511" i="3"/>
  <c r="F1508" i="3"/>
  <c r="F1501" i="3"/>
  <c r="F1510" i="3"/>
  <c r="F1507" i="3"/>
  <c r="F1504" i="3"/>
  <c r="F1509" i="3"/>
  <c r="F1502" i="3"/>
  <c r="F1500" i="3"/>
  <c r="F1503" i="3"/>
  <c r="F1506" i="3"/>
  <c r="F693" i="3"/>
  <c r="F686" i="3"/>
  <c r="F695" i="3"/>
  <c r="F692" i="3"/>
  <c r="F689" i="3"/>
  <c r="F691" i="3"/>
  <c r="F688" i="3"/>
  <c r="F685" i="3"/>
  <c r="F687" i="3"/>
  <c r="F684" i="3"/>
  <c r="F690" i="3"/>
  <c r="F694" i="3"/>
  <c r="M137" i="2"/>
  <c r="L137" i="2"/>
  <c r="Q554" i="3"/>
  <c r="I554" i="3"/>
  <c r="O554" i="3"/>
  <c r="M554" i="3"/>
  <c r="L554" i="3"/>
  <c r="K554" i="3"/>
  <c r="J554" i="3"/>
  <c r="N554" i="3"/>
  <c r="P554" i="3"/>
  <c r="R554" i="3"/>
  <c r="O602" i="3"/>
  <c r="Q602" i="3"/>
  <c r="I602" i="3"/>
  <c r="N602" i="3"/>
  <c r="M602" i="3"/>
  <c r="R602" i="3"/>
  <c r="L602" i="3"/>
  <c r="J602" i="3"/>
  <c r="P602" i="3"/>
  <c r="K602" i="3"/>
  <c r="M925" i="3"/>
  <c r="P925" i="3"/>
  <c r="N925" i="3"/>
  <c r="O925" i="3"/>
  <c r="J925" i="3"/>
  <c r="L925" i="3"/>
  <c r="R925" i="3"/>
  <c r="K925" i="3"/>
  <c r="Q925" i="3"/>
  <c r="I925" i="3"/>
  <c r="M563" i="3"/>
  <c r="O563" i="3"/>
  <c r="Q563" i="3"/>
  <c r="I563" i="3"/>
  <c r="N563" i="3"/>
  <c r="K563" i="3"/>
  <c r="L563" i="3"/>
  <c r="J563" i="3"/>
  <c r="P563" i="3"/>
  <c r="R563" i="3"/>
  <c r="M706" i="3"/>
  <c r="J706" i="3"/>
  <c r="O706" i="3"/>
  <c r="N706" i="3"/>
  <c r="P706" i="3"/>
  <c r="K706" i="3"/>
  <c r="Q706" i="3"/>
  <c r="L706" i="3"/>
  <c r="R706" i="3"/>
  <c r="I706" i="3"/>
  <c r="R768" i="3"/>
  <c r="J768" i="3"/>
  <c r="M768" i="3"/>
  <c r="Q768" i="3"/>
  <c r="N768" i="3"/>
  <c r="L768" i="3"/>
  <c r="I768" i="3"/>
  <c r="S768" i="3" s="1"/>
  <c r="O768" i="3"/>
  <c r="K768" i="3"/>
  <c r="P768" i="3"/>
  <c r="I796" i="3"/>
  <c r="O796" i="3"/>
  <c r="J796" i="3"/>
  <c r="K796" i="3"/>
  <c r="M796" i="3"/>
  <c r="P796" i="3"/>
  <c r="L796" i="3"/>
  <c r="Q796" i="3"/>
  <c r="R796" i="3"/>
  <c r="N796" i="3"/>
  <c r="N911" i="3"/>
  <c r="O911" i="3"/>
  <c r="M911" i="3"/>
  <c r="L911" i="3"/>
  <c r="K911" i="3"/>
  <c r="Q911" i="3"/>
  <c r="R911" i="3"/>
  <c r="I911" i="3"/>
  <c r="J911" i="3"/>
  <c r="P911" i="3"/>
  <c r="I1358" i="3"/>
  <c r="O1358" i="3"/>
  <c r="L1358" i="3"/>
  <c r="N1358" i="3"/>
  <c r="P1358" i="3"/>
  <c r="J1358" i="3"/>
  <c r="K1358" i="3"/>
  <c r="Q1358" i="3"/>
  <c r="M1358" i="3"/>
  <c r="R1358" i="3"/>
  <c r="J1357" i="3"/>
  <c r="O1357" i="3"/>
  <c r="K1357" i="3"/>
  <c r="R1357" i="3"/>
  <c r="P1357" i="3"/>
  <c r="Q1357" i="3"/>
  <c r="M1357" i="3"/>
  <c r="N1357" i="3"/>
  <c r="L1357" i="3"/>
  <c r="I1357" i="3"/>
  <c r="J1475" i="3"/>
  <c r="N1475" i="3"/>
  <c r="P1475" i="3"/>
  <c r="O1475" i="3"/>
  <c r="M1475" i="3"/>
  <c r="Q1475" i="3"/>
  <c r="L1475" i="3"/>
  <c r="I1475" i="3"/>
  <c r="K1475" i="3"/>
  <c r="R1475" i="3"/>
  <c r="O1629" i="3"/>
  <c r="I1629" i="3"/>
  <c r="K1629" i="3"/>
  <c r="L1629" i="3"/>
  <c r="P1629" i="3"/>
  <c r="N1629" i="3"/>
  <c r="Q1629" i="3"/>
  <c r="M1629" i="3"/>
  <c r="J1629" i="3"/>
  <c r="R1629" i="3"/>
  <c r="R1576" i="3"/>
  <c r="J1576" i="3"/>
  <c r="N1576" i="3"/>
  <c r="Q1576" i="3"/>
  <c r="M1576" i="3"/>
  <c r="I1576" i="3"/>
  <c r="L1576" i="3"/>
  <c r="K1576" i="3"/>
  <c r="P1576" i="3"/>
  <c r="O1576" i="3"/>
  <c r="N1636" i="3"/>
  <c r="K1636" i="3"/>
  <c r="M1636" i="3"/>
  <c r="P1636" i="3"/>
  <c r="Q1636" i="3"/>
  <c r="R1636" i="3"/>
  <c r="I1636" i="3"/>
  <c r="S1636" i="3" s="1"/>
  <c r="O1636" i="3"/>
  <c r="L1636" i="3"/>
  <c r="J1636" i="3"/>
  <c r="Q1668" i="3"/>
  <c r="K1668" i="3"/>
  <c r="I1668" i="3"/>
  <c r="O1668" i="3"/>
  <c r="J1668" i="3"/>
  <c r="N1668" i="3"/>
  <c r="P1668" i="3"/>
  <c r="R1668" i="3"/>
  <c r="M1668" i="3"/>
  <c r="L1668" i="3"/>
  <c r="P1735" i="3"/>
  <c r="K1735" i="3"/>
  <c r="O1735" i="3"/>
  <c r="J1735" i="3"/>
  <c r="N1735" i="3"/>
  <c r="Q1735" i="3"/>
  <c r="L1735" i="3"/>
  <c r="R1735" i="3"/>
  <c r="M1735" i="3"/>
  <c r="I1735" i="3"/>
  <c r="U133" i="2"/>
  <c r="M209" i="2"/>
  <c r="L209" i="2"/>
  <c r="M146" i="2"/>
  <c r="L146" i="2"/>
  <c r="M208" i="2"/>
  <c r="L208" i="2"/>
  <c r="M207" i="2"/>
  <c r="L207" i="2"/>
  <c r="M193" i="2"/>
  <c r="L193" i="2"/>
  <c r="M210" i="2"/>
  <c r="L210" i="2"/>
  <c r="M132" i="2"/>
  <c r="L132" i="2"/>
  <c r="N126" i="3"/>
  <c r="K126" i="3"/>
  <c r="M126" i="3"/>
  <c r="L126" i="3"/>
  <c r="P126" i="3"/>
  <c r="R126" i="3"/>
  <c r="J126" i="3"/>
  <c r="O126" i="3"/>
  <c r="Q126" i="3"/>
  <c r="I126" i="3"/>
  <c r="Q147" i="3"/>
  <c r="I147" i="3"/>
  <c r="L147" i="3"/>
  <c r="J147" i="3"/>
  <c r="N147" i="3"/>
  <c r="K147" i="3"/>
  <c r="M147" i="3"/>
  <c r="O147" i="3"/>
  <c r="R147" i="3"/>
  <c r="P147" i="3"/>
  <c r="Q132" i="3"/>
  <c r="P132" i="3"/>
  <c r="J132" i="3"/>
  <c r="M132" i="3"/>
  <c r="I132" i="3"/>
  <c r="S132" i="3" s="1"/>
  <c r="R132" i="3"/>
  <c r="L132" i="3"/>
  <c r="O132" i="3"/>
  <c r="N132" i="3"/>
  <c r="K132" i="3"/>
  <c r="P127" i="3"/>
  <c r="O127" i="3"/>
  <c r="N127" i="3"/>
  <c r="L127" i="3"/>
  <c r="Q127" i="3"/>
  <c r="I127" i="3"/>
  <c r="R127" i="3"/>
  <c r="K127" i="3"/>
  <c r="J127" i="3"/>
  <c r="M127" i="3"/>
  <c r="I416" i="3"/>
  <c r="S416" i="3" s="1"/>
  <c r="R416" i="3"/>
  <c r="L416" i="3"/>
  <c r="P416" i="3"/>
  <c r="M416" i="3"/>
  <c r="N416" i="3"/>
  <c r="J416" i="3"/>
  <c r="O416" i="3"/>
  <c r="Q416" i="3"/>
  <c r="K416" i="3"/>
  <c r="I162" i="3"/>
  <c r="P162" i="3"/>
  <c r="K162" i="3"/>
  <c r="O162" i="3"/>
  <c r="J162" i="3"/>
  <c r="M162" i="3"/>
  <c r="R162" i="3"/>
  <c r="Q162" i="3"/>
  <c r="N162" i="3"/>
  <c r="L162" i="3"/>
  <c r="J194" i="3"/>
  <c r="I194" i="3"/>
  <c r="L194" i="3"/>
  <c r="K194" i="3"/>
  <c r="O194" i="3"/>
  <c r="M194" i="3"/>
  <c r="P194" i="3"/>
  <c r="Q194" i="3"/>
  <c r="N194" i="3"/>
  <c r="R194" i="3"/>
  <c r="J226" i="3"/>
  <c r="I226" i="3"/>
  <c r="L226" i="3"/>
  <c r="K226" i="3"/>
  <c r="O226" i="3"/>
  <c r="M226" i="3"/>
  <c r="R226" i="3"/>
  <c r="N226" i="3"/>
  <c r="Q226" i="3"/>
  <c r="P226" i="3"/>
  <c r="J258" i="3"/>
  <c r="I258" i="3"/>
  <c r="L258" i="3"/>
  <c r="K258" i="3"/>
  <c r="O258" i="3"/>
  <c r="M258" i="3"/>
  <c r="P258" i="3"/>
  <c r="R258" i="3"/>
  <c r="N258" i="3"/>
  <c r="Q258" i="3"/>
  <c r="K472" i="3"/>
  <c r="M472" i="3"/>
  <c r="O472" i="3"/>
  <c r="R472" i="3"/>
  <c r="Q472" i="3"/>
  <c r="P472" i="3"/>
  <c r="I472" i="3"/>
  <c r="S472" i="3" s="1"/>
  <c r="N472" i="3"/>
  <c r="J472" i="3"/>
  <c r="L472" i="3"/>
  <c r="Q157" i="3"/>
  <c r="I157" i="3"/>
  <c r="M157" i="3"/>
  <c r="K157" i="3"/>
  <c r="J157" i="3"/>
  <c r="P157" i="3"/>
  <c r="O157" i="3"/>
  <c r="R157" i="3"/>
  <c r="N157" i="3"/>
  <c r="L157" i="3"/>
  <c r="J189" i="3"/>
  <c r="Q189" i="3"/>
  <c r="I189" i="3"/>
  <c r="S189" i="3" s="1"/>
  <c r="M189" i="3"/>
  <c r="L189" i="3"/>
  <c r="K189" i="3"/>
  <c r="N189" i="3"/>
  <c r="P189" i="3"/>
  <c r="R189" i="3"/>
  <c r="O189" i="3"/>
  <c r="J221" i="3"/>
  <c r="Q221" i="3"/>
  <c r="I221" i="3"/>
  <c r="M221" i="3"/>
  <c r="L221" i="3"/>
  <c r="K221" i="3"/>
  <c r="N221" i="3"/>
  <c r="P221" i="3"/>
  <c r="R221" i="3"/>
  <c r="O221" i="3"/>
  <c r="J253" i="3"/>
  <c r="Q253" i="3"/>
  <c r="I253" i="3"/>
  <c r="M253" i="3"/>
  <c r="L253" i="3"/>
  <c r="K253" i="3"/>
  <c r="N253" i="3"/>
  <c r="P253" i="3"/>
  <c r="O253" i="3"/>
  <c r="R253" i="3"/>
  <c r="O349" i="3"/>
  <c r="M349" i="3"/>
  <c r="Q349" i="3"/>
  <c r="L349" i="3"/>
  <c r="I349" i="3"/>
  <c r="S349" i="3" s="1"/>
  <c r="P349" i="3"/>
  <c r="N349" i="3"/>
  <c r="R349" i="3"/>
  <c r="J349" i="3"/>
  <c r="K349" i="3"/>
  <c r="M156" i="3"/>
  <c r="O156" i="3"/>
  <c r="I156" i="3"/>
  <c r="S156" i="3" s="1"/>
  <c r="K156" i="3"/>
  <c r="L156" i="3"/>
  <c r="J156" i="3"/>
  <c r="Q156" i="3"/>
  <c r="N156" i="3"/>
  <c r="R156" i="3"/>
  <c r="P156" i="3"/>
  <c r="M188" i="3"/>
  <c r="P188" i="3"/>
  <c r="O188" i="3"/>
  <c r="K188" i="3"/>
  <c r="Q188" i="3"/>
  <c r="I188" i="3"/>
  <c r="J188" i="3"/>
  <c r="R188" i="3"/>
  <c r="N188" i="3"/>
  <c r="L188" i="3"/>
  <c r="M220" i="3"/>
  <c r="P220" i="3"/>
  <c r="O220" i="3"/>
  <c r="K220" i="3"/>
  <c r="Q220" i="3"/>
  <c r="I220" i="3"/>
  <c r="R220" i="3"/>
  <c r="N220" i="3"/>
  <c r="J220" i="3"/>
  <c r="L220" i="3"/>
  <c r="M252" i="3"/>
  <c r="P252" i="3"/>
  <c r="O252" i="3"/>
  <c r="K252" i="3"/>
  <c r="Q252" i="3"/>
  <c r="I252" i="3"/>
  <c r="J252" i="3"/>
  <c r="N252" i="3"/>
  <c r="R252" i="3"/>
  <c r="L252" i="3"/>
  <c r="J361" i="3"/>
  <c r="M361" i="3"/>
  <c r="Q361" i="3"/>
  <c r="I361" i="3"/>
  <c r="N361" i="3"/>
  <c r="K361" i="3"/>
  <c r="L361" i="3"/>
  <c r="O361" i="3"/>
  <c r="P361" i="3"/>
  <c r="R361" i="3"/>
  <c r="L365" i="3"/>
  <c r="R365" i="3"/>
  <c r="J365" i="3"/>
  <c r="M365" i="3"/>
  <c r="Q365" i="3"/>
  <c r="I365" i="3"/>
  <c r="N365" i="3"/>
  <c r="P365" i="3"/>
  <c r="K365" i="3"/>
  <c r="O365" i="3"/>
  <c r="K183" i="3"/>
  <c r="M183" i="3"/>
  <c r="Q183" i="3"/>
  <c r="I183" i="3"/>
  <c r="O183" i="3"/>
  <c r="P183" i="3"/>
  <c r="L183" i="3"/>
  <c r="R183" i="3"/>
  <c r="J183" i="3"/>
  <c r="N183" i="3"/>
  <c r="K215" i="3"/>
  <c r="M215" i="3"/>
  <c r="Q215" i="3"/>
  <c r="I215" i="3"/>
  <c r="O215" i="3"/>
  <c r="P215" i="3"/>
  <c r="L215" i="3"/>
  <c r="R215" i="3"/>
  <c r="J215" i="3"/>
  <c r="N215" i="3"/>
  <c r="K247" i="3"/>
  <c r="M247" i="3"/>
  <c r="Q247" i="3"/>
  <c r="I247" i="3"/>
  <c r="O247" i="3"/>
  <c r="P247" i="3"/>
  <c r="L247" i="3"/>
  <c r="R247" i="3"/>
  <c r="N247" i="3"/>
  <c r="J247" i="3"/>
  <c r="Q325" i="3"/>
  <c r="O325" i="3"/>
  <c r="I325" i="3"/>
  <c r="K325" i="3"/>
  <c r="R325" i="3"/>
  <c r="N325" i="3"/>
  <c r="P325" i="3"/>
  <c r="L325" i="3"/>
  <c r="M325" i="3"/>
  <c r="J325" i="3"/>
  <c r="R302" i="3"/>
  <c r="J302" i="3"/>
  <c r="O302" i="3"/>
  <c r="L302" i="3"/>
  <c r="K302" i="3"/>
  <c r="I302" i="3"/>
  <c r="Q302" i="3"/>
  <c r="M302" i="3"/>
  <c r="P302" i="3"/>
  <c r="N302" i="3"/>
  <c r="L334" i="3"/>
  <c r="I334" i="3"/>
  <c r="Q334" i="3"/>
  <c r="O334" i="3"/>
  <c r="K334" i="3"/>
  <c r="M334" i="3"/>
  <c r="P334" i="3"/>
  <c r="J334" i="3"/>
  <c r="R334" i="3"/>
  <c r="N334" i="3"/>
  <c r="N366" i="3"/>
  <c r="L366" i="3"/>
  <c r="O366" i="3"/>
  <c r="I366" i="3"/>
  <c r="K366" i="3"/>
  <c r="R366" i="3"/>
  <c r="M366" i="3"/>
  <c r="P366" i="3"/>
  <c r="J366" i="3"/>
  <c r="Q366" i="3"/>
  <c r="N398" i="3"/>
  <c r="L398" i="3"/>
  <c r="R398" i="3"/>
  <c r="O398" i="3"/>
  <c r="K398" i="3"/>
  <c r="Q398" i="3"/>
  <c r="J398" i="3"/>
  <c r="M398" i="3"/>
  <c r="P398" i="3"/>
  <c r="I398" i="3"/>
  <c r="I480" i="3"/>
  <c r="N480" i="3"/>
  <c r="P480" i="3"/>
  <c r="R480" i="3"/>
  <c r="J480" i="3"/>
  <c r="O480" i="3"/>
  <c r="M480" i="3"/>
  <c r="L480" i="3"/>
  <c r="Q480" i="3"/>
  <c r="K480" i="3"/>
  <c r="Q300" i="3"/>
  <c r="I300" i="3"/>
  <c r="R300" i="3"/>
  <c r="N300" i="3"/>
  <c r="K300" i="3"/>
  <c r="L300" i="3"/>
  <c r="O300" i="3"/>
  <c r="J300" i="3"/>
  <c r="M300" i="3"/>
  <c r="P300" i="3"/>
  <c r="Q332" i="3"/>
  <c r="P332" i="3"/>
  <c r="I332" i="3"/>
  <c r="S332" i="3" s="1"/>
  <c r="N332" i="3"/>
  <c r="L332" i="3"/>
  <c r="J332" i="3"/>
  <c r="K332" i="3"/>
  <c r="O332" i="3"/>
  <c r="M332" i="3"/>
  <c r="R332" i="3"/>
  <c r="Q364" i="3"/>
  <c r="N364" i="3"/>
  <c r="M364" i="3"/>
  <c r="I364" i="3"/>
  <c r="R364" i="3"/>
  <c r="J364" i="3"/>
  <c r="P364" i="3"/>
  <c r="K364" i="3"/>
  <c r="O364" i="3"/>
  <c r="L364" i="3"/>
  <c r="Q396" i="3"/>
  <c r="I396" i="3"/>
  <c r="R396" i="3"/>
  <c r="J396" i="3"/>
  <c r="P396" i="3"/>
  <c r="K396" i="3"/>
  <c r="N396" i="3"/>
  <c r="M396" i="3"/>
  <c r="O396" i="3"/>
  <c r="L396" i="3"/>
  <c r="K520" i="3"/>
  <c r="M520" i="3"/>
  <c r="R520" i="3"/>
  <c r="J520" i="3"/>
  <c r="Q520" i="3"/>
  <c r="L520" i="3"/>
  <c r="I520" i="3"/>
  <c r="O520" i="3"/>
  <c r="N520" i="3"/>
  <c r="P520" i="3"/>
  <c r="Q287" i="3"/>
  <c r="N287" i="3"/>
  <c r="M287" i="3"/>
  <c r="I287" i="3"/>
  <c r="L287" i="3"/>
  <c r="O287" i="3"/>
  <c r="K287" i="3"/>
  <c r="J287" i="3"/>
  <c r="P287" i="3"/>
  <c r="R287" i="3"/>
  <c r="Q319" i="3"/>
  <c r="M319" i="3"/>
  <c r="I319" i="3"/>
  <c r="K319" i="3"/>
  <c r="O319" i="3"/>
  <c r="J319" i="3"/>
  <c r="R319" i="3"/>
  <c r="N319" i="3"/>
  <c r="L319" i="3"/>
  <c r="P319" i="3"/>
  <c r="Q351" i="3"/>
  <c r="M351" i="3"/>
  <c r="I351" i="3"/>
  <c r="L351" i="3"/>
  <c r="P351" i="3"/>
  <c r="O351" i="3"/>
  <c r="N351" i="3"/>
  <c r="J351" i="3"/>
  <c r="K351" i="3"/>
  <c r="R351" i="3"/>
  <c r="J383" i="3"/>
  <c r="Q383" i="3"/>
  <c r="M383" i="3"/>
  <c r="I383" i="3"/>
  <c r="L383" i="3"/>
  <c r="K383" i="3"/>
  <c r="P383" i="3"/>
  <c r="O383" i="3"/>
  <c r="N383" i="3"/>
  <c r="R383" i="3"/>
  <c r="J492" i="3"/>
  <c r="K492" i="3"/>
  <c r="P492" i="3"/>
  <c r="M492" i="3"/>
  <c r="R492" i="3"/>
  <c r="O492" i="3"/>
  <c r="N492" i="3"/>
  <c r="Q492" i="3"/>
  <c r="I492" i="3"/>
  <c r="L492" i="3"/>
  <c r="M429" i="3"/>
  <c r="Q429" i="3"/>
  <c r="O429" i="3"/>
  <c r="J429" i="3"/>
  <c r="L429" i="3"/>
  <c r="K429" i="3"/>
  <c r="R429" i="3"/>
  <c r="I429" i="3"/>
  <c r="P429" i="3"/>
  <c r="N429" i="3"/>
  <c r="M461" i="3"/>
  <c r="O461" i="3"/>
  <c r="J461" i="3"/>
  <c r="L461" i="3"/>
  <c r="R461" i="3"/>
  <c r="Q461" i="3"/>
  <c r="K461" i="3"/>
  <c r="I461" i="3"/>
  <c r="N461" i="3"/>
  <c r="P461" i="3"/>
  <c r="M493" i="3"/>
  <c r="R493" i="3"/>
  <c r="P493" i="3"/>
  <c r="J493" i="3"/>
  <c r="O493" i="3"/>
  <c r="L493" i="3"/>
  <c r="K493" i="3"/>
  <c r="I493" i="3"/>
  <c r="N493" i="3"/>
  <c r="Q493" i="3"/>
  <c r="M525" i="3"/>
  <c r="R525" i="3"/>
  <c r="J525" i="3"/>
  <c r="O525" i="3"/>
  <c r="I525" i="3"/>
  <c r="L525" i="3"/>
  <c r="K525" i="3"/>
  <c r="P525" i="3"/>
  <c r="N525" i="3"/>
  <c r="Q525" i="3"/>
  <c r="I435" i="3"/>
  <c r="K435" i="3"/>
  <c r="Q435" i="3"/>
  <c r="N435" i="3"/>
  <c r="O435" i="3"/>
  <c r="J435" i="3"/>
  <c r="L435" i="3"/>
  <c r="P435" i="3"/>
  <c r="R435" i="3"/>
  <c r="M435" i="3"/>
  <c r="I467" i="3"/>
  <c r="K467" i="3"/>
  <c r="N467" i="3"/>
  <c r="M467" i="3"/>
  <c r="O467" i="3"/>
  <c r="R467" i="3"/>
  <c r="L467" i="3"/>
  <c r="Q467" i="3"/>
  <c r="J467" i="3"/>
  <c r="P467" i="3"/>
  <c r="I499" i="3"/>
  <c r="K499" i="3"/>
  <c r="P499" i="3"/>
  <c r="N499" i="3"/>
  <c r="M499" i="3"/>
  <c r="Q499" i="3"/>
  <c r="O499" i="3"/>
  <c r="R499" i="3"/>
  <c r="L499" i="3"/>
  <c r="J499" i="3"/>
  <c r="P406" i="3"/>
  <c r="J406" i="3"/>
  <c r="O406" i="3"/>
  <c r="I406" i="3"/>
  <c r="K406" i="3"/>
  <c r="M406" i="3"/>
  <c r="Q406" i="3"/>
  <c r="R406" i="3"/>
  <c r="N406" i="3"/>
  <c r="L406" i="3"/>
  <c r="P438" i="3"/>
  <c r="R438" i="3"/>
  <c r="Q438" i="3"/>
  <c r="I438" i="3"/>
  <c r="L438" i="3"/>
  <c r="J438" i="3"/>
  <c r="N438" i="3"/>
  <c r="O438" i="3"/>
  <c r="M438" i="3"/>
  <c r="K438" i="3"/>
  <c r="O470" i="3"/>
  <c r="P470" i="3"/>
  <c r="Q470" i="3"/>
  <c r="I470" i="3"/>
  <c r="L470" i="3"/>
  <c r="R470" i="3"/>
  <c r="M470" i="3"/>
  <c r="K470" i="3"/>
  <c r="N470" i="3"/>
  <c r="J470" i="3"/>
  <c r="N502" i="3"/>
  <c r="P502" i="3"/>
  <c r="Q502" i="3"/>
  <c r="J502" i="3"/>
  <c r="I502" i="3"/>
  <c r="S502" i="3" s="1"/>
  <c r="L502" i="3"/>
  <c r="O502" i="3"/>
  <c r="M502" i="3"/>
  <c r="R502" i="3"/>
  <c r="K502" i="3"/>
  <c r="M941" i="3"/>
  <c r="N941" i="3"/>
  <c r="L941" i="3"/>
  <c r="O941" i="3"/>
  <c r="R941" i="3"/>
  <c r="P941" i="3"/>
  <c r="K941" i="3"/>
  <c r="J941" i="3"/>
  <c r="Q941" i="3"/>
  <c r="I941" i="3"/>
  <c r="N939" i="3"/>
  <c r="O939" i="3"/>
  <c r="M939" i="3"/>
  <c r="R939" i="3"/>
  <c r="Q939" i="3"/>
  <c r="J939" i="3"/>
  <c r="I939" i="3"/>
  <c r="P939" i="3"/>
  <c r="K939" i="3"/>
  <c r="L939" i="3"/>
  <c r="M1103" i="3"/>
  <c r="O1103" i="3"/>
  <c r="L1103" i="3"/>
  <c r="Q1103" i="3"/>
  <c r="P1103" i="3"/>
  <c r="I1103" i="3"/>
  <c r="N1103" i="3"/>
  <c r="J1103" i="3"/>
  <c r="R1103" i="3"/>
  <c r="K1103" i="3"/>
  <c r="M977" i="3"/>
  <c r="J977" i="3"/>
  <c r="L977" i="3"/>
  <c r="K977" i="3"/>
  <c r="Q977" i="3"/>
  <c r="I977" i="3"/>
  <c r="R977" i="3"/>
  <c r="O977" i="3"/>
  <c r="P977" i="3"/>
  <c r="N977" i="3"/>
  <c r="M1009" i="3"/>
  <c r="P1009" i="3"/>
  <c r="K1009" i="3"/>
  <c r="Q1009" i="3"/>
  <c r="I1009" i="3"/>
  <c r="N1009" i="3"/>
  <c r="J1009" i="3"/>
  <c r="O1009" i="3"/>
  <c r="L1009" i="3"/>
  <c r="R1009" i="3"/>
  <c r="L1041" i="3"/>
  <c r="M1041" i="3"/>
  <c r="R1041" i="3"/>
  <c r="N1041" i="3"/>
  <c r="Q1041" i="3"/>
  <c r="K1041" i="3"/>
  <c r="I1041" i="3"/>
  <c r="P1041" i="3"/>
  <c r="J1041" i="3"/>
  <c r="O1041" i="3"/>
  <c r="K1073" i="3"/>
  <c r="L1073" i="3"/>
  <c r="M1073" i="3"/>
  <c r="R1073" i="3"/>
  <c r="N1073" i="3"/>
  <c r="P1073" i="3"/>
  <c r="Q1073" i="3"/>
  <c r="I1073" i="3"/>
  <c r="J1073" i="3"/>
  <c r="O1073" i="3"/>
  <c r="K952" i="3"/>
  <c r="Q952" i="3"/>
  <c r="I952" i="3"/>
  <c r="O952" i="3"/>
  <c r="J952" i="3"/>
  <c r="L952" i="3"/>
  <c r="P952" i="3"/>
  <c r="N952" i="3"/>
  <c r="R952" i="3"/>
  <c r="M952" i="3"/>
  <c r="K984" i="3"/>
  <c r="Q984" i="3"/>
  <c r="I984" i="3"/>
  <c r="S984" i="3" s="1"/>
  <c r="O984" i="3"/>
  <c r="N984" i="3"/>
  <c r="R984" i="3"/>
  <c r="M984" i="3"/>
  <c r="L984" i="3"/>
  <c r="J984" i="3"/>
  <c r="P984" i="3"/>
  <c r="R1016" i="3"/>
  <c r="K1016" i="3"/>
  <c r="J1016" i="3"/>
  <c r="Q1016" i="3"/>
  <c r="I1016" i="3"/>
  <c r="P1016" i="3"/>
  <c r="O1016" i="3"/>
  <c r="N1016" i="3"/>
  <c r="M1016" i="3"/>
  <c r="L1016" i="3"/>
  <c r="R1048" i="3"/>
  <c r="K1048" i="3"/>
  <c r="J1048" i="3"/>
  <c r="Q1048" i="3"/>
  <c r="I1048" i="3"/>
  <c r="P1048" i="3"/>
  <c r="O1048" i="3"/>
  <c r="L1048" i="3"/>
  <c r="M1048" i="3"/>
  <c r="N1048" i="3"/>
  <c r="R1080" i="3"/>
  <c r="K1080" i="3"/>
  <c r="J1080" i="3"/>
  <c r="Q1080" i="3"/>
  <c r="I1080" i="3"/>
  <c r="S1080" i="3" s="1"/>
  <c r="P1080" i="3"/>
  <c r="O1080" i="3"/>
  <c r="L1080" i="3"/>
  <c r="M1080" i="3"/>
  <c r="N1080" i="3"/>
  <c r="Q955" i="3"/>
  <c r="I955" i="3"/>
  <c r="O955" i="3"/>
  <c r="M955" i="3"/>
  <c r="J955" i="3"/>
  <c r="L955" i="3"/>
  <c r="R955" i="3"/>
  <c r="N955" i="3"/>
  <c r="K955" i="3"/>
  <c r="P955" i="3"/>
  <c r="Q987" i="3"/>
  <c r="I987" i="3"/>
  <c r="O987" i="3"/>
  <c r="R987" i="3"/>
  <c r="N987" i="3"/>
  <c r="P987" i="3"/>
  <c r="M987" i="3"/>
  <c r="K987" i="3"/>
  <c r="L987" i="3"/>
  <c r="J987" i="3"/>
  <c r="Q1019" i="3"/>
  <c r="I1019" i="3"/>
  <c r="P1019" i="3"/>
  <c r="O1019" i="3"/>
  <c r="N1019" i="3"/>
  <c r="M1019" i="3"/>
  <c r="R1019" i="3"/>
  <c r="J1019" i="3"/>
  <c r="K1019" i="3"/>
  <c r="L1019" i="3"/>
  <c r="Q1051" i="3"/>
  <c r="I1051" i="3"/>
  <c r="P1051" i="3"/>
  <c r="O1051" i="3"/>
  <c r="L1051" i="3"/>
  <c r="M1051" i="3"/>
  <c r="N1051" i="3"/>
  <c r="R1051" i="3"/>
  <c r="J1051" i="3"/>
  <c r="K1051" i="3"/>
  <c r="Q1083" i="3"/>
  <c r="I1083" i="3"/>
  <c r="P1083" i="3"/>
  <c r="O1083" i="3"/>
  <c r="N1083" i="3"/>
  <c r="M1083" i="3"/>
  <c r="R1083" i="3"/>
  <c r="J1083" i="3"/>
  <c r="K1083" i="3"/>
  <c r="L1083" i="3"/>
  <c r="O954" i="3"/>
  <c r="M954" i="3"/>
  <c r="I954" i="3"/>
  <c r="R954" i="3"/>
  <c r="K954" i="3"/>
  <c r="P954" i="3"/>
  <c r="L954" i="3"/>
  <c r="Q954" i="3"/>
  <c r="N954" i="3"/>
  <c r="J954" i="3"/>
  <c r="O986" i="3"/>
  <c r="M986" i="3"/>
  <c r="I986" i="3"/>
  <c r="P986" i="3"/>
  <c r="L986" i="3"/>
  <c r="N986" i="3"/>
  <c r="J986" i="3"/>
  <c r="K986" i="3"/>
  <c r="Q986" i="3"/>
  <c r="R986" i="3"/>
  <c r="O1018" i="3"/>
  <c r="N1018" i="3"/>
  <c r="M1018" i="3"/>
  <c r="I1018" i="3"/>
  <c r="L1018" i="3"/>
  <c r="R1018" i="3"/>
  <c r="K1018" i="3"/>
  <c r="J1018" i="3"/>
  <c r="P1018" i="3"/>
  <c r="Q1018" i="3"/>
  <c r="O1050" i="3"/>
  <c r="N1050" i="3"/>
  <c r="M1050" i="3"/>
  <c r="I1050" i="3"/>
  <c r="R1050" i="3"/>
  <c r="L1050" i="3"/>
  <c r="K1050" i="3"/>
  <c r="P1050" i="3"/>
  <c r="Q1050" i="3"/>
  <c r="J1050" i="3"/>
  <c r="O1082" i="3"/>
  <c r="N1082" i="3"/>
  <c r="M1082" i="3"/>
  <c r="I1082" i="3"/>
  <c r="J1082" i="3"/>
  <c r="R1082" i="3"/>
  <c r="K1082" i="3"/>
  <c r="P1082" i="3"/>
  <c r="L1082" i="3"/>
  <c r="Q1082" i="3"/>
  <c r="K1139" i="3"/>
  <c r="M1139" i="3"/>
  <c r="N1139" i="3"/>
  <c r="P1139" i="3"/>
  <c r="O1139" i="3"/>
  <c r="L1139" i="3"/>
  <c r="Q1139" i="3"/>
  <c r="R1139" i="3"/>
  <c r="I1139" i="3"/>
  <c r="J1139" i="3"/>
  <c r="J1173" i="3"/>
  <c r="O1173" i="3"/>
  <c r="P1173" i="3"/>
  <c r="K1173" i="3"/>
  <c r="M1173" i="3"/>
  <c r="R1173" i="3"/>
  <c r="I1173" i="3"/>
  <c r="L1173" i="3"/>
  <c r="N1173" i="3"/>
  <c r="Q1173" i="3"/>
  <c r="O1122" i="3"/>
  <c r="Q1122" i="3"/>
  <c r="I1122" i="3"/>
  <c r="S1122" i="3" s="1"/>
  <c r="R1122" i="3"/>
  <c r="N1122" i="3"/>
  <c r="K1122" i="3"/>
  <c r="P1122" i="3"/>
  <c r="M1122" i="3"/>
  <c r="J1122" i="3"/>
  <c r="L1122" i="3"/>
  <c r="O1154" i="3"/>
  <c r="Q1154" i="3"/>
  <c r="R1154" i="3"/>
  <c r="I1154" i="3"/>
  <c r="J1154" i="3"/>
  <c r="K1154" i="3"/>
  <c r="M1154" i="3"/>
  <c r="P1154" i="3"/>
  <c r="L1154" i="3"/>
  <c r="N1154" i="3"/>
  <c r="M1121" i="3"/>
  <c r="O1121" i="3"/>
  <c r="P1121" i="3"/>
  <c r="Q1121" i="3"/>
  <c r="I1121" i="3"/>
  <c r="R1121" i="3"/>
  <c r="N1121" i="3"/>
  <c r="K1121" i="3"/>
  <c r="L1121" i="3"/>
  <c r="J1121" i="3"/>
  <c r="N1153" i="3"/>
  <c r="R1153" i="3"/>
  <c r="M1153" i="3"/>
  <c r="J1153" i="3"/>
  <c r="O1153" i="3"/>
  <c r="P1153" i="3"/>
  <c r="Q1153" i="3"/>
  <c r="I1153" i="3"/>
  <c r="K1153" i="3"/>
  <c r="L1153" i="3"/>
  <c r="R1321" i="3"/>
  <c r="Q1321" i="3"/>
  <c r="P1321" i="3"/>
  <c r="I1321" i="3"/>
  <c r="M1321" i="3"/>
  <c r="L1321" i="3"/>
  <c r="O1321" i="3"/>
  <c r="K1321" i="3"/>
  <c r="N1321" i="3"/>
  <c r="J1321" i="3"/>
  <c r="R1120" i="3"/>
  <c r="K1120" i="3"/>
  <c r="M1120" i="3"/>
  <c r="I1120" i="3"/>
  <c r="O1120" i="3"/>
  <c r="N1120" i="3"/>
  <c r="P1120" i="3"/>
  <c r="Q1120" i="3"/>
  <c r="L1120" i="3"/>
  <c r="J1120" i="3"/>
  <c r="I1152" i="3"/>
  <c r="L1152" i="3"/>
  <c r="P1152" i="3"/>
  <c r="R1152" i="3"/>
  <c r="K1152" i="3"/>
  <c r="M1152" i="3"/>
  <c r="N1152" i="3"/>
  <c r="O1152" i="3"/>
  <c r="Q1152" i="3"/>
  <c r="J1152" i="3"/>
  <c r="I1249" i="3"/>
  <c r="R1249" i="3"/>
  <c r="P1249" i="3"/>
  <c r="O1249" i="3"/>
  <c r="J1249" i="3"/>
  <c r="L1249" i="3"/>
  <c r="M1249" i="3"/>
  <c r="N1249" i="3"/>
  <c r="K1249" i="3"/>
  <c r="Q1249" i="3"/>
  <c r="J1218" i="3"/>
  <c r="Q1218" i="3"/>
  <c r="P1218" i="3"/>
  <c r="L1218" i="3"/>
  <c r="I1218" i="3"/>
  <c r="K1218" i="3"/>
  <c r="M1218" i="3"/>
  <c r="R1218" i="3"/>
  <c r="O1218" i="3"/>
  <c r="N1218" i="3"/>
  <c r="L1193" i="3"/>
  <c r="P1193" i="3"/>
  <c r="Q1193" i="3"/>
  <c r="I1193" i="3"/>
  <c r="M1193" i="3"/>
  <c r="N1193" i="3"/>
  <c r="K1193" i="3"/>
  <c r="J1193" i="3"/>
  <c r="O1193" i="3"/>
  <c r="R1193" i="3"/>
  <c r="J1245" i="3"/>
  <c r="R1245" i="3"/>
  <c r="N1245" i="3"/>
  <c r="M1245" i="3"/>
  <c r="K1245" i="3"/>
  <c r="Q1245" i="3"/>
  <c r="L1245" i="3"/>
  <c r="P1245" i="3"/>
  <c r="I1245" i="3"/>
  <c r="O1245" i="3"/>
  <c r="M1208" i="3"/>
  <c r="R1208" i="3"/>
  <c r="N1208" i="3"/>
  <c r="J1208" i="3"/>
  <c r="L1208" i="3"/>
  <c r="O1208" i="3"/>
  <c r="Q1208" i="3"/>
  <c r="K1208" i="3"/>
  <c r="I1208" i="3"/>
  <c r="P1208" i="3"/>
  <c r="P1305" i="3"/>
  <c r="I1305" i="3"/>
  <c r="M1305" i="3"/>
  <c r="L1305" i="3"/>
  <c r="O1305" i="3"/>
  <c r="K1305" i="3"/>
  <c r="N1305" i="3"/>
  <c r="J1305" i="3"/>
  <c r="R1305" i="3"/>
  <c r="Q1305" i="3"/>
  <c r="J1199" i="3"/>
  <c r="M1199" i="3"/>
  <c r="Q1199" i="3"/>
  <c r="O1199" i="3"/>
  <c r="I1199" i="3"/>
  <c r="N1199" i="3"/>
  <c r="K1199" i="3"/>
  <c r="R1199" i="3"/>
  <c r="P1199" i="3"/>
  <c r="L1199" i="3"/>
  <c r="N1261" i="3"/>
  <c r="J1261" i="3"/>
  <c r="M1261" i="3"/>
  <c r="R1261" i="3"/>
  <c r="P1261" i="3"/>
  <c r="O1261" i="3"/>
  <c r="K1261" i="3"/>
  <c r="Q1261" i="3"/>
  <c r="L1261" i="3"/>
  <c r="I1261" i="3"/>
  <c r="R1252" i="3"/>
  <c r="K1252" i="3"/>
  <c r="Q1252" i="3"/>
  <c r="P1252" i="3"/>
  <c r="J1252" i="3"/>
  <c r="L1252" i="3"/>
  <c r="I1252" i="3"/>
  <c r="O1252" i="3"/>
  <c r="N1252" i="3"/>
  <c r="M1252" i="3"/>
  <c r="P1284" i="3"/>
  <c r="K1284" i="3"/>
  <c r="R1284" i="3"/>
  <c r="N1284" i="3"/>
  <c r="M1284" i="3"/>
  <c r="L1284" i="3"/>
  <c r="J1284" i="3"/>
  <c r="I1284" i="3"/>
  <c r="O1284" i="3"/>
  <c r="Q1284" i="3"/>
  <c r="P1231" i="3"/>
  <c r="K1231" i="3"/>
  <c r="Q1231" i="3"/>
  <c r="N1231" i="3"/>
  <c r="L1231" i="3"/>
  <c r="I1231" i="3"/>
  <c r="O1231" i="3"/>
  <c r="M1231" i="3"/>
  <c r="R1231" i="3"/>
  <c r="J1231" i="3"/>
  <c r="P1263" i="3"/>
  <c r="Q1263" i="3"/>
  <c r="I1263" i="3"/>
  <c r="O1263" i="3"/>
  <c r="M1263" i="3"/>
  <c r="L1263" i="3"/>
  <c r="N1263" i="3"/>
  <c r="K1263" i="3"/>
  <c r="R1263" i="3"/>
  <c r="J1263" i="3"/>
  <c r="K1297" i="3"/>
  <c r="O1297" i="3"/>
  <c r="Q1297" i="3"/>
  <c r="I1297" i="3"/>
  <c r="R1297" i="3"/>
  <c r="P1297" i="3"/>
  <c r="L1297" i="3"/>
  <c r="M1297" i="3"/>
  <c r="J1297" i="3"/>
  <c r="N1297" i="3"/>
  <c r="P1242" i="3"/>
  <c r="R1242" i="3"/>
  <c r="Q1242" i="3"/>
  <c r="J1242" i="3"/>
  <c r="N1242" i="3"/>
  <c r="O1242" i="3"/>
  <c r="M1242" i="3"/>
  <c r="I1242" i="3"/>
  <c r="K1242" i="3"/>
  <c r="L1242" i="3"/>
  <c r="P1274" i="3"/>
  <c r="O1274" i="3"/>
  <c r="M1274" i="3"/>
  <c r="Q1274" i="3"/>
  <c r="K1274" i="3"/>
  <c r="I1274" i="3"/>
  <c r="L1274" i="3"/>
  <c r="R1274" i="3"/>
  <c r="N1274" i="3"/>
  <c r="J1274" i="3"/>
  <c r="I1320" i="3"/>
  <c r="P1320" i="3"/>
  <c r="N1320" i="3"/>
  <c r="L1320" i="3"/>
  <c r="M1320" i="3"/>
  <c r="O1320" i="3"/>
  <c r="J1320" i="3"/>
  <c r="K1320" i="3"/>
  <c r="R1320" i="3"/>
  <c r="Q1320" i="3"/>
  <c r="Q1340" i="3"/>
  <c r="O1340" i="3"/>
  <c r="I1340" i="3"/>
  <c r="N1340" i="3"/>
  <c r="L1340" i="3"/>
  <c r="R1340" i="3"/>
  <c r="J1340" i="3"/>
  <c r="M1340" i="3"/>
  <c r="P1340" i="3"/>
  <c r="K1340" i="3"/>
  <c r="K1315" i="3"/>
  <c r="M1315" i="3"/>
  <c r="P1315" i="3"/>
  <c r="Q1315" i="3"/>
  <c r="L1315" i="3"/>
  <c r="I1315" i="3"/>
  <c r="J1315" i="3"/>
  <c r="N1315" i="3"/>
  <c r="R1315" i="3"/>
  <c r="O1315" i="3"/>
  <c r="O1286" i="3"/>
  <c r="L1286" i="3"/>
  <c r="K1286" i="3"/>
  <c r="J1286" i="3"/>
  <c r="Q1286" i="3"/>
  <c r="P1286" i="3"/>
  <c r="N1286" i="3"/>
  <c r="R1286" i="3"/>
  <c r="M1286" i="3"/>
  <c r="I1286" i="3"/>
  <c r="O1318" i="3"/>
  <c r="M1318" i="3"/>
  <c r="L1318" i="3"/>
  <c r="J1318" i="3"/>
  <c r="P1318" i="3"/>
  <c r="R1318" i="3"/>
  <c r="Q1318" i="3"/>
  <c r="I1318" i="3"/>
  <c r="K1318" i="3"/>
  <c r="N1318" i="3"/>
  <c r="M194" i="2"/>
  <c r="L194" i="2"/>
  <c r="P131" i="2"/>
  <c r="O244" i="2"/>
  <c r="T244" i="2"/>
  <c r="F1003" i="3"/>
  <c r="F1004" i="3"/>
  <c r="F996" i="3"/>
  <c r="F1005" i="3"/>
  <c r="F997" i="3"/>
  <c r="F1006" i="3"/>
  <c r="F998" i="3"/>
  <c r="F1007" i="3"/>
  <c r="F999" i="3"/>
  <c r="F1001" i="3"/>
  <c r="F1002" i="3"/>
  <c r="F1000" i="3"/>
  <c r="F191" i="3"/>
  <c r="F187" i="3"/>
  <c r="F183" i="3"/>
  <c r="F188" i="3"/>
  <c r="F184" i="3"/>
  <c r="F180" i="3"/>
  <c r="F190" i="3"/>
  <c r="F186" i="3"/>
  <c r="F182" i="3"/>
  <c r="F189" i="3"/>
  <c r="F185" i="3"/>
  <c r="F181" i="3"/>
  <c r="F1364" i="3"/>
  <c r="F1357" i="3"/>
  <c r="F1363" i="3"/>
  <c r="F1360" i="3"/>
  <c r="F1359" i="3"/>
  <c r="F1356" i="3"/>
  <c r="F1367" i="3"/>
  <c r="F1362" i="3"/>
  <c r="F1366" i="3"/>
  <c r="F1358" i="3"/>
  <c r="F1365" i="3"/>
  <c r="F1361" i="3"/>
  <c r="F547" i="3"/>
  <c r="F544" i="3"/>
  <c r="F550" i="3"/>
  <c r="F543" i="3"/>
  <c r="F549" i="3"/>
  <c r="F546" i="3"/>
  <c r="F540" i="3"/>
  <c r="F551" i="3"/>
  <c r="F548" i="3"/>
  <c r="F541" i="3"/>
  <c r="F542" i="3"/>
  <c r="F545" i="3"/>
  <c r="F1629" i="3"/>
  <c r="F1630" i="3"/>
  <c r="F1628" i="3"/>
  <c r="F1625" i="3"/>
  <c r="F1627" i="3"/>
  <c r="F1626" i="3"/>
  <c r="F1624" i="3"/>
  <c r="F1621" i="3"/>
  <c r="F1631" i="3"/>
  <c r="F1620" i="3"/>
  <c r="F1622" i="3"/>
  <c r="F1623" i="3"/>
  <c r="F810" i="3"/>
  <c r="F809" i="3"/>
  <c r="F808" i="3"/>
  <c r="F807" i="3"/>
  <c r="F806" i="3"/>
  <c r="F815" i="3"/>
  <c r="F805" i="3"/>
  <c r="F804" i="3"/>
  <c r="F813" i="3"/>
  <c r="F812" i="3"/>
  <c r="F811" i="3"/>
  <c r="F814" i="3"/>
  <c r="F1485" i="3"/>
  <c r="F1482" i="3"/>
  <c r="F1480" i="3"/>
  <c r="F1477" i="3"/>
  <c r="F1487" i="3"/>
  <c r="F1486" i="3"/>
  <c r="F1478" i="3"/>
  <c r="F1484" i="3"/>
  <c r="F1479" i="3"/>
  <c r="F1481" i="3"/>
  <c r="F1483" i="3"/>
  <c r="F1476" i="3"/>
  <c r="F671" i="3"/>
  <c r="F667" i="3"/>
  <c r="F663" i="3"/>
  <c r="F670" i="3"/>
  <c r="F666" i="3"/>
  <c r="F662" i="3"/>
  <c r="F668" i="3"/>
  <c r="F664" i="3"/>
  <c r="F660" i="3"/>
  <c r="F661" i="3"/>
  <c r="F665" i="3"/>
  <c r="F669" i="3"/>
  <c r="F1711" i="3"/>
  <c r="F1709" i="3"/>
  <c r="F1707" i="3"/>
  <c r="F1705" i="3"/>
  <c r="F1714" i="3"/>
  <c r="F1712" i="3"/>
  <c r="F1710" i="3"/>
  <c r="F1708" i="3"/>
  <c r="F1715" i="3"/>
  <c r="F1713" i="3"/>
  <c r="F1706" i="3"/>
  <c r="F1704" i="3"/>
  <c r="F898" i="3"/>
  <c r="F894" i="3"/>
  <c r="F890" i="3"/>
  <c r="F897" i="3"/>
  <c r="F893" i="3"/>
  <c r="F889" i="3"/>
  <c r="F891" i="3"/>
  <c r="F895" i="3"/>
  <c r="F888" i="3"/>
  <c r="F899" i="3"/>
  <c r="F892" i="3"/>
  <c r="F896" i="3"/>
  <c r="F1666" i="3"/>
  <c r="F1658" i="3"/>
  <c r="F1662" i="3"/>
  <c r="F1665" i="3"/>
  <c r="F1659" i="3"/>
  <c r="F1664" i="3"/>
  <c r="F1661" i="3"/>
  <c r="F1656" i="3"/>
  <c r="F1660" i="3"/>
  <c r="F1667" i="3"/>
  <c r="F1663" i="3"/>
  <c r="F1657" i="3"/>
  <c r="F842" i="3"/>
  <c r="F851" i="3"/>
  <c r="F841" i="3"/>
  <c r="F840" i="3"/>
  <c r="F850" i="3"/>
  <c r="F849" i="3"/>
  <c r="F848" i="3"/>
  <c r="F847" i="3"/>
  <c r="F845" i="3"/>
  <c r="F844" i="3"/>
  <c r="F843" i="3"/>
  <c r="F846" i="3"/>
  <c r="M216" i="2"/>
  <c r="L216" i="2"/>
  <c r="I548" i="3"/>
  <c r="M548" i="3"/>
  <c r="N548" i="3"/>
  <c r="L548" i="3"/>
  <c r="O548" i="3"/>
  <c r="Q548" i="3"/>
  <c r="P548" i="3"/>
  <c r="R548" i="3"/>
  <c r="K548" i="3"/>
  <c r="J548" i="3"/>
  <c r="N529" i="3"/>
  <c r="R529" i="3"/>
  <c r="O529" i="3"/>
  <c r="M529" i="3"/>
  <c r="J529" i="3"/>
  <c r="P529" i="3"/>
  <c r="L529" i="3"/>
  <c r="K529" i="3"/>
  <c r="I529" i="3"/>
  <c r="Q529" i="3"/>
  <c r="I531" i="3"/>
  <c r="K531" i="3"/>
  <c r="N531" i="3"/>
  <c r="Q531" i="3"/>
  <c r="O531" i="3"/>
  <c r="P531" i="3"/>
  <c r="L531" i="3"/>
  <c r="R531" i="3"/>
  <c r="J531" i="3"/>
  <c r="M531" i="3"/>
  <c r="Q556" i="3"/>
  <c r="I556" i="3"/>
  <c r="R556" i="3"/>
  <c r="N556" i="3"/>
  <c r="J556" i="3"/>
  <c r="L556" i="3"/>
  <c r="K556" i="3"/>
  <c r="M556" i="3"/>
  <c r="O556" i="3"/>
  <c r="P556" i="3"/>
  <c r="N677" i="3"/>
  <c r="P677" i="3"/>
  <c r="O677" i="3"/>
  <c r="R677" i="3"/>
  <c r="K677" i="3"/>
  <c r="J677" i="3"/>
  <c r="M677" i="3"/>
  <c r="I677" i="3"/>
  <c r="Q677" i="3"/>
  <c r="L677" i="3"/>
  <c r="M562" i="3"/>
  <c r="K562" i="3"/>
  <c r="O562" i="3"/>
  <c r="L562" i="3"/>
  <c r="Q562" i="3"/>
  <c r="I562" i="3"/>
  <c r="J562" i="3"/>
  <c r="R562" i="3"/>
  <c r="N562" i="3"/>
  <c r="P562" i="3"/>
  <c r="L594" i="3"/>
  <c r="M594" i="3"/>
  <c r="K594" i="3"/>
  <c r="J594" i="3"/>
  <c r="O594" i="3"/>
  <c r="N594" i="3"/>
  <c r="I594" i="3"/>
  <c r="P594" i="3"/>
  <c r="R594" i="3"/>
  <c r="Q594" i="3"/>
  <c r="L626" i="3"/>
  <c r="M626" i="3"/>
  <c r="K626" i="3"/>
  <c r="J626" i="3"/>
  <c r="O626" i="3"/>
  <c r="N626" i="3"/>
  <c r="P626" i="3"/>
  <c r="R626" i="3"/>
  <c r="Q626" i="3"/>
  <c r="I626" i="3"/>
  <c r="L658" i="3"/>
  <c r="M658" i="3"/>
  <c r="K658" i="3"/>
  <c r="J658" i="3"/>
  <c r="O658" i="3"/>
  <c r="N658" i="3"/>
  <c r="P658" i="3"/>
  <c r="Q658" i="3"/>
  <c r="I658" i="3"/>
  <c r="R658" i="3"/>
  <c r="O549" i="3"/>
  <c r="J549" i="3"/>
  <c r="K549" i="3"/>
  <c r="L549" i="3"/>
  <c r="N549" i="3"/>
  <c r="M549" i="3"/>
  <c r="P549" i="3"/>
  <c r="R549" i="3"/>
  <c r="Q549" i="3"/>
  <c r="I549" i="3"/>
  <c r="O581" i="3"/>
  <c r="P581" i="3"/>
  <c r="Q581" i="3"/>
  <c r="K581" i="3"/>
  <c r="L581" i="3"/>
  <c r="M581" i="3"/>
  <c r="I581" i="3"/>
  <c r="R581" i="3"/>
  <c r="N581" i="3"/>
  <c r="J581" i="3"/>
  <c r="R613" i="3"/>
  <c r="J613" i="3"/>
  <c r="O613" i="3"/>
  <c r="Q613" i="3"/>
  <c r="L613" i="3"/>
  <c r="K613" i="3"/>
  <c r="M613" i="3"/>
  <c r="I613" i="3"/>
  <c r="S613" i="3" s="1"/>
  <c r="P613" i="3"/>
  <c r="N613" i="3"/>
  <c r="R645" i="3"/>
  <c r="J645" i="3"/>
  <c r="O645" i="3"/>
  <c r="Q645" i="3"/>
  <c r="L645" i="3"/>
  <c r="K645" i="3"/>
  <c r="P645" i="3"/>
  <c r="I645" i="3"/>
  <c r="M645" i="3"/>
  <c r="N645" i="3"/>
  <c r="K745" i="3"/>
  <c r="I745" i="3"/>
  <c r="M745" i="3"/>
  <c r="O745" i="3"/>
  <c r="N745" i="3"/>
  <c r="R745" i="3"/>
  <c r="J745" i="3"/>
  <c r="L745" i="3"/>
  <c r="P745" i="3"/>
  <c r="Q745" i="3"/>
  <c r="I580" i="3"/>
  <c r="P580" i="3"/>
  <c r="K580" i="3"/>
  <c r="M580" i="3"/>
  <c r="N580" i="3"/>
  <c r="J580" i="3"/>
  <c r="R580" i="3"/>
  <c r="Q580" i="3"/>
  <c r="O580" i="3"/>
  <c r="L580" i="3"/>
  <c r="I612" i="3"/>
  <c r="K612" i="3"/>
  <c r="P612" i="3"/>
  <c r="M612" i="3"/>
  <c r="Q612" i="3"/>
  <c r="L612" i="3"/>
  <c r="R612" i="3"/>
  <c r="J612" i="3"/>
  <c r="O612" i="3"/>
  <c r="N612" i="3"/>
  <c r="I644" i="3"/>
  <c r="K644" i="3"/>
  <c r="P644" i="3"/>
  <c r="M644" i="3"/>
  <c r="L644" i="3"/>
  <c r="Q644" i="3"/>
  <c r="R644" i="3"/>
  <c r="J644" i="3"/>
  <c r="N644" i="3"/>
  <c r="O644" i="3"/>
  <c r="L757" i="3"/>
  <c r="P757" i="3"/>
  <c r="N757" i="3"/>
  <c r="O757" i="3"/>
  <c r="R757" i="3"/>
  <c r="K757" i="3"/>
  <c r="J757" i="3"/>
  <c r="Q757" i="3"/>
  <c r="I757" i="3"/>
  <c r="M757" i="3"/>
  <c r="R709" i="3"/>
  <c r="K709" i="3"/>
  <c r="Q709" i="3"/>
  <c r="L709" i="3"/>
  <c r="J709" i="3"/>
  <c r="I709" i="3"/>
  <c r="M709" i="3"/>
  <c r="P709" i="3"/>
  <c r="N709" i="3"/>
  <c r="O709" i="3"/>
  <c r="K555" i="3"/>
  <c r="L555" i="3"/>
  <c r="O555" i="3"/>
  <c r="I555" i="3"/>
  <c r="R555" i="3"/>
  <c r="J555" i="3"/>
  <c r="Q555" i="3"/>
  <c r="M555" i="3"/>
  <c r="N555" i="3"/>
  <c r="P555" i="3"/>
  <c r="K587" i="3"/>
  <c r="M587" i="3"/>
  <c r="O587" i="3"/>
  <c r="N587" i="3"/>
  <c r="I587" i="3"/>
  <c r="J587" i="3"/>
  <c r="P587" i="3"/>
  <c r="Q587" i="3"/>
  <c r="L587" i="3"/>
  <c r="R587" i="3"/>
  <c r="K619" i="3"/>
  <c r="N619" i="3"/>
  <c r="M619" i="3"/>
  <c r="O619" i="3"/>
  <c r="R619" i="3"/>
  <c r="J619" i="3"/>
  <c r="L619" i="3"/>
  <c r="Q619" i="3"/>
  <c r="I619" i="3"/>
  <c r="P619" i="3"/>
  <c r="K651" i="3"/>
  <c r="N651" i="3"/>
  <c r="M651" i="3"/>
  <c r="O651" i="3"/>
  <c r="J651" i="3"/>
  <c r="R651" i="3"/>
  <c r="Q651" i="3"/>
  <c r="I651" i="3"/>
  <c r="L651" i="3"/>
  <c r="P651" i="3"/>
  <c r="J781" i="3"/>
  <c r="L781" i="3"/>
  <c r="K781" i="3"/>
  <c r="Q781" i="3"/>
  <c r="I781" i="3"/>
  <c r="M781" i="3"/>
  <c r="P781" i="3"/>
  <c r="N781" i="3"/>
  <c r="R781" i="3"/>
  <c r="O781" i="3"/>
  <c r="P698" i="3"/>
  <c r="K698" i="3"/>
  <c r="M698" i="3"/>
  <c r="I698" i="3"/>
  <c r="R698" i="3"/>
  <c r="J698" i="3"/>
  <c r="Q698" i="3"/>
  <c r="O698" i="3"/>
  <c r="N698" i="3"/>
  <c r="L698" i="3"/>
  <c r="Q730" i="3"/>
  <c r="I730" i="3"/>
  <c r="R730" i="3"/>
  <c r="L730" i="3"/>
  <c r="J730" i="3"/>
  <c r="M730" i="3"/>
  <c r="K730" i="3"/>
  <c r="P730" i="3"/>
  <c r="N730" i="3"/>
  <c r="O730" i="3"/>
  <c r="N762" i="3"/>
  <c r="R762" i="3"/>
  <c r="J762" i="3"/>
  <c r="P762" i="3"/>
  <c r="M762" i="3"/>
  <c r="Q762" i="3"/>
  <c r="L762" i="3"/>
  <c r="K762" i="3"/>
  <c r="O762" i="3"/>
  <c r="I762" i="3"/>
  <c r="S762" i="3" s="1"/>
  <c r="K821" i="3"/>
  <c r="Q821" i="3"/>
  <c r="P821" i="3"/>
  <c r="N821" i="3"/>
  <c r="I821" i="3"/>
  <c r="O821" i="3"/>
  <c r="M821" i="3"/>
  <c r="R821" i="3"/>
  <c r="L821" i="3"/>
  <c r="J821" i="3"/>
  <c r="P857" i="3"/>
  <c r="R857" i="3"/>
  <c r="K857" i="3"/>
  <c r="Q857" i="3"/>
  <c r="L857" i="3"/>
  <c r="I857" i="3"/>
  <c r="S857" i="3" s="1"/>
  <c r="J857" i="3"/>
  <c r="O857" i="3"/>
  <c r="M857" i="3"/>
  <c r="N857" i="3"/>
  <c r="Q728" i="3"/>
  <c r="I728" i="3"/>
  <c r="O728" i="3"/>
  <c r="K728" i="3"/>
  <c r="J728" i="3"/>
  <c r="L728" i="3"/>
  <c r="M728" i="3"/>
  <c r="R728" i="3"/>
  <c r="N728" i="3"/>
  <c r="P728" i="3"/>
  <c r="Q760" i="3"/>
  <c r="I760" i="3"/>
  <c r="P760" i="3"/>
  <c r="O760" i="3"/>
  <c r="M760" i="3"/>
  <c r="K760" i="3"/>
  <c r="R760" i="3"/>
  <c r="J760" i="3"/>
  <c r="N760" i="3"/>
  <c r="L760" i="3"/>
  <c r="Q792" i="3"/>
  <c r="I792" i="3"/>
  <c r="P792" i="3"/>
  <c r="O792" i="3"/>
  <c r="K792" i="3"/>
  <c r="R792" i="3"/>
  <c r="M792" i="3"/>
  <c r="J792" i="3"/>
  <c r="N792" i="3"/>
  <c r="L792" i="3"/>
  <c r="K849" i="3"/>
  <c r="Q849" i="3"/>
  <c r="I849" i="3"/>
  <c r="P849" i="3"/>
  <c r="M849" i="3"/>
  <c r="L849" i="3"/>
  <c r="R849" i="3"/>
  <c r="J849" i="3"/>
  <c r="O849" i="3"/>
  <c r="N849" i="3"/>
  <c r="P699" i="3"/>
  <c r="O699" i="3"/>
  <c r="N699" i="3"/>
  <c r="Q699" i="3"/>
  <c r="R699" i="3"/>
  <c r="I699" i="3"/>
  <c r="M699" i="3"/>
  <c r="L699" i="3"/>
  <c r="J699" i="3"/>
  <c r="K699" i="3"/>
  <c r="R731" i="3"/>
  <c r="K731" i="3"/>
  <c r="J731" i="3"/>
  <c r="O731" i="3"/>
  <c r="M731" i="3"/>
  <c r="Q731" i="3"/>
  <c r="N731" i="3"/>
  <c r="I731" i="3"/>
  <c r="L731" i="3"/>
  <c r="P731" i="3"/>
  <c r="P763" i="3"/>
  <c r="K763" i="3"/>
  <c r="L763" i="3"/>
  <c r="R763" i="3"/>
  <c r="J763" i="3"/>
  <c r="O763" i="3"/>
  <c r="M763" i="3"/>
  <c r="N763" i="3"/>
  <c r="Q763" i="3"/>
  <c r="I763" i="3"/>
  <c r="M797" i="3"/>
  <c r="L797" i="3"/>
  <c r="O797" i="3"/>
  <c r="J797" i="3"/>
  <c r="N797" i="3"/>
  <c r="K797" i="3"/>
  <c r="Q797" i="3"/>
  <c r="P797" i="3"/>
  <c r="I797" i="3"/>
  <c r="R797" i="3"/>
  <c r="J905" i="3"/>
  <c r="P905" i="3"/>
  <c r="K905" i="3"/>
  <c r="Q905" i="3"/>
  <c r="I905" i="3"/>
  <c r="N905" i="3"/>
  <c r="O905" i="3"/>
  <c r="M905" i="3"/>
  <c r="L905" i="3"/>
  <c r="R905" i="3"/>
  <c r="Q820" i="3"/>
  <c r="R820" i="3"/>
  <c r="N820" i="3"/>
  <c r="I820" i="3"/>
  <c r="O820" i="3"/>
  <c r="P820" i="3"/>
  <c r="K820" i="3"/>
  <c r="J820" i="3"/>
  <c r="L820" i="3"/>
  <c r="M820" i="3"/>
  <c r="R852" i="3"/>
  <c r="N852" i="3"/>
  <c r="P852" i="3"/>
  <c r="L852" i="3"/>
  <c r="Q852" i="3"/>
  <c r="I852" i="3"/>
  <c r="O852" i="3"/>
  <c r="J852" i="3"/>
  <c r="K852" i="3"/>
  <c r="M852" i="3"/>
  <c r="R884" i="3"/>
  <c r="J884" i="3"/>
  <c r="Q884" i="3"/>
  <c r="I884" i="3"/>
  <c r="O884" i="3"/>
  <c r="M884" i="3"/>
  <c r="K884" i="3"/>
  <c r="P884" i="3"/>
  <c r="L884" i="3"/>
  <c r="N884" i="3"/>
  <c r="R916" i="3"/>
  <c r="J916" i="3"/>
  <c r="Q916" i="3"/>
  <c r="I916" i="3"/>
  <c r="S916" i="3" s="1"/>
  <c r="O916" i="3"/>
  <c r="M916" i="3"/>
  <c r="N916" i="3"/>
  <c r="K916" i="3"/>
  <c r="P916" i="3"/>
  <c r="L916" i="3"/>
  <c r="Q807" i="3"/>
  <c r="I807" i="3"/>
  <c r="L807" i="3"/>
  <c r="P807" i="3"/>
  <c r="K807" i="3"/>
  <c r="R807" i="3"/>
  <c r="O807" i="3"/>
  <c r="M807" i="3"/>
  <c r="J807" i="3"/>
  <c r="N807" i="3"/>
  <c r="Q839" i="3"/>
  <c r="P839" i="3"/>
  <c r="I839" i="3"/>
  <c r="K839" i="3"/>
  <c r="R839" i="3"/>
  <c r="J839" i="3"/>
  <c r="O839" i="3"/>
  <c r="M839" i="3"/>
  <c r="L839" i="3"/>
  <c r="N839" i="3"/>
  <c r="Q871" i="3"/>
  <c r="K871" i="3"/>
  <c r="I871" i="3"/>
  <c r="R871" i="3"/>
  <c r="N871" i="3"/>
  <c r="J871" i="3"/>
  <c r="L871" i="3"/>
  <c r="O871" i="3"/>
  <c r="M871" i="3"/>
  <c r="P871" i="3"/>
  <c r="J903" i="3"/>
  <c r="L903" i="3"/>
  <c r="Q903" i="3"/>
  <c r="P903" i="3"/>
  <c r="I903" i="3"/>
  <c r="K903" i="3"/>
  <c r="N903" i="3"/>
  <c r="O903" i="3"/>
  <c r="M903" i="3"/>
  <c r="R903" i="3"/>
  <c r="J935" i="3"/>
  <c r="Q935" i="3"/>
  <c r="P935" i="3"/>
  <c r="I935" i="3"/>
  <c r="K935" i="3"/>
  <c r="L935" i="3"/>
  <c r="N935" i="3"/>
  <c r="O935" i="3"/>
  <c r="M935" i="3"/>
  <c r="R935" i="3"/>
  <c r="M822" i="3"/>
  <c r="K822" i="3"/>
  <c r="P822" i="3"/>
  <c r="L822" i="3"/>
  <c r="N822" i="3"/>
  <c r="R822" i="3"/>
  <c r="O822" i="3"/>
  <c r="Q822" i="3"/>
  <c r="J822" i="3"/>
  <c r="I822" i="3"/>
  <c r="M854" i="3"/>
  <c r="N854" i="3"/>
  <c r="K854" i="3"/>
  <c r="Q854" i="3"/>
  <c r="O854" i="3"/>
  <c r="J854" i="3"/>
  <c r="P854" i="3"/>
  <c r="L854" i="3"/>
  <c r="I854" i="3"/>
  <c r="R854" i="3"/>
  <c r="M886" i="3"/>
  <c r="R886" i="3"/>
  <c r="L886" i="3"/>
  <c r="K886" i="3"/>
  <c r="O886" i="3"/>
  <c r="Q886" i="3"/>
  <c r="P886" i="3"/>
  <c r="I886" i="3"/>
  <c r="N886" i="3"/>
  <c r="J886" i="3"/>
  <c r="M918" i="3"/>
  <c r="R918" i="3"/>
  <c r="L918" i="3"/>
  <c r="K918" i="3"/>
  <c r="O918" i="3"/>
  <c r="Q918" i="3"/>
  <c r="P918" i="3"/>
  <c r="I918" i="3"/>
  <c r="N918" i="3"/>
  <c r="J918" i="3"/>
  <c r="I1374" i="3"/>
  <c r="R1374" i="3"/>
  <c r="P1374" i="3"/>
  <c r="J1374" i="3"/>
  <c r="O1374" i="3"/>
  <c r="L1374" i="3"/>
  <c r="N1374" i="3"/>
  <c r="K1374" i="3"/>
  <c r="Q1374" i="3"/>
  <c r="M1374" i="3"/>
  <c r="R1386" i="3"/>
  <c r="P1386" i="3"/>
  <c r="J1386" i="3"/>
  <c r="O1386" i="3"/>
  <c r="L1386" i="3"/>
  <c r="N1386" i="3"/>
  <c r="Q1386" i="3"/>
  <c r="M1386" i="3"/>
  <c r="I1386" i="3"/>
  <c r="K1386" i="3"/>
  <c r="J1382" i="3"/>
  <c r="K1382" i="3"/>
  <c r="O1382" i="3"/>
  <c r="N1382" i="3"/>
  <c r="Q1382" i="3"/>
  <c r="M1382" i="3"/>
  <c r="I1382" i="3"/>
  <c r="R1382" i="3"/>
  <c r="P1382" i="3"/>
  <c r="L1382" i="3"/>
  <c r="Q1512" i="3"/>
  <c r="K1512" i="3"/>
  <c r="M1512" i="3"/>
  <c r="I1512" i="3"/>
  <c r="P1512" i="3"/>
  <c r="L1512" i="3"/>
  <c r="N1512" i="3"/>
  <c r="J1512" i="3"/>
  <c r="R1512" i="3"/>
  <c r="O1512" i="3"/>
  <c r="I1359" i="3"/>
  <c r="J1359" i="3"/>
  <c r="Q1359" i="3"/>
  <c r="R1359" i="3"/>
  <c r="P1359" i="3"/>
  <c r="K1359" i="3"/>
  <c r="O1359" i="3"/>
  <c r="N1359" i="3"/>
  <c r="M1359" i="3"/>
  <c r="L1359" i="3"/>
  <c r="P1391" i="3"/>
  <c r="M1391" i="3"/>
  <c r="N1391" i="3"/>
  <c r="Q1391" i="3"/>
  <c r="R1391" i="3"/>
  <c r="I1391" i="3"/>
  <c r="S1391" i="3" s="1"/>
  <c r="L1391" i="3"/>
  <c r="J1391" i="3"/>
  <c r="K1391" i="3"/>
  <c r="O1391" i="3"/>
  <c r="Q1426" i="3"/>
  <c r="M1426" i="3"/>
  <c r="I1426" i="3"/>
  <c r="P1426" i="3"/>
  <c r="L1426" i="3"/>
  <c r="N1426" i="3"/>
  <c r="K1426" i="3"/>
  <c r="R1426" i="3"/>
  <c r="J1426" i="3"/>
  <c r="O1426" i="3"/>
  <c r="P1349" i="3"/>
  <c r="M1349" i="3"/>
  <c r="N1349" i="3"/>
  <c r="J1349" i="3"/>
  <c r="L1349" i="3"/>
  <c r="R1349" i="3"/>
  <c r="O1349" i="3"/>
  <c r="K1349" i="3"/>
  <c r="I1349" i="3"/>
  <c r="Q1349" i="3"/>
  <c r="N1381" i="3"/>
  <c r="L1381" i="3"/>
  <c r="M1381" i="3"/>
  <c r="P1381" i="3"/>
  <c r="J1381" i="3"/>
  <c r="Q1381" i="3"/>
  <c r="O1381" i="3"/>
  <c r="K1381" i="3"/>
  <c r="I1381" i="3"/>
  <c r="R1381" i="3"/>
  <c r="K1414" i="3"/>
  <c r="R1414" i="3"/>
  <c r="I1414" i="3"/>
  <c r="O1414" i="3"/>
  <c r="Q1414" i="3"/>
  <c r="L1414" i="3"/>
  <c r="P1414" i="3"/>
  <c r="J1414" i="3"/>
  <c r="M1414" i="3"/>
  <c r="N1414" i="3"/>
  <c r="N1420" i="3"/>
  <c r="P1420" i="3"/>
  <c r="K1420" i="3"/>
  <c r="J1420" i="3"/>
  <c r="M1420" i="3"/>
  <c r="Q1420" i="3"/>
  <c r="I1420" i="3"/>
  <c r="R1420" i="3"/>
  <c r="L1420" i="3"/>
  <c r="O1420" i="3"/>
  <c r="K1452" i="3"/>
  <c r="N1452" i="3"/>
  <c r="M1452" i="3"/>
  <c r="L1452" i="3"/>
  <c r="Q1452" i="3"/>
  <c r="P1452" i="3"/>
  <c r="I1452" i="3"/>
  <c r="R1452" i="3"/>
  <c r="J1452" i="3"/>
  <c r="O1452" i="3"/>
  <c r="M1403" i="3"/>
  <c r="R1403" i="3"/>
  <c r="J1403" i="3"/>
  <c r="I1403" i="3"/>
  <c r="Q1403" i="3"/>
  <c r="P1403" i="3"/>
  <c r="L1403" i="3"/>
  <c r="O1403" i="3"/>
  <c r="K1403" i="3"/>
  <c r="N1403" i="3"/>
  <c r="M1435" i="3"/>
  <c r="I1435" i="3"/>
  <c r="R1435" i="3"/>
  <c r="J1435" i="3"/>
  <c r="P1435" i="3"/>
  <c r="N1435" i="3"/>
  <c r="L1435" i="3"/>
  <c r="K1435" i="3"/>
  <c r="O1435" i="3"/>
  <c r="Q1435" i="3"/>
  <c r="M1467" i="3"/>
  <c r="R1467" i="3"/>
  <c r="Q1467" i="3"/>
  <c r="L1467" i="3"/>
  <c r="J1467" i="3"/>
  <c r="I1467" i="3"/>
  <c r="K1467" i="3"/>
  <c r="P1467" i="3"/>
  <c r="N1467" i="3"/>
  <c r="O1467" i="3"/>
  <c r="Q1442" i="3"/>
  <c r="I1442" i="3"/>
  <c r="S1442" i="3" s="1"/>
  <c r="P1442" i="3"/>
  <c r="R1442" i="3"/>
  <c r="J1442" i="3"/>
  <c r="N1442" i="3"/>
  <c r="M1442" i="3"/>
  <c r="L1442" i="3"/>
  <c r="K1442" i="3"/>
  <c r="O1442" i="3"/>
  <c r="Q1474" i="3"/>
  <c r="I1474" i="3"/>
  <c r="P1474" i="3"/>
  <c r="R1474" i="3"/>
  <c r="J1474" i="3"/>
  <c r="N1474" i="3"/>
  <c r="M1474" i="3"/>
  <c r="L1474" i="3"/>
  <c r="K1474" i="3"/>
  <c r="O1474" i="3"/>
  <c r="O1453" i="3"/>
  <c r="P1453" i="3"/>
  <c r="N1453" i="3"/>
  <c r="K1453" i="3"/>
  <c r="R1453" i="3"/>
  <c r="L1453" i="3"/>
  <c r="Q1453" i="3"/>
  <c r="J1453" i="3"/>
  <c r="M1453" i="3"/>
  <c r="I1453" i="3"/>
  <c r="M1500" i="3"/>
  <c r="K1500" i="3"/>
  <c r="R1500" i="3"/>
  <c r="Q1500" i="3"/>
  <c r="L1500" i="3"/>
  <c r="I1500" i="3"/>
  <c r="P1500" i="3"/>
  <c r="J1500" i="3"/>
  <c r="O1500" i="3"/>
  <c r="N1500" i="3"/>
  <c r="I1491" i="3"/>
  <c r="K1491" i="3"/>
  <c r="Q1491" i="3"/>
  <c r="L1491" i="3"/>
  <c r="O1491" i="3"/>
  <c r="J1491" i="3"/>
  <c r="N1491" i="3"/>
  <c r="R1491" i="3"/>
  <c r="M1491" i="3"/>
  <c r="P1491" i="3"/>
  <c r="K1495" i="3"/>
  <c r="Q1495" i="3"/>
  <c r="I1495" i="3"/>
  <c r="R1495" i="3"/>
  <c r="J1495" i="3"/>
  <c r="O1495" i="3"/>
  <c r="P1495" i="3"/>
  <c r="N1495" i="3"/>
  <c r="L1495" i="3"/>
  <c r="M1495" i="3"/>
  <c r="M1596" i="3"/>
  <c r="I1596" i="3"/>
  <c r="R1596" i="3"/>
  <c r="J1596" i="3"/>
  <c r="N1596" i="3"/>
  <c r="L1596" i="3"/>
  <c r="P1596" i="3"/>
  <c r="Q1596" i="3"/>
  <c r="K1596" i="3"/>
  <c r="O1596" i="3"/>
  <c r="Q1535" i="3"/>
  <c r="L1535" i="3"/>
  <c r="K1535" i="3"/>
  <c r="O1535" i="3"/>
  <c r="R1535" i="3"/>
  <c r="N1535" i="3"/>
  <c r="I1535" i="3"/>
  <c r="J1535" i="3"/>
  <c r="P1535" i="3"/>
  <c r="M1535" i="3"/>
  <c r="N1572" i="3"/>
  <c r="J1572" i="3"/>
  <c r="Q1572" i="3"/>
  <c r="M1572" i="3"/>
  <c r="I1572" i="3"/>
  <c r="K1572" i="3"/>
  <c r="L1572" i="3"/>
  <c r="O1572" i="3"/>
  <c r="P1572" i="3"/>
  <c r="R1572" i="3"/>
  <c r="O1514" i="3"/>
  <c r="I1514" i="3"/>
  <c r="M1514" i="3"/>
  <c r="N1514" i="3"/>
  <c r="J1514" i="3"/>
  <c r="K1514" i="3"/>
  <c r="Q1514" i="3"/>
  <c r="R1514" i="3"/>
  <c r="P1514" i="3"/>
  <c r="L1514" i="3"/>
  <c r="L1602" i="3"/>
  <c r="O1602" i="3"/>
  <c r="R1602" i="3"/>
  <c r="J1602" i="3"/>
  <c r="I1602" i="3"/>
  <c r="N1602" i="3"/>
  <c r="M1602" i="3"/>
  <c r="K1602" i="3"/>
  <c r="Q1602" i="3"/>
  <c r="P1602" i="3"/>
  <c r="K1610" i="3"/>
  <c r="P1610" i="3"/>
  <c r="M1610" i="3"/>
  <c r="J1610" i="3"/>
  <c r="N1610" i="3"/>
  <c r="L1610" i="3"/>
  <c r="I1610" i="3"/>
  <c r="R1610" i="3"/>
  <c r="O1610" i="3"/>
  <c r="Q1610" i="3"/>
  <c r="O1513" i="3"/>
  <c r="K1513" i="3"/>
  <c r="P1513" i="3"/>
  <c r="J1513" i="3"/>
  <c r="M1513" i="3"/>
  <c r="R1513" i="3"/>
  <c r="L1513" i="3"/>
  <c r="I1513" i="3"/>
  <c r="Q1513" i="3"/>
  <c r="N1513" i="3"/>
  <c r="R1566" i="3"/>
  <c r="J1566" i="3"/>
  <c r="M1566" i="3"/>
  <c r="Q1566" i="3"/>
  <c r="N1566" i="3"/>
  <c r="I1566" i="3"/>
  <c r="P1566" i="3"/>
  <c r="L1566" i="3"/>
  <c r="K1566" i="3"/>
  <c r="O1566" i="3"/>
  <c r="I1551" i="3"/>
  <c r="N1551" i="3"/>
  <c r="M1551" i="3"/>
  <c r="O1551" i="3"/>
  <c r="K1551" i="3"/>
  <c r="J1551" i="3"/>
  <c r="R1551" i="3"/>
  <c r="L1551" i="3"/>
  <c r="P1551" i="3"/>
  <c r="Q1551" i="3"/>
  <c r="N1583" i="3"/>
  <c r="P1583" i="3"/>
  <c r="M1583" i="3"/>
  <c r="O1583" i="3"/>
  <c r="L1583" i="3"/>
  <c r="K1583" i="3"/>
  <c r="I1583" i="3"/>
  <c r="R1583" i="3"/>
  <c r="J1583" i="3"/>
  <c r="Q1583" i="3"/>
  <c r="K1622" i="3"/>
  <c r="N1622" i="3"/>
  <c r="I1622" i="3"/>
  <c r="M1622" i="3"/>
  <c r="O1622" i="3"/>
  <c r="Q1622" i="3"/>
  <c r="P1622" i="3"/>
  <c r="L1622" i="3"/>
  <c r="J1622" i="3"/>
  <c r="R1622" i="3"/>
  <c r="M1545" i="3"/>
  <c r="L1545" i="3"/>
  <c r="K1545" i="3"/>
  <c r="O1545" i="3"/>
  <c r="R1545" i="3"/>
  <c r="I1545" i="3"/>
  <c r="J1545" i="3"/>
  <c r="Q1545" i="3"/>
  <c r="N1545" i="3"/>
  <c r="P1545" i="3"/>
  <c r="L1577" i="3"/>
  <c r="Q1577" i="3"/>
  <c r="P1577" i="3"/>
  <c r="K1577" i="3"/>
  <c r="O1577" i="3"/>
  <c r="I1577" i="3"/>
  <c r="S1577" i="3" s="1"/>
  <c r="R1577" i="3"/>
  <c r="M1577" i="3"/>
  <c r="N1577" i="3"/>
  <c r="J1577" i="3"/>
  <c r="I1617" i="3"/>
  <c r="R1617" i="3"/>
  <c r="K1617" i="3"/>
  <c r="P1617" i="3"/>
  <c r="L1617" i="3"/>
  <c r="N1617" i="3"/>
  <c r="O1617" i="3"/>
  <c r="J1617" i="3"/>
  <c r="Q1617" i="3"/>
  <c r="M1617" i="3"/>
  <c r="L1658" i="3"/>
  <c r="Q1658" i="3"/>
  <c r="P1658" i="3"/>
  <c r="O1658" i="3"/>
  <c r="M1658" i="3"/>
  <c r="R1658" i="3"/>
  <c r="K1658" i="3"/>
  <c r="I1658" i="3"/>
  <c r="N1658" i="3"/>
  <c r="J1658" i="3"/>
  <c r="L1688" i="3"/>
  <c r="R1688" i="3"/>
  <c r="J1688" i="3"/>
  <c r="Q1688" i="3"/>
  <c r="O1688" i="3"/>
  <c r="N1688" i="3"/>
  <c r="K1688" i="3"/>
  <c r="I1688" i="3"/>
  <c r="S1688" i="3" s="1"/>
  <c r="M1688" i="3"/>
  <c r="P1688" i="3"/>
  <c r="N1632" i="3"/>
  <c r="P1632" i="3"/>
  <c r="M1632" i="3"/>
  <c r="R1632" i="3"/>
  <c r="Q1632" i="3"/>
  <c r="J1632" i="3"/>
  <c r="I1632" i="3"/>
  <c r="L1632" i="3"/>
  <c r="O1632" i="3"/>
  <c r="K1632" i="3"/>
  <c r="R1619" i="3"/>
  <c r="L1619" i="3"/>
  <c r="M1619" i="3"/>
  <c r="N1619" i="3"/>
  <c r="Q1619" i="3"/>
  <c r="O1619" i="3"/>
  <c r="K1619" i="3"/>
  <c r="J1619" i="3"/>
  <c r="P1619" i="3"/>
  <c r="I1619" i="3"/>
  <c r="N1672" i="3"/>
  <c r="Q1672" i="3"/>
  <c r="O1672" i="3"/>
  <c r="L1672" i="3"/>
  <c r="K1672" i="3"/>
  <c r="I1672" i="3"/>
  <c r="P1672" i="3"/>
  <c r="M1672" i="3"/>
  <c r="R1672" i="3"/>
  <c r="J1672" i="3"/>
  <c r="Q1681" i="3"/>
  <c r="N1681" i="3"/>
  <c r="L1681" i="3"/>
  <c r="I1681" i="3"/>
  <c r="O1681" i="3"/>
  <c r="P1681" i="3"/>
  <c r="M1681" i="3"/>
  <c r="K1681" i="3"/>
  <c r="R1681" i="3"/>
  <c r="J1681" i="3"/>
  <c r="N1647" i="3"/>
  <c r="L1647" i="3"/>
  <c r="Q1647" i="3"/>
  <c r="R1647" i="3"/>
  <c r="K1647" i="3"/>
  <c r="P1647" i="3"/>
  <c r="M1647" i="3"/>
  <c r="J1647" i="3"/>
  <c r="O1647" i="3"/>
  <c r="I1647" i="3"/>
  <c r="R1675" i="3"/>
  <c r="I1675" i="3"/>
  <c r="K1675" i="3"/>
  <c r="J1675" i="3"/>
  <c r="M1675" i="3"/>
  <c r="P1675" i="3"/>
  <c r="L1675" i="3"/>
  <c r="N1675" i="3"/>
  <c r="Q1675" i="3"/>
  <c r="O1675" i="3"/>
  <c r="J1666" i="3"/>
  <c r="K1666" i="3"/>
  <c r="I1666" i="3"/>
  <c r="P1666" i="3"/>
  <c r="M1666" i="3"/>
  <c r="O1666" i="3"/>
  <c r="Q1666" i="3"/>
  <c r="L1666" i="3"/>
  <c r="N1666" i="3"/>
  <c r="R1666" i="3"/>
  <c r="K1700" i="3"/>
  <c r="Q1700" i="3"/>
  <c r="I1700" i="3"/>
  <c r="L1700" i="3"/>
  <c r="R1700" i="3"/>
  <c r="M1700" i="3"/>
  <c r="J1700" i="3"/>
  <c r="O1700" i="3"/>
  <c r="N1700" i="3"/>
  <c r="P1700" i="3"/>
  <c r="L1709" i="3"/>
  <c r="O1709" i="3"/>
  <c r="Q1709" i="3"/>
  <c r="M1709" i="3"/>
  <c r="K1709" i="3"/>
  <c r="R1709" i="3"/>
  <c r="P1709" i="3"/>
  <c r="J1709" i="3"/>
  <c r="I1709" i="3"/>
  <c r="N1709" i="3"/>
  <c r="Q1745" i="3"/>
  <c r="I1745" i="3"/>
  <c r="N1745" i="3"/>
  <c r="R1745" i="3"/>
  <c r="M1745" i="3"/>
  <c r="J1745" i="3"/>
  <c r="L1745" i="3"/>
  <c r="P1745" i="3"/>
  <c r="O1745" i="3"/>
  <c r="K1745" i="3"/>
  <c r="I1742" i="3"/>
  <c r="N1742" i="3"/>
  <c r="P1742" i="3"/>
  <c r="K1742" i="3"/>
  <c r="J1742" i="3"/>
  <c r="R1742" i="3"/>
  <c r="Q1742" i="3"/>
  <c r="O1742" i="3"/>
  <c r="M1742" i="3"/>
  <c r="L1742" i="3"/>
  <c r="K1718" i="3"/>
  <c r="Q1718" i="3"/>
  <c r="M1718" i="3"/>
  <c r="R1718" i="3"/>
  <c r="P1718" i="3"/>
  <c r="I1718" i="3"/>
  <c r="O1718" i="3"/>
  <c r="J1718" i="3"/>
  <c r="L1718" i="3"/>
  <c r="N1718" i="3"/>
  <c r="O1712" i="3"/>
  <c r="J1712" i="3"/>
  <c r="R1712" i="3"/>
  <c r="N1712" i="3"/>
  <c r="I1712" i="3"/>
  <c r="Q1712" i="3"/>
  <c r="L1712" i="3"/>
  <c r="K1712" i="3"/>
  <c r="M1712" i="3"/>
  <c r="P1712" i="3"/>
  <c r="P1744" i="3"/>
  <c r="M1744" i="3"/>
  <c r="O1744" i="3"/>
  <c r="J1744" i="3"/>
  <c r="R1744" i="3"/>
  <c r="N1744" i="3"/>
  <c r="I1744" i="3"/>
  <c r="Q1744" i="3"/>
  <c r="L1744" i="3"/>
  <c r="K1744" i="3"/>
  <c r="F946" i="3"/>
  <c r="F942" i="3"/>
  <c r="F938" i="3"/>
  <c r="F947" i="3"/>
  <c r="F943" i="3"/>
  <c r="F939" i="3"/>
  <c r="F945" i="3"/>
  <c r="F941" i="3"/>
  <c r="F937" i="3"/>
  <c r="F936" i="3"/>
  <c r="F944" i="3"/>
  <c r="F940" i="3"/>
  <c r="F126" i="3"/>
  <c r="F122" i="3"/>
  <c r="F130" i="3"/>
  <c r="F127" i="3"/>
  <c r="F123" i="3"/>
  <c r="F128" i="3"/>
  <c r="F124" i="3"/>
  <c r="F120" i="3"/>
  <c r="F131" i="3"/>
  <c r="F129" i="3"/>
  <c r="F125" i="3"/>
  <c r="F121" i="3"/>
  <c r="M113" i="2"/>
  <c r="L113" i="2"/>
  <c r="M177" i="2"/>
  <c r="L177" i="2"/>
  <c r="M233" i="2"/>
  <c r="L233" i="2"/>
  <c r="L150" i="2"/>
  <c r="L166" i="2"/>
  <c r="L118" i="2"/>
  <c r="L198" i="2"/>
  <c r="M186" i="2"/>
  <c r="L186" i="2"/>
  <c r="M170" i="2"/>
  <c r="L170" i="2"/>
  <c r="K138" i="3"/>
  <c r="Q138" i="3"/>
  <c r="I138" i="3"/>
  <c r="L138" i="3"/>
  <c r="O138" i="3"/>
  <c r="J138" i="3"/>
  <c r="N138" i="3"/>
  <c r="R138" i="3"/>
  <c r="M138" i="3"/>
  <c r="P138" i="3"/>
  <c r="O165" i="3"/>
  <c r="Q165" i="3"/>
  <c r="R165" i="3"/>
  <c r="I165" i="3"/>
  <c r="M165" i="3"/>
  <c r="L165" i="3"/>
  <c r="J165" i="3"/>
  <c r="P165" i="3"/>
  <c r="N165" i="3"/>
  <c r="K165" i="3"/>
  <c r="Q260" i="3"/>
  <c r="I260" i="3"/>
  <c r="M260" i="3"/>
  <c r="N260" i="3"/>
  <c r="O260" i="3"/>
  <c r="P260" i="3"/>
  <c r="J260" i="3"/>
  <c r="R260" i="3"/>
  <c r="L260" i="3"/>
  <c r="K260" i="3"/>
  <c r="N310" i="3"/>
  <c r="M310" i="3"/>
  <c r="I310" i="3"/>
  <c r="R310" i="3"/>
  <c r="P310" i="3"/>
  <c r="L310" i="3"/>
  <c r="Q310" i="3"/>
  <c r="O310" i="3"/>
  <c r="J310" i="3"/>
  <c r="K310" i="3"/>
  <c r="R404" i="3"/>
  <c r="J404" i="3"/>
  <c r="K404" i="3"/>
  <c r="N404" i="3"/>
  <c r="P404" i="3"/>
  <c r="O404" i="3"/>
  <c r="Q404" i="3"/>
  <c r="I404" i="3"/>
  <c r="L404" i="3"/>
  <c r="M404" i="3"/>
  <c r="K437" i="3"/>
  <c r="L437" i="3"/>
  <c r="R437" i="3"/>
  <c r="Q437" i="3"/>
  <c r="I437" i="3"/>
  <c r="O437" i="3"/>
  <c r="N437" i="3"/>
  <c r="J437" i="3"/>
  <c r="P437" i="3"/>
  <c r="M437" i="3"/>
  <c r="I446" i="3"/>
  <c r="J446" i="3"/>
  <c r="N446" i="3"/>
  <c r="M446" i="3"/>
  <c r="K446" i="3"/>
  <c r="O446" i="3"/>
  <c r="P446" i="3"/>
  <c r="L446" i="3"/>
  <c r="R446" i="3"/>
  <c r="Q446" i="3"/>
  <c r="M1049" i="3"/>
  <c r="L1049" i="3"/>
  <c r="J1049" i="3"/>
  <c r="O1049" i="3"/>
  <c r="R1049" i="3"/>
  <c r="Q1049" i="3"/>
  <c r="K1049" i="3"/>
  <c r="I1049" i="3"/>
  <c r="N1049" i="3"/>
  <c r="P1049" i="3"/>
  <c r="Q995" i="3"/>
  <c r="I995" i="3"/>
  <c r="O995" i="3"/>
  <c r="L995" i="3"/>
  <c r="K995" i="3"/>
  <c r="J995" i="3"/>
  <c r="R995" i="3"/>
  <c r="N995" i="3"/>
  <c r="P995" i="3"/>
  <c r="M995" i="3"/>
  <c r="N1090" i="3"/>
  <c r="L1090" i="3"/>
  <c r="O1090" i="3"/>
  <c r="M1090" i="3"/>
  <c r="K1090" i="3"/>
  <c r="Q1090" i="3"/>
  <c r="I1090" i="3"/>
  <c r="P1090" i="3"/>
  <c r="J1090" i="3"/>
  <c r="R1090" i="3"/>
  <c r="R1178" i="3"/>
  <c r="Q1178" i="3"/>
  <c r="O1178" i="3"/>
  <c r="N1178" i="3"/>
  <c r="I1178" i="3"/>
  <c r="K1178" i="3"/>
  <c r="M1178" i="3"/>
  <c r="J1178" i="3"/>
  <c r="L1178" i="3"/>
  <c r="P1178" i="3"/>
  <c r="L1337" i="3"/>
  <c r="R1337" i="3"/>
  <c r="J1337" i="3"/>
  <c r="O1337" i="3"/>
  <c r="M1337" i="3"/>
  <c r="I1337" i="3"/>
  <c r="K1337" i="3"/>
  <c r="P1337" i="3"/>
  <c r="Q1337" i="3"/>
  <c r="N1337" i="3"/>
  <c r="Q540" i="3"/>
  <c r="I540" i="3"/>
  <c r="J540" i="3"/>
  <c r="R540" i="3"/>
  <c r="K540" i="3"/>
  <c r="L540" i="3"/>
  <c r="M540" i="3"/>
  <c r="P540" i="3"/>
  <c r="N540" i="3"/>
  <c r="O540" i="3"/>
  <c r="Q557" i="3"/>
  <c r="K557" i="3"/>
  <c r="P557" i="3"/>
  <c r="I557" i="3"/>
  <c r="R557" i="3"/>
  <c r="O557" i="3"/>
  <c r="M557" i="3"/>
  <c r="L557" i="3"/>
  <c r="J557" i="3"/>
  <c r="N557" i="3"/>
  <c r="L769" i="3"/>
  <c r="K769" i="3"/>
  <c r="Q769" i="3"/>
  <c r="P769" i="3"/>
  <c r="N769" i="3"/>
  <c r="I769" i="3"/>
  <c r="M769" i="3"/>
  <c r="O769" i="3"/>
  <c r="R769" i="3"/>
  <c r="J769" i="3"/>
  <c r="R738" i="3"/>
  <c r="M738" i="3"/>
  <c r="K738" i="3"/>
  <c r="J738" i="3"/>
  <c r="O738" i="3"/>
  <c r="I738" i="3"/>
  <c r="L738" i="3"/>
  <c r="P738" i="3"/>
  <c r="Q738" i="3"/>
  <c r="N738" i="3"/>
  <c r="O675" i="3"/>
  <c r="Q675" i="3"/>
  <c r="M675" i="3"/>
  <c r="I675" i="3"/>
  <c r="L675" i="3"/>
  <c r="J675" i="3"/>
  <c r="K675" i="3"/>
  <c r="N675" i="3"/>
  <c r="R675" i="3"/>
  <c r="P675" i="3"/>
  <c r="I892" i="3"/>
  <c r="O892" i="3"/>
  <c r="P892" i="3"/>
  <c r="K892" i="3"/>
  <c r="N892" i="3"/>
  <c r="L892" i="3"/>
  <c r="R892" i="3"/>
  <c r="M892" i="3"/>
  <c r="J892" i="3"/>
  <c r="Q892" i="3"/>
  <c r="R862" i="3"/>
  <c r="P862" i="3"/>
  <c r="Q862" i="3"/>
  <c r="M862" i="3"/>
  <c r="K862" i="3"/>
  <c r="J862" i="3"/>
  <c r="N862" i="3"/>
  <c r="O862" i="3"/>
  <c r="L862" i="3"/>
  <c r="I862" i="3"/>
  <c r="J1367" i="3"/>
  <c r="M1367" i="3"/>
  <c r="L1367" i="3"/>
  <c r="K1367" i="3"/>
  <c r="O1367" i="3"/>
  <c r="I1367" i="3"/>
  <c r="P1367" i="3"/>
  <c r="R1367" i="3"/>
  <c r="N1367" i="3"/>
  <c r="Q1367" i="3"/>
  <c r="Q1460" i="3"/>
  <c r="P1460" i="3"/>
  <c r="I1460" i="3"/>
  <c r="L1460" i="3"/>
  <c r="O1460" i="3"/>
  <c r="K1460" i="3"/>
  <c r="R1460" i="3"/>
  <c r="N1460" i="3"/>
  <c r="M1460" i="3"/>
  <c r="J1460" i="3"/>
  <c r="M1516" i="3"/>
  <c r="K1516" i="3"/>
  <c r="I1516" i="3"/>
  <c r="S1516" i="3" s="1"/>
  <c r="N1516" i="3"/>
  <c r="J1516" i="3"/>
  <c r="R1516" i="3"/>
  <c r="L1516" i="3"/>
  <c r="P1516" i="3"/>
  <c r="Q1516" i="3"/>
  <c r="O1516" i="3"/>
  <c r="N1578" i="3"/>
  <c r="R1578" i="3"/>
  <c r="M1578" i="3"/>
  <c r="J1578" i="3"/>
  <c r="Q1578" i="3"/>
  <c r="I1578" i="3"/>
  <c r="K1578" i="3"/>
  <c r="P1578" i="3"/>
  <c r="L1578" i="3"/>
  <c r="O1578" i="3"/>
  <c r="K1585" i="3"/>
  <c r="O1585" i="3"/>
  <c r="R1585" i="3"/>
  <c r="P1585" i="3"/>
  <c r="N1585" i="3"/>
  <c r="Q1585" i="3"/>
  <c r="L1585" i="3"/>
  <c r="M1585" i="3"/>
  <c r="I1585" i="3"/>
  <c r="J1585" i="3"/>
  <c r="K1721" i="3"/>
  <c r="J1721" i="3"/>
  <c r="N1721" i="3"/>
  <c r="R1721" i="3"/>
  <c r="Q1721" i="3"/>
  <c r="O1721" i="3"/>
  <c r="I1721" i="3"/>
  <c r="L1721" i="3"/>
  <c r="P1721" i="3"/>
  <c r="M1721" i="3"/>
  <c r="M112" i="2"/>
  <c r="L112" i="2"/>
  <c r="M168" i="2"/>
  <c r="L168" i="2"/>
  <c r="F1054" i="3"/>
  <c r="F1050" i="3"/>
  <c r="F1046" i="3"/>
  <c r="F1055" i="3"/>
  <c r="F1051" i="3"/>
  <c r="F1047" i="3"/>
  <c r="F1053" i="3"/>
  <c r="F1049" i="3"/>
  <c r="F1045" i="3"/>
  <c r="F1052" i="3"/>
  <c r="F1044" i="3"/>
  <c r="F1048" i="3"/>
  <c r="F239" i="3"/>
  <c r="F235" i="3"/>
  <c r="F231" i="3"/>
  <c r="F236" i="3"/>
  <c r="F232" i="3"/>
  <c r="F228" i="3"/>
  <c r="F238" i="3"/>
  <c r="F234" i="3"/>
  <c r="F230" i="3"/>
  <c r="F237" i="3"/>
  <c r="F233" i="3"/>
  <c r="F229" i="3"/>
  <c r="M152" i="2"/>
  <c r="L152" i="2"/>
  <c r="M240" i="2"/>
  <c r="L240" i="2"/>
  <c r="M140" i="3"/>
  <c r="N140" i="3"/>
  <c r="L140" i="3"/>
  <c r="J140" i="3"/>
  <c r="K140" i="3"/>
  <c r="P140" i="3"/>
  <c r="O140" i="3"/>
  <c r="Q140" i="3"/>
  <c r="I140" i="3"/>
  <c r="R140" i="3"/>
  <c r="K155" i="3"/>
  <c r="M155" i="3"/>
  <c r="Q155" i="3"/>
  <c r="I155" i="3"/>
  <c r="N155" i="3"/>
  <c r="L155" i="3"/>
  <c r="P155" i="3"/>
  <c r="J155" i="3"/>
  <c r="R155" i="3"/>
  <c r="O155" i="3"/>
  <c r="K135" i="3"/>
  <c r="L135" i="3"/>
  <c r="Q135" i="3"/>
  <c r="I135" i="3"/>
  <c r="J135" i="3"/>
  <c r="R135" i="3"/>
  <c r="O135" i="3"/>
  <c r="N135" i="3"/>
  <c r="P135" i="3"/>
  <c r="M135" i="3"/>
  <c r="I130" i="3"/>
  <c r="P130" i="3"/>
  <c r="O130" i="3"/>
  <c r="R130" i="3"/>
  <c r="L130" i="3"/>
  <c r="N130" i="3"/>
  <c r="J130" i="3"/>
  <c r="Q130" i="3"/>
  <c r="M130" i="3"/>
  <c r="K130" i="3"/>
  <c r="Q134" i="3"/>
  <c r="N134" i="3"/>
  <c r="I134" i="3"/>
  <c r="S134" i="3" s="1"/>
  <c r="O134" i="3"/>
  <c r="M134" i="3"/>
  <c r="L134" i="3"/>
  <c r="K134" i="3"/>
  <c r="R134" i="3"/>
  <c r="J134" i="3"/>
  <c r="P134" i="3"/>
  <c r="Q166" i="3"/>
  <c r="I166" i="3"/>
  <c r="K166" i="3"/>
  <c r="L166" i="3"/>
  <c r="O166" i="3"/>
  <c r="R166" i="3"/>
  <c r="M166" i="3"/>
  <c r="N166" i="3"/>
  <c r="P166" i="3"/>
  <c r="J166" i="3"/>
  <c r="Q198" i="3"/>
  <c r="R198" i="3"/>
  <c r="I198" i="3"/>
  <c r="P198" i="3"/>
  <c r="K198" i="3"/>
  <c r="J198" i="3"/>
  <c r="L198" i="3"/>
  <c r="O198" i="3"/>
  <c r="M198" i="3"/>
  <c r="N198" i="3"/>
  <c r="Q230" i="3"/>
  <c r="R230" i="3"/>
  <c r="I230" i="3"/>
  <c r="P230" i="3"/>
  <c r="K230" i="3"/>
  <c r="J230" i="3"/>
  <c r="L230" i="3"/>
  <c r="O230" i="3"/>
  <c r="M230" i="3"/>
  <c r="N230" i="3"/>
  <c r="Q262" i="3"/>
  <c r="R262" i="3"/>
  <c r="I262" i="3"/>
  <c r="S262" i="3" s="1"/>
  <c r="P262" i="3"/>
  <c r="K262" i="3"/>
  <c r="J262" i="3"/>
  <c r="L262" i="3"/>
  <c r="O262" i="3"/>
  <c r="M262" i="3"/>
  <c r="N262" i="3"/>
  <c r="O129" i="3"/>
  <c r="L129" i="3"/>
  <c r="M129" i="3"/>
  <c r="J129" i="3"/>
  <c r="R129" i="3"/>
  <c r="I129" i="3"/>
  <c r="Q129" i="3"/>
  <c r="P129" i="3"/>
  <c r="K129" i="3"/>
  <c r="N129" i="3"/>
  <c r="O161" i="3"/>
  <c r="N161" i="3"/>
  <c r="Q161" i="3"/>
  <c r="I161" i="3"/>
  <c r="M161" i="3"/>
  <c r="K161" i="3"/>
  <c r="L161" i="3"/>
  <c r="J161" i="3"/>
  <c r="R161" i="3"/>
  <c r="P161" i="3"/>
  <c r="P193" i="3"/>
  <c r="O193" i="3"/>
  <c r="N193" i="3"/>
  <c r="R193" i="3"/>
  <c r="Q193" i="3"/>
  <c r="J193" i="3"/>
  <c r="I193" i="3"/>
  <c r="M193" i="3"/>
  <c r="K193" i="3"/>
  <c r="L193" i="3"/>
  <c r="P225" i="3"/>
  <c r="O225" i="3"/>
  <c r="N225" i="3"/>
  <c r="R225" i="3"/>
  <c r="Q225" i="3"/>
  <c r="J225" i="3"/>
  <c r="I225" i="3"/>
  <c r="M225" i="3"/>
  <c r="K225" i="3"/>
  <c r="L225" i="3"/>
  <c r="P257" i="3"/>
  <c r="O257" i="3"/>
  <c r="N257" i="3"/>
  <c r="R257" i="3"/>
  <c r="Q257" i="3"/>
  <c r="J257" i="3"/>
  <c r="I257" i="3"/>
  <c r="M257" i="3"/>
  <c r="K257" i="3"/>
  <c r="L257" i="3"/>
  <c r="L385" i="3"/>
  <c r="O385" i="3"/>
  <c r="K385" i="3"/>
  <c r="R385" i="3"/>
  <c r="J385" i="3"/>
  <c r="N385" i="3"/>
  <c r="M385" i="3"/>
  <c r="P385" i="3"/>
  <c r="Q385" i="3"/>
  <c r="I385" i="3"/>
  <c r="N160" i="3"/>
  <c r="J160" i="3"/>
  <c r="M160" i="3"/>
  <c r="L160" i="3"/>
  <c r="O160" i="3"/>
  <c r="K160" i="3"/>
  <c r="Q160" i="3"/>
  <c r="I160" i="3"/>
  <c r="R160" i="3"/>
  <c r="P160" i="3"/>
  <c r="N192" i="3"/>
  <c r="M192" i="3"/>
  <c r="P192" i="3"/>
  <c r="O192" i="3"/>
  <c r="K192" i="3"/>
  <c r="Q192" i="3"/>
  <c r="I192" i="3"/>
  <c r="R192" i="3"/>
  <c r="J192" i="3"/>
  <c r="L192" i="3"/>
  <c r="N224" i="3"/>
  <c r="M224" i="3"/>
  <c r="P224" i="3"/>
  <c r="O224" i="3"/>
  <c r="K224" i="3"/>
  <c r="Q224" i="3"/>
  <c r="I224" i="3"/>
  <c r="L224" i="3"/>
  <c r="R224" i="3"/>
  <c r="J224" i="3"/>
  <c r="N256" i="3"/>
  <c r="M256" i="3"/>
  <c r="P256" i="3"/>
  <c r="O256" i="3"/>
  <c r="K256" i="3"/>
  <c r="Q256" i="3"/>
  <c r="J256" i="3"/>
  <c r="R256" i="3"/>
  <c r="L256" i="3"/>
  <c r="I256" i="3"/>
  <c r="J393" i="3"/>
  <c r="M393" i="3"/>
  <c r="Q393" i="3"/>
  <c r="P393" i="3"/>
  <c r="I393" i="3"/>
  <c r="S393" i="3" s="1"/>
  <c r="N393" i="3"/>
  <c r="O393" i="3"/>
  <c r="K393" i="3"/>
  <c r="L393" i="3"/>
  <c r="R393" i="3"/>
  <c r="L397" i="3"/>
  <c r="R397" i="3"/>
  <c r="J397" i="3"/>
  <c r="M397" i="3"/>
  <c r="P397" i="3"/>
  <c r="Q397" i="3"/>
  <c r="I397" i="3"/>
  <c r="N397" i="3"/>
  <c r="O397" i="3"/>
  <c r="K397" i="3"/>
  <c r="L187" i="3"/>
  <c r="N187" i="3"/>
  <c r="K187" i="3"/>
  <c r="P187" i="3"/>
  <c r="M187" i="3"/>
  <c r="Q187" i="3"/>
  <c r="R187" i="3"/>
  <c r="I187" i="3"/>
  <c r="O187" i="3"/>
  <c r="J187" i="3"/>
  <c r="L219" i="3"/>
  <c r="N219" i="3"/>
  <c r="K219" i="3"/>
  <c r="P219" i="3"/>
  <c r="M219" i="3"/>
  <c r="Q219" i="3"/>
  <c r="R219" i="3"/>
  <c r="I219" i="3"/>
  <c r="O219" i="3"/>
  <c r="J219" i="3"/>
  <c r="L251" i="3"/>
  <c r="N251" i="3"/>
  <c r="K251" i="3"/>
  <c r="P251" i="3"/>
  <c r="M251" i="3"/>
  <c r="Q251" i="3"/>
  <c r="R251" i="3"/>
  <c r="I251" i="3"/>
  <c r="O251" i="3"/>
  <c r="J251" i="3"/>
  <c r="K369" i="3"/>
  <c r="N369" i="3"/>
  <c r="L369" i="3"/>
  <c r="O369" i="3"/>
  <c r="P369" i="3"/>
  <c r="R369" i="3"/>
  <c r="M369" i="3"/>
  <c r="J369" i="3"/>
  <c r="Q369" i="3"/>
  <c r="I369" i="3"/>
  <c r="Q306" i="3"/>
  <c r="P306" i="3"/>
  <c r="R306" i="3"/>
  <c r="J306" i="3"/>
  <c r="O306" i="3"/>
  <c r="K306" i="3"/>
  <c r="N306" i="3"/>
  <c r="L306" i="3"/>
  <c r="I306" i="3"/>
  <c r="S306" i="3" s="1"/>
  <c r="M306" i="3"/>
  <c r="P338" i="3"/>
  <c r="J338" i="3"/>
  <c r="N338" i="3"/>
  <c r="O338" i="3"/>
  <c r="K338" i="3"/>
  <c r="L338" i="3"/>
  <c r="M338" i="3"/>
  <c r="Q338" i="3"/>
  <c r="R338" i="3"/>
  <c r="I338" i="3"/>
  <c r="P370" i="3"/>
  <c r="Q370" i="3"/>
  <c r="N370" i="3"/>
  <c r="L370" i="3"/>
  <c r="O370" i="3"/>
  <c r="K370" i="3"/>
  <c r="R370" i="3"/>
  <c r="J370" i="3"/>
  <c r="I370" i="3"/>
  <c r="M370" i="3"/>
  <c r="P402" i="3"/>
  <c r="R402" i="3"/>
  <c r="J402" i="3"/>
  <c r="N402" i="3"/>
  <c r="I402" i="3"/>
  <c r="L402" i="3"/>
  <c r="O402" i="3"/>
  <c r="K402" i="3"/>
  <c r="M402" i="3"/>
  <c r="Q402" i="3"/>
  <c r="K508" i="3"/>
  <c r="R508" i="3"/>
  <c r="J508" i="3"/>
  <c r="M508" i="3"/>
  <c r="L508" i="3"/>
  <c r="O508" i="3"/>
  <c r="Q508" i="3"/>
  <c r="I508" i="3"/>
  <c r="P508" i="3"/>
  <c r="N508" i="3"/>
  <c r="O304" i="3"/>
  <c r="J304" i="3"/>
  <c r="N304" i="3"/>
  <c r="Q304" i="3"/>
  <c r="I304" i="3"/>
  <c r="R304" i="3"/>
  <c r="M304" i="3"/>
  <c r="K304" i="3"/>
  <c r="P304" i="3"/>
  <c r="L304" i="3"/>
  <c r="O336" i="3"/>
  <c r="Q336" i="3"/>
  <c r="R336" i="3"/>
  <c r="I336" i="3"/>
  <c r="M336" i="3"/>
  <c r="P336" i="3"/>
  <c r="J336" i="3"/>
  <c r="L336" i="3"/>
  <c r="N336" i="3"/>
  <c r="K336" i="3"/>
  <c r="O368" i="3"/>
  <c r="Q368" i="3"/>
  <c r="L368" i="3"/>
  <c r="I368" i="3"/>
  <c r="N368" i="3"/>
  <c r="R368" i="3"/>
  <c r="J368" i="3"/>
  <c r="M368" i="3"/>
  <c r="K368" i="3"/>
  <c r="P368" i="3"/>
  <c r="O400" i="3"/>
  <c r="N400" i="3"/>
  <c r="Q400" i="3"/>
  <c r="L400" i="3"/>
  <c r="I400" i="3"/>
  <c r="M400" i="3"/>
  <c r="R400" i="3"/>
  <c r="J400" i="3"/>
  <c r="P400" i="3"/>
  <c r="K400" i="3"/>
  <c r="K408" i="3"/>
  <c r="M408" i="3"/>
  <c r="N408" i="3"/>
  <c r="P408" i="3"/>
  <c r="O408" i="3"/>
  <c r="Q408" i="3"/>
  <c r="I408" i="3"/>
  <c r="S408" i="3" s="1"/>
  <c r="J408" i="3"/>
  <c r="L408" i="3"/>
  <c r="R408" i="3"/>
  <c r="P291" i="3"/>
  <c r="N291" i="3"/>
  <c r="Q291" i="3"/>
  <c r="M291" i="3"/>
  <c r="I291" i="3"/>
  <c r="S291" i="3" s="1"/>
  <c r="L291" i="3"/>
  <c r="J291" i="3"/>
  <c r="R291" i="3"/>
  <c r="K291" i="3"/>
  <c r="O291" i="3"/>
  <c r="L323" i="3"/>
  <c r="Q323" i="3"/>
  <c r="J323" i="3"/>
  <c r="R323" i="3"/>
  <c r="M323" i="3"/>
  <c r="I323" i="3"/>
  <c r="N323" i="3"/>
  <c r="O323" i="3"/>
  <c r="P323" i="3"/>
  <c r="K323" i="3"/>
  <c r="R355" i="3"/>
  <c r="Q355" i="3"/>
  <c r="K355" i="3"/>
  <c r="M355" i="3"/>
  <c r="J355" i="3"/>
  <c r="I355" i="3"/>
  <c r="P355" i="3"/>
  <c r="O355" i="3"/>
  <c r="N355" i="3"/>
  <c r="L355" i="3"/>
  <c r="R387" i="3"/>
  <c r="Q387" i="3"/>
  <c r="M387" i="3"/>
  <c r="J387" i="3"/>
  <c r="I387" i="3"/>
  <c r="L387" i="3"/>
  <c r="P387" i="3"/>
  <c r="O387" i="3"/>
  <c r="N387" i="3"/>
  <c r="K387" i="3"/>
  <c r="I432" i="3"/>
  <c r="O432" i="3"/>
  <c r="P432" i="3"/>
  <c r="M432" i="3"/>
  <c r="J432" i="3"/>
  <c r="N432" i="3"/>
  <c r="K432" i="3"/>
  <c r="R432" i="3"/>
  <c r="L432" i="3"/>
  <c r="Q432" i="3"/>
  <c r="N433" i="3"/>
  <c r="R433" i="3"/>
  <c r="P433" i="3"/>
  <c r="M433" i="3"/>
  <c r="O433" i="3"/>
  <c r="I433" i="3"/>
  <c r="Q433" i="3"/>
  <c r="L433" i="3"/>
  <c r="K433" i="3"/>
  <c r="J433" i="3"/>
  <c r="N465" i="3"/>
  <c r="I465" i="3"/>
  <c r="P465" i="3"/>
  <c r="L465" i="3"/>
  <c r="R465" i="3"/>
  <c r="O465" i="3"/>
  <c r="J465" i="3"/>
  <c r="Q465" i="3"/>
  <c r="K465" i="3"/>
  <c r="M465" i="3"/>
  <c r="N497" i="3"/>
  <c r="I497" i="3"/>
  <c r="P497" i="3"/>
  <c r="L497" i="3"/>
  <c r="M497" i="3"/>
  <c r="R497" i="3"/>
  <c r="O497" i="3"/>
  <c r="J497" i="3"/>
  <c r="Q497" i="3"/>
  <c r="K497" i="3"/>
  <c r="Q407" i="3"/>
  <c r="L407" i="3"/>
  <c r="I407" i="3"/>
  <c r="P407" i="3"/>
  <c r="O407" i="3"/>
  <c r="M407" i="3"/>
  <c r="N407" i="3"/>
  <c r="K407" i="3"/>
  <c r="J407" i="3"/>
  <c r="R407" i="3"/>
  <c r="Q439" i="3"/>
  <c r="K439" i="3"/>
  <c r="L439" i="3"/>
  <c r="M439" i="3"/>
  <c r="P439" i="3"/>
  <c r="I439" i="3"/>
  <c r="O439" i="3"/>
  <c r="J439" i="3"/>
  <c r="R439" i="3"/>
  <c r="N439" i="3"/>
  <c r="Q471" i="3"/>
  <c r="R471" i="3"/>
  <c r="I471" i="3"/>
  <c r="J471" i="3"/>
  <c r="K471" i="3"/>
  <c r="L471" i="3"/>
  <c r="M471" i="3"/>
  <c r="N471" i="3"/>
  <c r="O471" i="3"/>
  <c r="P471" i="3"/>
  <c r="Q503" i="3"/>
  <c r="R503" i="3"/>
  <c r="J503" i="3"/>
  <c r="K503" i="3"/>
  <c r="N503" i="3"/>
  <c r="I503" i="3"/>
  <c r="O503" i="3"/>
  <c r="M503" i="3"/>
  <c r="L503" i="3"/>
  <c r="P503" i="3"/>
  <c r="M410" i="3"/>
  <c r="J410" i="3"/>
  <c r="P410" i="3"/>
  <c r="R410" i="3"/>
  <c r="N410" i="3"/>
  <c r="Q410" i="3"/>
  <c r="O410" i="3"/>
  <c r="I410" i="3"/>
  <c r="K410" i="3"/>
  <c r="L410" i="3"/>
  <c r="M442" i="3"/>
  <c r="J442" i="3"/>
  <c r="P442" i="3"/>
  <c r="O442" i="3"/>
  <c r="R442" i="3"/>
  <c r="K442" i="3"/>
  <c r="Q442" i="3"/>
  <c r="I442" i="3"/>
  <c r="L442" i="3"/>
  <c r="N442" i="3"/>
  <c r="M474" i="3"/>
  <c r="L474" i="3"/>
  <c r="J474" i="3"/>
  <c r="R474" i="3"/>
  <c r="Q474" i="3"/>
  <c r="P474" i="3"/>
  <c r="K474" i="3"/>
  <c r="N474" i="3"/>
  <c r="O474" i="3"/>
  <c r="I474" i="3"/>
  <c r="M506" i="3"/>
  <c r="L506" i="3"/>
  <c r="O506" i="3"/>
  <c r="N506" i="3"/>
  <c r="R506" i="3"/>
  <c r="Q506" i="3"/>
  <c r="P506" i="3"/>
  <c r="K506" i="3"/>
  <c r="I506" i="3"/>
  <c r="J506" i="3"/>
  <c r="K945" i="3"/>
  <c r="R945" i="3"/>
  <c r="Q945" i="3"/>
  <c r="P945" i="3"/>
  <c r="J945" i="3"/>
  <c r="I945" i="3"/>
  <c r="M945" i="3"/>
  <c r="O945" i="3"/>
  <c r="N945" i="3"/>
  <c r="L945" i="3"/>
  <c r="O943" i="3"/>
  <c r="N943" i="3"/>
  <c r="M943" i="3"/>
  <c r="L943" i="3"/>
  <c r="Q943" i="3"/>
  <c r="R943" i="3"/>
  <c r="I943" i="3"/>
  <c r="K943" i="3"/>
  <c r="J943" i="3"/>
  <c r="P943" i="3"/>
  <c r="K1123" i="3"/>
  <c r="P1123" i="3"/>
  <c r="M1123" i="3"/>
  <c r="R1123" i="3"/>
  <c r="O1123" i="3"/>
  <c r="Q1123" i="3"/>
  <c r="I1123" i="3"/>
  <c r="L1123" i="3"/>
  <c r="N1123" i="3"/>
  <c r="J1123" i="3"/>
  <c r="M981" i="3"/>
  <c r="K981" i="3"/>
  <c r="J981" i="3"/>
  <c r="N981" i="3"/>
  <c r="Q981" i="3"/>
  <c r="R981" i="3"/>
  <c r="L981" i="3"/>
  <c r="P981" i="3"/>
  <c r="I981" i="3"/>
  <c r="O981" i="3"/>
  <c r="M1013" i="3"/>
  <c r="K1013" i="3"/>
  <c r="R1013" i="3"/>
  <c r="L1013" i="3"/>
  <c r="Q1013" i="3"/>
  <c r="I1013" i="3"/>
  <c r="J1013" i="3"/>
  <c r="N1013" i="3"/>
  <c r="O1013" i="3"/>
  <c r="P1013" i="3"/>
  <c r="L1045" i="3"/>
  <c r="M1045" i="3"/>
  <c r="R1045" i="3"/>
  <c r="K1045" i="3"/>
  <c r="J1045" i="3"/>
  <c r="Q1045" i="3"/>
  <c r="N1045" i="3"/>
  <c r="P1045" i="3"/>
  <c r="I1045" i="3"/>
  <c r="O1045" i="3"/>
  <c r="L1077" i="3"/>
  <c r="M1077" i="3"/>
  <c r="R1077" i="3"/>
  <c r="K1077" i="3"/>
  <c r="J1077" i="3"/>
  <c r="Q1077" i="3"/>
  <c r="N1077" i="3"/>
  <c r="I1077" i="3"/>
  <c r="P1077" i="3"/>
  <c r="O1077" i="3"/>
  <c r="K956" i="3"/>
  <c r="Q956" i="3"/>
  <c r="I956" i="3"/>
  <c r="O956" i="3"/>
  <c r="L956" i="3"/>
  <c r="N956" i="3"/>
  <c r="M956" i="3"/>
  <c r="P956" i="3"/>
  <c r="J956" i="3"/>
  <c r="R956" i="3"/>
  <c r="K988" i="3"/>
  <c r="P988" i="3"/>
  <c r="J988" i="3"/>
  <c r="Q988" i="3"/>
  <c r="R988" i="3"/>
  <c r="I988" i="3"/>
  <c r="O988" i="3"/>
  <c r="M988" i="3"/>
  <c r="N988" i="3"/>
  <c r="L988" i="3"/>
  <c r="J1020" i="3"/>
  <c r="P1020" i="3"/>
  <c r="K1020" i="3"/>
  <c r="R1020" i="3"/>
  <c r="Q1020" i="3"/>
  <c r="I1020" i="3"/>
  <c r="O1020" i="3"/>
  <c r="L1020" i="3"/>
  <c r="M1020" i="3"/>
  <c r="N1020" i="3"/>
  <c r="J1052" i="3"/>
  <c r="Q1052" i="3"/>
  <c r="P1052" i="3"/>
  <c r="K1052" i="3"/>
  <c r="R1052" i="3"/>
  <c r="O1052" i="3"/>
  <c r="L1052" i="3"/>
  <c r="M1052" i="3"/>
  <c r="I1052" i="3"/>
  <c r="S1052" i="3" s="1"/>
  <c r="N1052" i="3"/>
  <c r="J1084" i="3"/>
  <c r="Q1084" i="3"/>
  <c r="I1084" i="3"/>
  <c r="P1084" i="3"/>
  <c r="K1084" i="3"/>
  <c r="R1084" i="3"/>
  <c r="N1084" i="3"/>
  <c r="O1084" i="3"/>
  <c r="L1084" i="3"/>
  <c r="M1084" i="3"/>
  <c r="Q959" i="3"/>
  <c r="I959" i="3"/>
  <c r="K959" i="3"/>
  <c r="L959" i="3"/>
  <c r="P959" i="3"/>
  <c r="J959" i="3"/>
  <c r="M959" i="3"/>
  <c r="O959" i="3"/>
  <c r="N959" i="3"/>
  <c r="R959" i="3"/>
  <c r="Q991" i="3"/>
  <c r="I991" i="3"/>
  <c r="K991" i="3"/>
  <c r="N991" i="3"/>
  <c r="R991" i="3"/>
  <c r="M991" i="3"/>
  <c r="L991" i="3"/>
  <c r="P991" i="3"/>
  <c r="O991" i="3"/>
  <c r="J991" i="3"/>
  <c r="Q1023" i="3"/>
  <c r="I1023" i="3"/>
  <c r="P1023" i="3"/>
  <c r="K1023" i="3"/>
  <c r="J1023" i="3"/>
  <c r="M1023" i="3"/>
  <c r="N1023" i="3"/>
  <c r="O1023" i="3"/>
  <c r="R1023" i="3"/>
  <c r="L1023" i="3"/>
  <c r="Q1055" i="3"/>
  <c r="I1055" i="3"/>
  <c r="P1055" i="3"/>
  <c r="N1055" i="3"/>
  <c r="K1055" i="3"/>
  <c r="J1055" i="3"/>
  <c r="O1055" i="3"/>
  <c r="L1055" i="3"/>
  <c r="M1055" i="3"/>
  <c r="R1055" i="3"/>
  <c r="Q1087" i="3"/>
  <c r="I1087" i="3"/>
  <c r="P1087" i="3"/>
  <c r="N1087" i="3"/>
  <c r="K1087" i="3"/>
  <c r="J1087" i="3"/>
  <c r="M1087" i="3"/>
  <c r="O1087" i="3"/>
  <c r="R1087" i="3"/>
  <c r="L1087" i="3"/>
  <c r="O958" i="3"/>
  <c r="M958" i="3"/>
  <c r="L958" i="3"/>
  <c r="P958" i="3"/>
  <c r="Q958" i="3"/>
  <c r="I958" i="3"/>
  <c r="J958" i="3"/>
  <c r="N958" i="3"/>
  <c r="K958" i="3"/>
  <c r="R958" i="3"/>
  <c r="O990" i="3"/>
  <c r="M990" i="3"/>
  <c r="Q990" i="3"/>
  <c r="I990" i="3"/>
  <c r="R990" i="3"/>
  <c r="L990" i="3"/>
  <c r="P990" i="3"/>
  <c r="J990" i="3"/>
  <c r="N990" i="3"/>
  <c r="K990" i="3"/>
  <c r="O1022" i="3"/>
  <c r="N1022" i="3"/>
  <c r="L1022" i="3"/>
  <c r="M1022" i="3"/>
  <c r="Q1022" i="3"/>
  <c r="P1022" i="3"/>
  <c r="I1022" i="3"/>
  <c r="S1022" i="3" s="1"/>
  <c r="R1022" i="3"/>
  <c r="J1022" i="3"/>
  <c r="K1022" i="3"/>
  <c r="O1054" i="3"/>
  <c r="N1054" i="3"/>
  <c r="L1054" i="3"/>
  <c r="Q1054" i="3"/>
  <c r="P1054" i="3"/>
  <c r="R1054" i="3"/>
  <c r="I1054" i="3"/>
  <c r="J1054" i="3"/>
  <c r="M1054" i="3"/>
  <c r="K1054" i="3"/>
  <c r="O1086" i="3"/>
  <c r="N1086" i="3"/>
  <c r="M1086" i="3"/>
  <c r="L1086" i="3"/>
  <c r="Q1086" i="3"/>
  <c r="P1086" i="3"/>
  <c r="I1086" i="3"/>
  <c r="R1086" i="3"/>
  <c r="K1086" i="3"/>
  <c r="J1086" i="3"/>
  <c r="L1143" i="3"/>
  <c r="Q1143" i="3"/>
  <c r="P1143" i="3"/>
  <c r="I1143" i="3"/>
  <c r="K1143" i="3"/>
  <c r="M1143" i="3"/>
  <c r="R1143" i="3"/>
  <c r="O1143" i="3"/>
  <c r="N1143" i="3"/>
  <c r="J1143" i="3"/>
  <c r="L1257" i="3"/>
  <c r="J1257" i="3"/>
  <c r="M1257" i="3"/>
  <c r="K1257" i="3"/>
  <c r="Q1257" i="3"/>
  <c r="I1257" i="3"/>
  <c r="O1257" i="3"/>
  <c r="N1257" i="3"/>
  <c r="R1257" i="3"/>
  <c r="P1257" i="3"/>
  <c r="N1126" i="3"/>
  <c r="O1126" i="3"/>
  <c r="L1126" i="3"/>
  <c r="Q1126" i="3"/>
  <c r="I1126" i="3"/>
  <c r="S1126" i="3" s="1"/>
  <c r="K1126" i="3"/>
  <c r="M1126" i="3"/>
  <c r="J1126" i="3"/>
  <c r="P1126" i="3"/>
  <c r="R1126" i="3"/>
  <c r="P1158" i="3"/>
  <c r="O1158" i="3"/>
  <c r="L1158" i="3"/>
  <c r="Q1158" i="3"/>
  <c r="I1158" i="3"/>
  <c r="R1158" i="3"/>
  <c r="N1158" i="3"/>
  <c r="K1158" i="3"/>
  <c r="J1158" i="3"/>
  <c r="M1158" i="3"/>
  <c r="I1125" i="3"/>
  <c r="P1125" i="3"/>
  <c r="M1125" i="3"/>
  <c r="L1125" i="3"/>
  <c r="O1125" i="3"/>
  <c r="Q1125" i="3"/>
  <c r="N1125" i="3"/>
  <c r="K1125" i="3"/>
  <c r="R1125" i="3"/>
  <c r="J1125" i="3"/>
  <c r="I1157" i="3"/>
  <c r="K1157" i="3"/>
  <c r="N1157" i="3"/>
  <c r="M1157" i="3"/>
  <c r="R1157" i="3"/>
  <c r="J1157" i="3"/>
  <c r="O1157" i="3"/>
  <c r="Q1157" i="3"/>
  <c r="P1157" i="3"/>
  <c r="L1157" i="3"/>
  <c r="P1176" i="3"/>
  <c r="R1176" i="3"/>
  <c r="O1176" i="3"/>
  <c r="N1176" i="3"/>
  <c r="J1176" i="3"/>
  <c r="Q1176" i="3"/>
  <c r="K1176" i="3"/>
  <c r="I1176" i="3"/>
  <c r="M1176" i="3"/>
  <c r="L1176" i="3"/>
  <c r="P1124" i="3"/>
  <c r="O1124" i="3"/>
  <c r="Q1124" i="3"/>
  <c r="K1124" i="3"/>
  <c r="M1124" i="3"/>
  <c r="I1124" i="3"/>
  <c r="L1124" i="3"/>
  <c r="N1124" i="3"/>
  <c r="R1124" i="3"/>
  <c r="J1124" i="3"/>
  <c r="N1156" i="3"/>
  <c r="J1156" i="3"/>
  <c r="O1156" i="3"/>
  <c r="Q1156" i="3"/>
  <c r="I1156" i="3"/>
  <c r="L1156" i="3"/>
  <c r="K1156" i="3"/>
  <c r="P1156" i="3"/>
  <c r="M1156" i="3"/>
  <c r="R1156" i="3"/>
  <c r="K1190" i="3"/>
  <c r="M1190" i="3"/>
  <c r="O1190" i="3"/>
  <c r="L1190" i="3"/>
  <c r="Q1190" i="3"/>
  <c r="I1190" i="3"/>
  <c r="P1190" i="3"/>
  <c r="N1190" i="3"/>
  <c r="J1190" i="3"/>
  <c r="R1190" i="3"/>
  <c r="K1222" i="3"/>
  <c r="M1222" i="3"/>
  <c r="O1222" i="3"/>
  <c r="R1222" i="3"/>
  <c r="N1222" i="3"/>
  <c r="P1222" i="3"/>
  <c r="J1222" i="3"/>
  <c r="Q1222" i="3"/>
  <c r="I1222" i="3"/>
  <c r="L1222" i="3"/>
  <c r="N1197" i="3"/>
  <c r="O1197" i="3"/>
  <c r="L1197" i="3"/>
  <c r="P1197" i="3"/>
  <c r="Q1197" i="3"/>
  <c r="I1197" i="3"/>
  <c r="M1197" i="3"/>
  <c r="J1197" i="3"/>
  <c r="K1197" i="3"/>
  <c r="R1197" i="3"/>
  <c r="I1227" i="3"/>
  <c r="O1227" i="3"/>
  <c r="M1227" i="3"/>
  <c r="J1227" i="3"/>
  <c r="N1227" i="3"/>
  <c r="K1227" i="3"/>
  <c r="R1227" i="3"/>
  <c r="L1227" i="3"/>
  <c r="Q1227" i="3"/>
  <c r="P1227" i="3"/>
  <c r="Q1212" i="3"/>
  <c r="K1212" i="3"/>
  <c r="I1212" i="3"/>
  <c r="P1212" i="3"/>
  <c r="M1212" i="3"/>
  <c r="L1212" i="3"/>
  <c r="R1212" i="3"/>
  <c r="O1212" i="3"/>
  <c r="N1212" i="3"/>
  <c r="J1212" i="3"/>
  <c r="L1171" i="3"/>
  <c r="N1171" i="3"/>
  <c r="K1171" i="3"/>
  <c r="P1171" i="3"/>
  <c r="Q1171" i="3"/>
  <c r="I1171" i="3"/>
  <c r="M1171" i="3"/>
  <c r="O1171" i="3"/>
  <c r="J1171" i="3"/>
  <c r="R1171" i="3"/>
  <c r="K1203" i="3"/>
  <c r="P1203" i="3"/>
  <c r="M1203" i="3"/>
  <c r="L1203" i="3"/>
  <c r="N1203" i="3"/>
  <c r="Q1203" i="3"/>
  <c r="O1203" i="3"/>
  <c r="I1203" i="3"/>
  <c r="J1203" i="3"/>
  <c r="R1203" i="3"/>
  <c r="Q1224" i="3"/>
  <c r="P1224" i="3"/>
  <c r="L1224" i="3"/>
  <c r="N1224" i="3"/>
  <c r="I1224" i="3"/>
  <c r="K1224" i="3"/>
  <c r="O1224" i="3"/>
  <c r="R1224" i="3"/>
  <c r="M1224" i="3"/>
  <c r="J1224" i="3"/>
  <c r="J1256" i="3"/>
  <c r="R1256" i="3"/>
  <c r="K1256" i="3"/>
  <c r="Q1256" i="3"/>
  <c r="I1256" i="3"/>
  <c r="O1256" i="3"/>
  <c r="M1256" i="3"/>
  <c r="L1256" i="3"/>
  <c r="P1256" i="3"/>
  <c r="N1256" i="3"/>
  <c r="O1328" i="3"/>
  <c r="K1328" i="3"/>
  <c r="N1328" i="3"/>
  <c r="R1328" i="3"/>
  <c r="Q1328" i="3"/>
  <c r="L1328" i="3"/>
  <c r="J1328" i="3"/>
  <c r="I1328" i="3"/>
  <c r="P1328" i="3"/>
  <c r="M1328" i="3"/>
  <c r="L1235" i="3"/>
  <c r="Q1235" i="3"/>
  <c r="I1235" i="3"/>
  <c r="S1235" i="3" s="1"/>
  <c r="O1235" i="3"/>
  <c r="M1235" i="3"/>
  <c r="K1235" i="3"/>
  <c r="J1235" i="3"/>
  <c r="R1235" i="3"/>
  <c r="N1235" i="3"/>
  <c r="P1235" i="3"/>
  <c r="R1267" i="3"/>
  <c r="J1267" i="3"/>
  <c r="P1267" i="3"/>
  <c r="L1267" i="3"/>
  <c r="Q1267" i="3"/>
  <c r="I1267" i="3"/>
  <c r="O1267" i="3"/>
  <c r="M1267" i="3"/>
  <c r="K1267" i="3"/>
  <c r="N1267" i="3"/>
  <c r="O1300" i="3"/>
  <c r="R1300" i="3"/>
  <c r="J1300" i="3"/>
  <c r="K1300" i="3"/>
  <c r="P1300" i="3"/>
  <c r="M1300" i="3"/>
  <c r="L1300" i="3"/>
  <c r="N1300" i="3"/>
  <c r="Q1300" i="3"/>
  <c r="I1300" i="3"/>
  <c r="R1246" i="3"/>
  <c r="P1246" i="3"/>
  <c r="O1246" i="3"/>
  <c r="M1246" i="3"/>
  <c r="K1246" i="3"/>
  <c r="L1246" i="3"/>
  <c r="Q1246" i="3"/>
  <c r="N1246" i="3"/>
  <c r="J1246" i="3"/>
  <c r="I1246" i="3"/>
  <c r="L1278" i="3"/>
  <c r="N1278" i="3"/>
  <c r="R1278" i="3"/>
  <c r="P1278" i="3"/>
  <c r="O1278" i="3"/>
  <c r="M1278" i="3"/>
  <c r="Q1278" i="3"/>
  <c r="K1278" i="3"/>
  <c r="J1278" i="3"/>
  <c r="I1278" i="3"/>
  <c r="M1333" i="3"/>
  <c r="Q1333" i="3"/>
  <c r="J1333" i="3"/>
  <c r="N1333" i="3"/>
  <c r="P1333" i="3"/>
  <c r="I1333" i="3"/>
  <c r="K1333" i="3"/>
  <c r="R1333" i="3"/>
  <c r="L1333" i="3"/>
  <c r="O1333" i="3"/>
  <c r="L1287" i="3"/>
  <c r="K1287" i="3"/>
  <c r="N1287" i="3"/>
  <c r="O1287" i="3"/>
  <c r="M1287" i="3"/>
  <c r="P1287" i="3"/>
  <c r="Q1287" i="3"/>
  <c r="I1287" i="3"/>
  <c r="J1287" i="3"/>
  <c r="R1287" i="3"/>
  <c r="O1319" i="3"/>
  <c r="J1319" i="3"/>
  <c r="R1319" i="3"/>
  <c r="L1319" i="3"/>
  <c r="N1319" i="3"/>
  <c r="P1319" i="3"/>
  <c r="Q1319" i="3"/>
  <c r="K1319" i="3"/>
  <c r="I1319" i="3"/>
  <c r="M1319" i="3"/>
  <c r="O1290" i="3"/>
  <c r="Q1290" i="3"/>
  <c r="M1290" i="3"/>
  <c r="J1290" i="3"/>
  <c r="I1290" i="3"/>
  <c r="R1290" i="3"/>
  <c r="N1290" i="3"/>
  <c r="K1290" i="3"/>
  <c r="P1290" i="3"/>
  <c r="L1290" i="3"/>
  <c r="P1322" i="3"/>
  <c r="Q1322" i="3"/>
  <c r="O1322" i="3"/>
  <c r="J1322" i="3"/>
  <c r="N1322" i="3"/>
  <c r="L1322" i="3"/>
  <c r="M1322" i="3"/>
  <c r="K1322" i="3"/>
  <c r="I1322" i="3"/>
  <c r="S1322" i="3" s="1"/>
  <c r="R1322" i="3"/>
  <c r="M183" i="2"/>
  <c r="L183" i="2"/>
  <c r="M190" i="2"/>
  <c r="L190" i="2"/>
  <c r="M116" i="2"/>
  <c r="L116" i="2"/>
  <c r="M143" i="2"/>
  <c r="L143" i="2"/>
  <c r="M178" i="2"/>
  <c r="L178" i="2"/>
  <c r="M231" i="2"/>
  <c r="L231" i="2"/>
  <c r="F1400" i="3"/>
  <c r="F1396" i="3"/>
  <c r="F1392" i="3"/>
  <c r="F1401" i="3"/>
  <c r="F1397" i="3"/>
  <c r="F1393" i="3"/>
  <c r="F1403" i="3"/>
  <c r="F1398" i="3"/>
  <c r="F1399" i="3"/>
  <c r="F1394" i="3"/>
  <c r="F1402" i="3"/>
  <c r="F1395" i="3"/>
  <c r="F583" i="3"/>
  <c r="F584" i="3"/>
  <c r="F576" i="3"/>
  <c r="F585" i="3"/>
  <c r="F577" i="3"/>
  <c r="F586" i="3"/>
  <c r="F578" i="3"/>
  <c r="F581" i="3"/>
  <c r="F582" i="3"/>
  <c r="F587" i="3"/>
  <c r="F580" i="3"/>
  <c r="F579" i="3"/>
  <c r="F1688" i="3"/>
  <c r="F1684" i="3"/>
  <c r="F1680" i="3"/>
  <c r="F1689" i="3"/>
  <c r="F1685" i="3"/>
  <c r="F1681" i="3"/>
  <c r="F1690" i="3"/>
  <c r="F1686" i="3"/>
  <c r="F1682" i="3"/>
  <c r="F1691" i="3"/>
  <c r="F1687" i="3"/>
  <c r="F1683" i="3"/>
  <c r="F874" i="3"/>
  <c r="F873" i="3"/>
  <c r="F872" i="3"/>
  <c r="F871" i="3"/>
  <c r="F870" i="3"/>
  <c r="F869" i="3"/>
  <c r="F868" i="3"/>
  <c r="F866" i="3"/>
  <c r="F875" i="3"/>
  <c r="F865" i="3"/>
  <c r="F864" i="3"/>
  <c r="F867" i="3"/>
  <c r="F1580" i="3"/>
  <c r="F1576" i="3"/>
  <c r="F1572" i="3"/>
  <c r="F1581" i="3"/>
  <c r="F1582" i="3"/>
  <c r="F1578" i="3"/>
  <c r="F1575" i="3"/>
  <c r="F1577" i="3"/>
  <c r="F1574" i="3"/>
  <c r="F1573" i="3"/>
  <c r="F1583" i="3"/>
  <c r="F1579" i="3"/>
  <c r="F766" i="3"/>
  <c r="F762" i="3"/>
  <c r="F758" i="3"/>
  <c r="F767" i="3"/>
  <c r="F763" i="3"/>
  <c r="F759" i="3"/>
  <c r="F764" i="3"/>
  <c r="F760" i="3"/>
  <c r="F756" i="3"/>
  <c r="F765" i="3"/>
  <c r="F761" i="3"/>
  <c r="F757" i="3"/>
  <c r="F1411" i="3"/>
  <c r="F1414" i="3"/>
  <c r="F1404" i="3"/>
  <c r="F1407" i="3"/>
  <c r="F1413" i="3"/>
  <c r="F1410" i="3"/>
  <c r="F1412" i="3"/>
  <c r="F1409" i="3"/>
  <c r="F1406" i="3"/>
  <c r="F1415" i="3"/>
  <c r="F1405" i="3"/>
  <c r="F1408" i="3"/>
  <c r="F599" i="3"/>
  <c r="F595" i="3"/>
  <c r="F591" i="3"/>
  <c r="F598" i="3"/>
  <c r="F594" i="3"/>
  <c r="F590" i="3"/>
  <c r="F596" i="3"/>
  <c r="F592" i="3"/>
  <c r="F589" i="3"/>
  <c r="F597" i="3"/>
  <c r="F593" i="3"/>
  <c r="F588" i="3"/>
  <c r="F1726" i="3"/>
  <c r="F1724" i="3"/>
  <c r="F1722" i="3"/>
  <c r="F1720" i="3"/>
  <c r="F1718" i="3"/>
  <c r="F1716" i="3"/>
  <c r="F1727" i="3"/>
  <c r="F1725" i="3"/>
  <c r="F1719" i="3"/>
  <c r="F1717" i="3"/>
  <c r="F1723" i="3"/>
  <c r="F1721" i="3"/>
  <c r="F910" i="3"/>
  <c r="F906" i="3"/>
  <c r="F902" i="3"/>
  <c r="F909" i="3"/>
  <c r="F905" i="3"/>
  <c r="F901" i="3"/>
  <c r="F903" i="3"/>
  <c r="F907" i="3"/>
  <c r="F900" i="3"/>
  <c r="F908" i="3"/>
  <c r="F911" i="3"/>
  <c r="F904" i="3"/>
  <c r="M124" i="2"/>
  <c r="L124" i="2"/>
  <c r="M220" i="2"/>
  <c r="L220" i="2"/>
  <c r="M558" i="3"/>
  <c r="K558" i="3"/>
  <c r="O558" i="3"/>
  <c r="Q558" i="3"/>
  <c r="I558" i="3"/>
  <c r="P558" i="3"/>
  <c r="R558" i="3"/>
  <c r="L558" i="3"/>
  <c r="J558" i="3"/>
  <c r="N558" i="3"/>
  <c r="M533" i="3"/>
  <c r="K533" i="3"/>
  <c r="L533" i="3"/>
  <c r="N533" i="3"/>
  <c r="Q533" i="3"/>
  <c r="I533" i="3"/>
  <c r="O533" i="3"/>
  <c r="P533" i="3"/>
  <c r="R533" i="3"/>
  <c r="J533" i="3"/>
  <c r="Q535" i="3"/>
  <c r="R535" i="3"/>
  <c r="J535" i="3"/>
  <c r="K535" i="3"/>
  <c r="M535" i="3"/>
  <c r="N535" i="3"/>
  <c r="L535" i="3"/>
  <c r="O535" i="3"/>
  <c r="P535" i="3"/>
  <c r="I535" i="3"/>
  <c r="J672" i="3"/>
  <c r="P672" i="3"/>
  <c r="Q672" i="3"/>
  <c r="M672" i="3"/>
  <c r="I672" i="3"/>
  <c r="K672" i="3"/>
  <c r="L672" i="3"/>
  <c r="N672" i="3"/>
  <c r="O672" i="3"/>
  <c r="R672" i="3"/>
  <c r="Q680" i="3"/>
  <c r="O680" i="3"/>
  <c r="I680" i="3"/>
  <c r="K680" i="3"/>
  <c r="L680" i="3"/>
  <c r="R680" i="3"/>
  <c r="N680" i="3"/>
  <c r="J680" i="3"/>
  <c r="P680" i="3"/>
  <c r="M680" i="3"/>
  <c r="I566" i="3"/>
  <c r="M566" i="3"/>
  <c r="K566" i="3"/>
  <c r="Q566" i="3"/>
  <c r="N566" i="3"/>
  <c r="L566" i="3"/>
  <c r="O566" i="3"/>
  <c r="J566" i="3"/>
  <c r="R566" i="3"/>
  <c r="P566" i="3"/>
  <c r="I598" i="3"/>
  <c r="J598" i="3"/>
  <c r="M598" i="3"/>
  <c r="L598" i="3"/>
  <c r="K598" i="3"/>
  <c r="O598" i="3"/>
  <c r="N598" i="3"/>
  <c r="R598" i="3"/>
  <c r="Q598" i="3"/>
  <c r="P598" i="3"/>
  <c r="I630" i="3"/>
  <c r="J630" i="3"/>
  <c r="M630" i="3"/>
  <c r="L630" i="3"/>
  <c r="K630" i="3"/>
  <c r="N630" i="3"/>
  <c r="R630" i="3"/>
  <c r="Q630" i="3"/>
  <c r="O630" i="3"/>
  <c r="P630" i="3"/>
  <c r="I662" i="3"/>
  <c r="J662" i="3"/>
  <c r="M662" i="3"/>
  <c r="L662" i="3"/>
  <c r="K662" i="3"/>
  <c r="Q662" i="3"/>
  <c r="R662" i="3"/>
  <c r="N662" i="3"/>
  <c r="O662" i="3"/>
  <c r="P662" i="3"/>
  <c r="K553" i="3"/>
  <c r="O553" i="3"/>
  <c r="P553" i="3"/>
  <c r="N553" i="3"/>
  <c r="Q553" i="3"/>
  <c r="M553" i="3"/>
  <c r="L553" i="3"/>
  <c r="R553" i="3"/>
  <c r="I553" i="3"/>
  <c r="J553" i="3"/>
  <c r="K585" i="3"/>
  <c r="I585" i="3"/>
  <c r="M585" i="3"/>
  <c r="O585" i="3"/>
  <c r="P585" i="3"/>
  <c r="N585" i="3"/>
  <c r="R585" i="3"/>
  <c r="Q585" i="3"/>
  <c r="J585" i="3"/>
  <c r="L585" i="3"/>
  <c r="K617" i="3"/>
  <c r="I617" i="3"/>
  <c r="M617" i="3"/>
  <c r="R617" i="3"/>
  <c r="O617" i="3"/>
  <c r="J617" i="3"/>
  <c r="L617" i="3"/>
  <c r="Q617" i="3"/>
  <c r="P617" i="3"/>
  <c r="N617" i="3"/>
  <c r="K649" i="3"/>
  <c r="I649" i="3"/>
  <c r="M649" i="3"/>
  <c r="R649" i="3"/>
  <c r="O649" i="3"/>
  <c r="J649" i="3"/>
  <c r="L649" i="3"/>
  <c r="P649" i="3"/>
  <c r="Q649" i="3"/>
  <c r="N649" i="3"/>
  <c r="P765" i="3"/>
  <c r="N765" i="3"/>
  <c r="K765" i="3"/>
  <c r="Q765" i="3"/>
  <c r="R765" i="3"/>
  <c r="I765" i="3"/>
  <c r="M765" i="3"/>
  <c r="J765" i="3"/>
  <c r="O765" i="3"/>
  <c r="L765" i="3"/>
  <c r="Q584" i="3"/>
  <c r="O584" i="3"/>
  <c r="I584" i="3"/>
  <c r="S584" i="3" s="1"/>
  <c r="K584" i="3"/>
  <c r="M584" i="3"/>
  <c r="J584" i="3"/>
  <c r="L584" i="3"/>
  <c r="P584" i="3"/>
  <c r="R584" i="3"/>
  <c r="N584" i="3"/>
  <c r="Q616" i="3"/>
  <c r="O616" i="3"/>
  <c r="R616" i="3"/>
  <c r="I616" i="3"/>
  <c r="J616" i="3"/>
  <c r="K616" i="3"/>
  <c r="M616" i="3"/>
  <c r="N616" i="3"/>
  <c r="P616" i="3"/>
  <c r="L616" i="3"/>
  <c r="Q648" i="3"/>
  <c r="O648" i="3"/>
  <c r="R648" i="3"/>
  <c r="I648" i="3"/>
  <c r="J648" i="3"/>
  <c r="K648" i="3"/>
  <c r="M648" i="3"/>
  <c r="N648" i="3"/>
  <c r="P648" i="3"/>
  <c r="L648" i="3"/>
  <c r="L789" i="3"/>
  <c r="P789" i="3"/>
  <c r="N789" i="3"/>
  <c r="R789" i="3"/>
  <c r="O789" i="3"/>
  <c r="K789" i="3"/>
  <c r="J789" i="3"/>
  <c r="Q789" i="3"/>
  <c r="I789" i="3"/>
  <c r="M789" i="3"/>
  <c r="R741" i="3"/>
  <c r="L741" i="3"/>
  <c r="J741" i="3"/>
  <c r="K741" i="3"/>
  <c r="Q741" i="3"/>
  <c r="O741" i="3"/>
  <c r="I741" i="3"/>
  <c r="M741" i="3"/>
  <c r="N741" i="3"/>
  <c r="P741" i="3"/>
  <c r="K559" i="3"/>
  <c r="P559" i="3"/>
  <c r="O559" i="3"/>
  <c r="Q559" i="3"/>
  <c r="N559" i="3"/>
  <c r="J559" i="3"/>
  <c r="I559" i="3"/>
  <c r="L559" i="3"/>
  <c r="M559" i="3"/>
  <c r="R559" i="3"/>
  <c r="Q591" i="3"/>
  <c r="P591" i="3"/>
  <c r="I591" i="3"/>
  <c r="K591" i="3"/>
  <c r="N591" i="3"/>
  <c r="R591" i="3"/>
  <c r="M591" i="3"/>
  <c r="L591" i="3"/>
  <c r="O591" i="3"/>
  <c r="J591" i="3"/>
  <c r="Q623" i="3"/>
  <c r="P623" i="3"/>
  <c r="I623" i="3"/>
  <c r="K623" i="3"/>
  <c r="N623" i="3"/>
  <c r="R623" i="3"/>
  <c r="L623" i="3"/>
  <c r="J623" i="3"/>
  <c r="O623" i="3"/>
  <c r="M623" i="3"/>
  <c r="Q655" i="3"/>
  <c r="P655" i="3"/>
  <c r="I655" i="3"/>
  <c r="S655" i="3" s="1"/>
  <c r="K655" i="3"/>
  <c r="N655" i="3"/>
  <c r="O655" i="3"/>
  <c r="R655" i="3"/>
  <c r="M655" i="3"/>
  <c r="L655" i="3"/>
  <c r="J655" i="3"/>
  <c r="M813" i="3"/>
  <c r="N813" i="3"/>
  <c r="L813" i="3"/>
  <c r="P813" i="3"/>
  <c r="O813" i="3"/>
  <c r="K813" i="3"/>
  <c r="Q813" i="3"/>
  <c r="R813" i="3"/>
  <c r="I813" i="3"/>
  <c r="S813" i="3" s="1"/>
  <c r="J813" i="3"/>
  <c r="M702" i="3"/>
  <c r="Q702" i="3"/>
  <c r="O702" i="3"/>
  <c r="P702" i="3"/>
  <c r="R702" i="3"/>
  <c r="J702" i="3"/>
  <c r="I702" i="3"/>
  <c r="S702" i="3" s="1"/>
  <c r="L702" i="3"/>
  <c r="N702" i="3"/>
  <c r="K702" i="3"/>
  <c r="M734" i="3"/>
  <c r="K734" i="3"/>
  <c r="Q734" i="3"/>
  <c r="O734" i="3"/>
  <c r="J734" i="3"/>
  <c r="R734" i="3"/>
  <c r="P734" i="3"/>
  <c r="I734" i="3"/>
  <c r="N734" i="3"/>
  <c r="L734" i="3"/>
  <c r="M766" i="3"/>
  <c r="K766" i="3"/>
  <c r="L766" i="3"/>
  <c r="O766" i="3"/>
  <c r="N766" i="3"/>
  <c r="Q766" i="3"/>
  <c r="R766" i="3"/>
  <c r="P766" i="3"/>
  <c r="I766" i="3"/>
  <c r="J766" i="3"/>
  <c r="P853" i="3"/>
  <c r="O853" i="3"/>
  <c r="K853" i="3"/>
  <c r="Q853" i="3"/>
  <c r="I853" i="3"/>
  <c r="R853" i="3"/>
  <c r="M853" i="3"/>
  <c r="J853" i="3"/>
  <c r="L853" i="3"/>
  <c r="N853" i="3"/>
  <c r="N889" i="3"/>
  <c r="L889" i="3"/>
  <c r="O889" i="3"/>
  <c r="K889" i="3"/>
  <c r="Q889" i="3"/>
  <c r="I889" i="3"/>
  <c r="R889" i="3"/>
  <c r="M889" i="3"/>
  <c r="J889" i="3"/>
  <c r="P889" i="3"/>
  <c r="R732" i="3"/>
  <c r="P732" i="3"/>
  <c r="Q732" i="3"/>
  <c r="J732" i="3"/>
  <c r="I732" i="3"/>
  <c r="S732" i="3" s="1"/>
  <c r="O732" i="3"/>
  <c r="K732" i="3"/>
  <c r="M732" i="3"/>
  <c r="L732" i="3"/>
  <c r="N732" i="3"/>
  <c r="J764" i="3"/>
  <c r="N764" i="3"/>
  <c r="L764" i="3"/>
  <c r="Q764" i="3"/>
  <c r="I764" i="3"/>
  <c r="O764" i="3"/>
  <c r="P764" i="3"/>
  <c r="K764" i="3"/>
  <c r="R764" i="3"/>
  <c r="M764" i="3"/>
  <c r="L805" i="3"/>
  <c r="K805" i="3"/>
  <c r="Q805" i="3"/>
  <c r="I805" i="3"/>
  <c r="M805" i="3"/>
  <c r="O805" i="3"/>
  <c r="P805" i="3"/>
  <c r="R805" i="3"/>
  <c r="J805" i="3"/>
  <c r="N805" i="3"/>
  <c r="K913" i="3"/>
  <c r="Q913" i="3"/>
  <c r="I913" i="3"/>
  <c r="O913" i="3"/>
  <c r="M913" i="3"/>
  <c r="N913" i="3"/>
  <c r="J913" i="3"/>
  <c r="L913" i="3"/>
  <c r="R913" i="3"/>
  <c r="P913" i="3"/>
  <c r="I703" i="3"/>
  <c r="L703" i="3"/>
  <c r="N703" i="3"/>
  <c r="R703" i="3"/>
  <c r="P703" i="3"/>
  <c r="J703" i="3"/>
  <c r="O703" i="3"/>
  <c r="K703" i="3"/>
  <c r="Q703" i="3"/>
  <c r="M703" i="3"/>
  <c r="I735" i="3"/>
  <c r="J735" i="3"/>
  <c r="R735" i="3"/>
  <c r="N735" i="3"/>
  <c r="O735" i="3"/>
  <c r="M735" i="3"/>
  <c r="K735" i="3"/>
  <c r="Q735" i="3"/>
  <c r="P735" i="3"/>
  <c r="L735" i="3"/>
  <c r="N767" i="3"/>
  <c r="I767" i="3"/>
  <c r="P767" i="3"/>
  <c r="L767" i="3"/>
  <c r="R767" i="3"/>
  <c r="O767" i="3"/>
  <c r="M767" i="3"/>
  <c r="J767" i="3"/>
  <c r="Q767" i="3"/>
  <c r="K767" i="3"/>
  <c r="M829" i="3"/>
  <c r="O829" i="3"/>
  <c r="J829" i="3"/>
  <c r="P829" i="3"/>
  <c r="R829" i="3"/>
  <c r="K829" i="3"/>
  <c r="Q829" i="3"/>
  <c r="I829" i="3"/>
  <c r="N829" i="3"/>
  <c r="L829" i="3"/>
  <c r="J933" i="3"/>
  <c r="K933" i="3"/>
  <c r="Q933" i="3"/>
  <c r="N933" i="3"/>
  <c r="L933" i="3"/>
  <c r="I933" i="3"/>
  <c r="M933" i="3"/>
  <c r="O933" i="3"/>
  <c r="R933" i="3"/>
  <c r="P933" i="3"/>
  <c r="K824" i="3"/>
  <c r="L824" i="3"/>
  <c r="N824" i="3"/>
  <c r="Q824" i="3"/>
  <c r="R824" i="3"/>
  <c r="I824" i="3"/>
  <c r="O824" i="3"/>
  <c r="M824" i="3"/>
  <c r="J824" i="3"/>
  <c r="P824" i="3"/>
  <c r="K856" i="3"/>
  <c r="N856" i="3"/>
  <c r="R856" i="3"/>
  <c r="Q856" i="3"/>
  <c r="M856" i="3"/>
  <c r="J856" i="3"/>
  <c r="I856" i="3"/>
  <c r="O856" i="3"/>
  <c r="L856" i="3"/>
  <c r="P856" i="3"/>
  <c r="K888" i="3"/>
  <c r="L888" i="3"/>
  <c r="R888" i="3"/>
  <c r="N888" i="3"/>
  <c r="P888" i="3"/>
  <c r="J888" i="3"/>
  <c r="Q888" i="3"/>
  <c r="I888" i="3"/>
  <c r="O888" i="3"/>
  <c r="M888" i="3"/>
  <c r="K920" i="3"/>
  <c r="L920" i="3"/>
  <c r="R920" i="3"/>
  <c r="N920" i="3"/>
  <c r="J920" i="3"/>
  <c r="Q920" i="3"/>
  <c r="I920" i="3"/>
  <c r="O920" i="3"/>
  <c r="M920" i="3"/>
  <c r="P920" i="3"/>
  <c r="O811" i="3"/>
  <c r="M811" i="3"/>
  <c r="P811" i="3"/>
  <c r="L811" i="3"/>
  <c r="Q811" i="3"/>
  <c r="N811" i="3"/>
  <c r="I811" i="3"/>
  <c r="R811" i="3"/>
  <c r="J811" i="3"/>
  <c r="K811" i="3"/>
  <c r="P843" i="3"/>
  <c r="O843" i="3"/>
  <c r="M843" i="3"/>
  <c r="N843" i="3"/>
  <c r="Q843" i="3"/>
  <c r="R843" i="3"/>
  <c r="I843" i="3"/>
  <c r="K843" i="3"/>
  <c r="J843" i="3"/>
  <c r="L843" i="3"/>
  <c r="O875" i="3"/>
  <c r="M875" i="3"/>
  <c r="R875" i="3"/>
  <c r="J875" i="3"/>
  <c r="Q875" i="3"/>
  <c r="K875" i="3"/>
  <c r="I875" i="3"/>
  <c r="S875" i="3" s="1"/>
  <c r="P875" i="3"/>
  <c r="L875" i="3"/>
  <c r="N875" i="3"/>
  <c r="O907" i="3"/>
  <c r="M907" i="3"/>
  <c r="R907" i="3"/>
  <c r="L907" i="3"/>
  <c r="Q907" i="3"/>
  <c r="J907" i="3"/>
  <c r="I907" i="3"/>
  <c r="P907" i="3"/>
  <c r="N907" i="3"/>
  <c r="K907" i="3"/>
  <c r="I794" i="3"/>
  <c r="M794" i="3"/>
  <c r="L794" i="3"/>
  <c r="K794" i="3"/>
  <c r="O794" i="3"/>
  <c r="P794" i="3"/>
  <c r="R794" i="3"/>
  <c r="J794" i="3"/>
  <c r="Q794" i="3"/>
  <c r="N794" i="3"/>
  <c r="L826" i="3"/>
  <c r="M826" i="3"/>
  <c r="K826" i="3"/>
  <c r="P826" i="3"/>
  <c r="R826" i="3"/>
  <c r="O826" i="3"/>
  <c r="J826" i="3"/>
  <c r="Q826" i="3"/>
  <c r="I826" i="3"/>
  <c r="S826" i="3" s="1"/>
  <c r="N826" i="3"/>
  <c r="P858" i="3"/>
  <c r="M858" i="3"/>
  <c r="R858" i="3"/>
  <c r="K858" i="3"/>
  <c r="J858" i="3"/>
  <c r="I858" i="3"/>
  <c r="N858" i="3"/>
  <c r="O858" i="3"/>
  <c r="L858" i="3"/>
  <c r="Q858" i="3"/>
  <c r="P890" i="3"/>
  <c r="N890" i="3"/>
  <c r="M890" i="3"/>
  <c r="R890" i="3"/>
  <c r="K890" i="3"/>
  <c r="J890" i="3"/>
  <c r="O890" i="3"/>
  <c r="Q890" i="3"/>
  <c r="L890" i="3"/>
  <c r="I890" i="3"/>
  <c r="P922" i="3"/>
  <c r="N922" i="3"/>
  <c r="M922" i="3"/>
  <c r="R922" i="3"/>
  <c r="K922" i="3"/>
  <c r="J922" i="3"/>
  <c r="O922" i="3"/>
  <c r="Q922" i="3"/>
  <c r="L922" i="3"/>
  <c r="I922" i="3"/>
  <c r="K1392" i="3"/>
  <c r="L1392" i="3"/>
  <c r="O1392" i="3"/>
  <c r="J1392" i="3"/>
  <c r="N1392" i="3"/>
  <c r="P1392" i="3"/>
  <c r="M1392" i="3"/>
  <c r="Q1392" i="3"/>
  <c r="I1392" i="3"/>
  <c r="S1392" i="3" s="1"/>
  <c r="R1392" i="3"/>
  <c r="Q1346" i="3"/>
  <c r="M1346" i="3"/>
  <c r="P1346" i="3"/>
  <c r="I1346" i="3"/>
  <c r="O1346" i="3"/>
  <c r="L1346" i="3"/>
  <c r="N1346" i="3"/>
  <c r="J1346" i="3"/>
  <c r="K1346" i="3"/>
  <c r="R1346" i="3"/>
  <c r="L1421" i="3"/>
  <c r="R1421" i="3"/>
  <c r="M1421" i="3"/>
  <c r="J1421" i="3"/>
  <c r="K1421" i="3"/>
  <c r="O1421" i="3"/>
  <c r="N1421" i="3"/>
  <c r="Q1421" i="3"/>
  <c r="I1421" i="3"/>
  <c r="P1421" i="3"/>
  <c r="N1354" i="3"/>
  <c r="K1354" i="3"/>
  <c r="J1354" i="3"/>
  <c r="R1354" i="3"/>
  <c r="Q1354" i="3"/>
  <c r="M1354" i="3"/>
  <c r="O1354" i="3"/>
  <c r="I1354" i="3"/>
  <c r="P1354" i="3"/>
  <c r="L1354" i="3"/>
  <c r="K1363" i="3"/>
  <c r="O1363" i="3"/>
  <c r="P1363" i="3"/>
  <c r="M1363" i="3"/>
  <c r="L1363" i="3"/>
  <c r="I1363" i="3"/>
  <c r="Q1363" i="3"/>
  <c r="R1363" i="3"/>
  <c r="J1363" i="3"/>
  <c r="N1363" i="3"/>
  <c r="K1395" i="3"/>
  <c r="O1395" i="3"/>
  <c r="M1395" i="3"/>
  <c r="Q1395" i="3"/>
  <c r="I1395" i="3"/>
  <c r="R1395" i="3"/>
  <c r="N1395" i="3"/>
  <c r="L1395" i="3"/>
  <c r="J1395" i="3"/>
  <c r="P1395" i="3"/>
  <c r="J1434" i="3"/>
  <c r="K1434" i="3"/>
  <c r="P1434" i="3"/>
  <c r="Q1434" i="3"/>
  <c r="O1434" i="3"/>
  <c r="I1434" i="3"/>
  <c r="N1434" i="3"/>
  <c r="L1434" i="3"/>
  <c r="M1434" i="3"/>
  <c r="R1434" i="3"/>
  <c r="P1353" i="3"/>
  <c r="L1353" i="3"/>
  <c r="Q1353" i="3"/>
  <c r="N1353" i="3"/>
  <c r="M1353" i="3"/>
  <c r="J1353" i="3"/>
  <c r="R1353" i="3"/>
  <c r="O1353" i="3"/>
  <c r="K1353" i="3"/>
  <c r="I1353" i="3"/>
  <c r="J1385" i="3"/>
  <c r="N1385" i="3"/>
  <c r="P1385" i="3"/>
  <c r="Q1385" i="3"/>
  <c r="L1385" i="3"/>
  <c r="M1385" i="3"/>
  <c r="I1385" i="3"/>
  <c r="O1385" i="3"/>
  <c r="K1385" i="3"/>
  <c r="R1385" i="3"/>
  <c r="P1417" i="3"/>
  <c r="L1417" i="3"/>
  <c r="K1417" i="3"/>
  <c r="J1417" i="3"/>
  <c r="Q1417" i="3"/>
  <c r="I1417" i="3"/>
  <c r="N1417" i="3"/>
  <c r="O1417" i="3"/>
  <c r="M1417" i="3"/>
  <c r="R1417" i="3"/>
  <c r="R1424" i="3"/>
  <c r="O1424" i="3"/>
  <c r="N1424" i="3"/>
  <c r="J1424" i="3"/>
  <c r="L1424" i="3"/>
  <c r="Q1424" i="3"/>
  <c r="M1424" i="3"/>
  <c r="I1424" i="3"/>
  <c r="P1424" i="3"/>
  <c r="K1424" i="3"/>
  <c r="R1456" i="3"/>
  <c r="O1456" i="3"/>
  <c r="K1456" i="3"/>
  <c r="J1456" i="3"/>
  <c r="P1456" i="3"/>
  <c r="M1456" i="3"/>
  <c r="Q1456" i="3"/>
  <c r="N1456" i="3"/>
  <c r="L1456" i="3"/>
  <c r="I1456" i="3"/>
  <c r="O1407" i="3"/>
  <c r="Q1407" i="3"/>
  <c r="R1407" i="3"/>
  <c r="N1407" i="3"/>
  <c r="M1407" i="3"/>
  <c r="I1407" i="3"/>
  <c r="L1407" i="3"/>
  <c r="J1407" i="3"/>
  <c r="K1407" i="3"/>
  <c r="P1407" i="3"/>
  <c r="O1439" i="3"/>
  <c r="M1439" i="3"/>
  <c r="Q1439" i="3"/>
  <c r="N1439" i="3"/>
  <c r="R1439" i="3"/>
  <c r="I1439" i="3"/>
  <c r="K1439" i="3"/>
  <c r="J1439" i="3"/>
  <c r="P1439" i="3"/>
  <c r="L1439" i="3"/>
  <c r="O1471" i="3"/>
  <c r="M1471" i="3"/>
  <c r="Q1471" i="3"/>
  <c r="N1471" i="3"/>
  <c r="R1471" i="3"/>
  <c r="I1471" i="3"/>
  <c r="K1471" i="3"/>
  <c r="J1471" i="3"/>
  <c r="P1471" i="3"/>
  <c r="L1471" i="3"/>
  <c r="K1446" i="3"/>
  <c r="O1446" i="3"/>
  <c r="J1446" i="3"/>
  <c r="Q1446" i="3"/>
  <c r="I1446" i="3"/>
  <c r="L1446" i="3"/>
  <c r="P1446" i="3"/>
  <c r="M1446" i="3"/>
  <c r="N1446" i="3"/>
  <c r="R1446" i="3"/>
  <c r="K1478" i="3"/>
  <c r="O1478" i="3"/>
  <c r="J1478" i="3"/>
  <c r="Q1478" i="3"/>
  <c r="I1478" i="3"/>
  <c r="L1478" i="3"/>
  <c r="P1478" i="3"/>
  <c r="M1478" i="3"/>
  <c r="N1478" i="3"/>
  <c r="R1478" i="3"/>
  <c r="M1457" i="3"/>
  <c r="L1457" i="3"/>
  <c r="I1457" i="3"/>
  <c r="O1457" i="3"/>
  <c r="R1457" i="3"/>
  <c r="J1457" i="3"/>
  <c r="K1457" i="3"/>
  <c r="N1457" i="3"/>
  <c r="P1457" i="3"/>
  <c r="Q1457" i="3"/>
  <c r="K1503" i="3"/>
  <c r="I1503" i="3"/>
  <c r="J1503" i="3"/>
  <c r="L1503" i="3"/>
  <c r="N1503" i="3"/>
  <c r="R1503" i="3"/>
  <c r="P1503" i="3"/>
  <c r="Q1503" i="3"/>
  <c r="M1503" i="3"/>
  <c r="O1503" i="3"/>
  <c r="K1504" i="3"/>
  <c r="M1504" i="3"/>
  <c r="R1504" i="3"/>
  <c r="L1504" i="3"/>
  <c r="O1504" i="3"/>
  <c r="P1504" i="3"/>
  <c r="J1504" i="3"/>
  <c r="I1504" i="3"/>
  <c r="Q1504" i="3"/>
  <c r="N1504" i="3"/>
  <c r="M1508" i="3"/>
  <c r="L1508" i="3"/>
  <c r="N1508" i="3"/>
  <c r="J1508" i="3"/>
  <c r="Q1508" i="3"/>
  <c r="O1508" i="3"/>
  <c r="K1508" i="3"/>
  <c r="I1508" i="3"/>
  <c r="P1508" i="3"/>
  <c r="R1508" i="3"/>
  <c r="L1600" i="3"/>
  <c r="R1600" i="3"/>
  <c r="Q1600" i="3"/>
  <c r="M1600" i="3"/>
  <c r="I1600" i="3"/>
  <c r="O1600" i="3"/>
  <c r="J1600" i="3"/>
  <c r="K1600" i="3"/>
  <c r="N1600" i="3"/>
  <c r="P1600" i="3"/>
  <c r="O1539" i="3"/>
  <c r="I1539" i="3"/>
  <c r="P1539" i="3"/>
  <c r="L1539" i="3"/>
  <c r="K1539" i="3"/>
  <c r="M1539" i="3"/>
  <c r="Q1539" i="3"/>
  <c r="N1539" i="3"/>
  <c r="R1539" i="3"/>
  <c r="J1539" i="3"/>
  <c r="Q1486" i="3"/>
  <c r="I1486" i="3"/>
  <c r="L1486" i="3"/>
  <c r="P1486" i="3"/>
  <c r="M1486" i="3"/>
  <c r="K1486" i="3"/>
  <c r="O1486" i="3"/>
  <c r="J1486" i="3"/>
  <c r="R1486" i="3"/>
  <c r="N1486" i="3"/>
  <c r="Q1518" i="3"/>
  <c r="I1518" i="3"/>
  <c r="K1518" i="3"/>
  <c r="L1518" i="3"/>
  <c r="O1518" i="3"/>
  <c r="P1518" i="3"/>
  <c r="N1518" i="3"/>
  <c r="J1518" i="3"/>
  <c r="M1518" i="3"/>
  <c r="R1518" i="3"/>
  <c r="N1562" i="3"/>
  <c r="M1562" i="3"/>
  <c r="Q1562" i="3"/>
  <c r="I1562" i="3"/>
  <c r="O1562" i="3"/>
  <c r="J1562" i="3"/>
  <c r="R1562" i="3"/>
  <c r="L1562" i="3"/>
  <c r="P1562" i="3"/>
  <c r="K1562" i="3"/>
  <c r="O1485" i="3"/>
  <c r="M1485" i="3"/>
  <c r="P1485" i="3"/>
  <c r="I1485" i="3"/>
  <c r="Q1485" i="3"/>
  <c r="K1485" i="3"/>
  <c r="J1485" i="3"/>
  <c r="L1485" i="3"/>
  <c r="R1485" i="3"/>
  <c r="N1485" i="3"/>
  <c r="O1517" i="3"/>
  <c r="M1517" i="3"/>
  <c r="R1517" i="3"/>
  <c r="P1517" i="3"/>
  <c r="N1517" i="3"/>
  <c r="L1517" i="3"/>
  <c r="I1517" i="3"/>
  <c r="Q1517" i="3"/>
  <c r="J1517" i="3"/>
  <c r="K1517" i="3"/>
  <c r="J1574" i="3"/>
  <c r="M1574" i="3"/>
  <c r="P1574" i="3"/>
  <c r="Q1574" i="3"/>
  <c r="I1574" i="3"/>
  <c r="N1574" i="3"/>
  <c r="R1574" i="3"/>
  <c r="L1574" i="3"/>
  <c r="K1574" i="3"/>
  <c r="O1574" i="3"/>
  <c r="R1555" i="3"/>
  <c r="O1555" i="3"/>
  <c r="Q1555" i="3"/>
  <c r="K1555" i="3"/>
  <c r="L1555" i="3"/>
  <c r="J1555" i="3"/>
  <c r="N1555" i="3"/>
  <c r="M1555" i="3"/>
  <c r="I1555" i="3"/>
  <c r="P1555" i="3"/>
  <c r="M1587" i="3"/>
  <c r="R1587" i="3"/>
  <c r="J1587" i="3"/>
  <c r="P1587" i="3"/>
  <c r="O1587" i="3"/>
  <c r="K1587" i="3"/>
  <c r="L1587" i="3"/>
  <c r="N1587" i="3"/>
  <c r="I1587" i="3"/>
  <c r="Q1587" i="3"/>
  <c r="R1638" i="3"/>
  <c r="P1638" i="3"/>
  <c r="L1638" i="3"/>
  <c r="M1638" i="3"/>
  <c r="J1638" i="3"/>
  <c r="Q1638" i="3"/>
  <c r="O1638" i="3"/>
  <c r="K1638" i="3"/>
  <c r="I1638" i="3"/>
  <c r="N1638" i="3"/>
  <c r="Q1549" i="3"/>
  <c r="J1549" i="3"/>
  <c r="K1549" i="3"/>
  <c r="N1549" i="3"/>
  <c r="O1549" i="3"/>
  <c r="M1549" i="3"/>
  <c r="R1549" i="3"/>
  <c r="L1549" i="3"/>
  <c r="I1549" i="3"/>
  <c r="S1549" i="3" s="1"/>
  <c r="P1549" i="3"/>
  <c r="N1581" i="3"/>
  <c r="M1581" i="3"/>
  <c r="L1581" i="3"/>
  <c r="K1581" i="3"/>
  <c r="P1581" i="3"/>
  <c r="O1581" i="3"/>
  <c r="Q1581" i="3"/>
  <c r="I1581" i="3"/>
  <c r="J1581" i="3"/>
  <c r="R1581" i="3"/>
  <c r="P1645" i="3"/>
  <c r="K1645" i="3"/>
  <c r="M1645" i="3"/>
  <c r="I1645" i="3"/>
  <c r="O1645" i="3"/>
  <c r="R1645" i="3"/>
  <c r="L1645" i="3"/>
  <c r="N1645" i="3"/>
  <c r="Q1645" i="3"/>
  <c r="J1645" i="3"/>
  <c r="R1676" i="3"/>
  <c r="O1676" i="3"/>
  <c r="J1676" i="3"/>
  <c r="N1676" i="3"/>
  <c r="M1676" i="3"/>
  <c r="Q1676" i="3"/>
  <c r="K1676" i="3"/>
  <c r="I1676" i="3"/>
  <c r="P1676" i="3"/>
  <c r="L1676" i="3"/>
  <c r="K1628" i="3"/>
  <c r="N1628" i="3"/>
  <c r="Q1628" i="3"/>
  <c r="I1628" i="3"/>
  <c r="P1628" i="3"/>
  <c r="J1628" i="3"/>
  <c r="M1628" i="3"/>
  <c r="R1628" i="3"/>
  <c r="O1628" i="3"/>
  <c r="L1628" i="3"/>
  <c r="R1634" i="3"/>
  <c r="M1634" i="3"/>
  <c r="I1634" i="3"/>
  <c r="P1634" i="3"/>
  <c r="L1634" i="3"/>
  <c r="K1634" i="3"/>
  <c r="J1634" i="3"/>
  <c r="Q1634" i="3"/>
  <c r="O1634" i="3"/>
  <c r="N1634" i="3"/>
  <c r="O1623" i="3"/>
  <c r="K1623" i="3"/>
  <c r="N1623" i="3"/>
  <c r="I1623" i="3"/>
  <c r="R1623" i="3"/>
  <c r="P1623" i="3"/>
  <c r="Q1623" i="3"/>
  <c r="M1623" i="3"/>
  <c r="J1623" i="3"/>
  <c r="L1623" i="3"/>
  <c r="K1664" i="3"/>
  <c r="I1664" i="3"/>
  <c r="L1664" i="3"/>
  <c r="P1664" i="3"/>
  <c r="R1664" i="3"/>
  <c r="M1664" i="3"/>
  <c r="O1664" i="3"/>
  <c r="Q1664" i="3"/>
  <c r="J1664" i="3"/>
  <c r="N1664" i="3"/>
  <c r="P1685" i="3"/>
  <c r="M1685" i="3"/>
  <c r="K1685" i="3"/>
  <c r="I1685" i="3"/>
  <c r="O1685" i="3"/>
  <c r="J1685" i="3"/>
  <c r="N1685" i="3"/>
  <c r="R1685" i="3"/>
  <c r="L1685" i="3"/>
  <c r="Q1685" i="3"/>
  <c r="O1651" i="3"/>
  <c r="M1651" i="3"/>
  <c r="N1651" i="3"/>
  <c r="K1651" i="3"/>
  <c r="R1651" i="3"/>
  <c r="P1651" i="3"/>
  <c r="J1651" i="3"/>
  <c r="Q1651" i="3"/>
  <c r="L1651" i="3"/>
  <c r="I1651" i="3"/>
  <c r="M1679" i="3"/>
  <c r="Q1679" i="3"/>
  <c r="O1679" i="3"/>
  <c r="I1679" i="3"/>
  <c r="R1679" i="3"/>
  <c r="J1679" i="3"/>
  <c r="N1679" i="3"/>
  <c r="K1679" i="3"/>
  <c r="P1679" i="3"/>
  <c r="L1679" i="3"/>
  <c r="N1670" i="3"/>
  <c r="L1670" i="3"/>
  <c r="R1670" i="3"/>
  <c r="J1670" i="3"/>
  <c r="P1670" i="3"/>
  <c r="Q1670" i="3"/>
  <c r="K1670" i="3"/>
  <c r="M1670" i="3"/>
  <c r="I1670" i="3"/>
  <c r="O1670" i="3"/>
  <c r="L1719" i="3"/>
  <c r="Q1719" i="3"/>
  <c r="N1719" i="3"/>
  <c r="K1719" i="3"/>
  <c r="P1719" i="3"/>
  <c r="J1719" i="3"/>
  <c r="R1719" i="3"/>
  <c r="O1719" i="3"/>
  <c r="I1719" i="3"/>
  <c r="S1719" i="3" s="1"/>
  <c r="M1719" i="3"/>
  <c r="M1711" i="3"/>
  <c r="O1711" i="3"/>
  <c r="R1711" i="3"/>
  <c r="N1711" i="3"/>
  <c r="L1711" i="3"/>
  <c r="J1711" i="3"/>
  <c r="Q1711" i="3"/>
  <c r="P1711" i="3"/>
  <c r="I1711" i="3"/>
  <c r="K1711" i="3"/>
  <c r="I1747" i="3"/>
  <c r="L1747" i="3"/>
  <c r="K1747" i="3"/>
  <c r="P1747" i="3"/>
  <c r="O1747" i="3"/>
  <c r="Q1747" i="3"/>
  <c r="M1747" i="3"/>
  <c r="J1747" i="3"/>
  <c r="N1747" i="3"/>
  <c r="R1747" i="3"/>
  <c r="Q1714" i="3"/>
  <c r="P1714" i="3"/>
  <c r="L1714" i="3"/>
  <c r="J1714" i="3"/>
  <c r="O1714" i="3"/>
  <c r="M1714" i="3"/>
  <c r="R1714" i="3"/>
  <c r="K1714" i="3"/>
  <c r="I1714" i="3"/>
  <c r="N1714" i="3"/>
  <c r="M1733" i="3"/>
  <c r="L1733" i="3"/>
  <c r="Q1733" i="3"/>
  <c r="P1733" i="3"/>
  <c r="J1733" i="3"/>
  <c r="I1733" i="3"/>
  <c r="O1733" i="3"/>
  <c r="K1733" i="3"/>
  <c r="N1733" i="3"/>
  <c r="R1733" i="3"/>
  <c r="N1716" i="3"/>
  <c r="R1716" i="3"/>
  <c r="O1716" i="3"/>
  <c r="I1716" i="3"/>
  <c r="M1716" i="3"/>
  <c r="L1716" i="3"/>
  <c r="Q1716" i="3"/>
  <c r="P1716" i="3"/>
  <c r="K1716" i="3"/>
  <c r="J1716" i="3"/>
  <c r="Q1748" i="3"/>
  <c r="P1748" i="3"/>
  <c r="K1748" i="3"/>
  <c r="J1748" i="3"/>
  <c r="N1748" i="3"/>
  <c r="O1748" i="3"/>
  <c r="R1748" i="3"/>
  <c r="I1748" i="3"/>
  <c r="M1748" i="3"/>
  <c r="L1748" i="3"/>
  <c r="L115" i="2"/>
  <c r="M201" i="2"/>
  <c r="L201" i="2"/>
  <c r="L214" i="2"/>
  <c r="L230" i="2"/>
  <c r="L182" i="2"/>
  <c r="L227" i="2"/>
  <c r="S1679" i="3" l="1"/>
  <c r="S1645" i="3"/>
  <c r="U116" i="2"/>
  <c r="P116" i="2"/>
  <c r="T116" i="2"/>
  <c r="O116" i="2"/>
  <c r="Q116" i="2"/>
  <c r="S116" i="2"/>
  <c r="N116" i="2"/>
  <c r="R116" i="2"/>
  <c r="S1190" i="3"/>
  <c r="S1257" i="3"/>
  <c r="R198" i="2"/>
  <c r="T198" i="2"/>
  <c r="U198" i="2"/>
  <c r="Q198" i="2"/>
  <c r="N198" i="2"/>
  <c r="P198" i="2"/>
  <c r="O198" i="2"/>
  <c r="S198" i="2"/>
  <c r="S1748" i="3"/>
  <c r="S1628" i="3"/>
  <c r="S1424" i="3"/>
  <c r="S824" i="3"/>
  <c r="S734" i="3"/>
  <c r="S616" i="3"/>
  <c r="S649" i="3"/>
  <c r="R183" i="2"/>
  <c r="P183" i="2"/>
  <c r="O183" i="2"/>
  <c r="N183" i="2"/>
  <c r="S183" i="2"/>
  <c r="U183" i="2"/>
  <c r="T183" i="2"/>
  <c r="Q183" i="2"/>
  <c r="S1328" i="3"/>
  <c r="S1176" i="3"/>
  <c r="S1143" i="3"/>
  <c r="S958" i="3"/>
  <c r="P230" i="2"/>
  <c r="O230" i="2"/>
  <c r="Q230" i="2"/>
  <c r="S230" i="2"/>
  <c r="N230" i="2"/>
  <c r="R230" i="2"/>
  <c r="T230" i="2"/>
  <c r="U230" i="2"/>
  <c r="S1711" i="3"/>
  <c r="S1555" i="3"/>
  <c r="S1446" i="3"/>
  <c r="S907" i="3"/>
  <c r="S920" i="3"/>
  <c r="S764" i="3"/>
  <c r="S662" i="3"/>
  <c r="S1290" i="3"/>
  <c r="S1157" i="3"/>
  <c r="S1158" i="3"/>
  <c r="S1054" i="3"/>
  <c r="S981" i="3"/>
  <c r="S506" i="3"/>
  <c r="S471" i="3"/>
  <c r="S402" i="3"/>
  <c r="S193" i="3"/>
  <c r="S1721" i="3"/>
  <c r="S1585" i="3"/>
  <c r="S437" i="3"/>
  <c r="S1744" i="3"/>
  <c r="S1709" i="3"/>
  <c r="S1700" i="3"/>
  <c r="S1583" i="3"/>
  <c r="S1551" i="3"/>
  <c r="S1610" i="3"/>
  <c r="S1572" i="3"/>
  <c r="S1535" i="3"/>
  <c r="S1495" i="3"/>
  <c r="S1420" i="3"/>
  <c r="S1382" i="3"/>
  <c r="S1386" i="3"/>
  <c r="S854" i="3"/>
  <c r="S839" i="3"/>
  <c r="S797" i="3"/>
  <c r="S644" i="3"/>
  <c r="S658" i="3"/>
  <c r="S548" i="3"/>
  <c r="S1315" i="3"/>
  <c r="S1261" i="3"/>
  <c r="S1193" i="3"/>
  <c r="S1120" i="3"/>
  <c r="S1153" i="3"/>
  <c r="S1154" i="3"/>
  <c r="S1082" i="3"/>
  <c r="S1019" i="3"/>
  <c r="S438" i="3"/>
  <c r="S493" i="3"/>
  <c r="S396" i="3"/>
  <c r="S364" i="3"/>
  <c r="S127" i="3"/>
  <c r="S147" i="3"/>
  <c r="T193" i="2"/>
  <c r="S193" i="2"/>
  <c r="R193" i="2"/>
  <c r="O193" i="2"/>
  <c r="Q193" i="2"/>
  <c r="N193" i="2"/>
  <c r="P193" i="2"/>
  <c r="U193" i="2"/>
  <c r="S209" i="2"/>
  <c r="O209" i="2"/>
  <c r="T209" i="2"/>
  <c r="Q209" i="2"/>
  <c r="R209" i="2"/>
  <c r="N209" i="2"/>
  <c r="P209" i="2"/>
  <c r="U209" i="2"/>
  <c r="S1326" i="3"/>
  <c r="S1233" i="3"/>
  <c r="S510" i="3"/>
  <c r="R229" i="2"/>
  <c r="N229" i="2"/>
  <c r="O229" i="2"/>
  <c r="Q229" i="2"/>
  <c r="S229" i="2"/>
  <c r="P229" i="2"/>
  <c r="U229" i="2"/>
  <c r="T229" i="2"/>
  <c r="S1662" i="3"/>
  <c r="S1671" i="3"/>
  <c r="S1463" i="3"/>
  <c r="S1377" i="3"/>
  <c r="S1422" i="3"/>
  <c r="S1384" i="3"/>
  <c r="S899" i="3"/>
  <c r="S880" i="3"/>
  <c r="S817" i="3"/>
  <c r="S724" i="3"/>
  <c r="S590" i="3"/>
  <c r="S1314" i="3"/>
  <c r="S1311" i="3"/>
  <c r="S1332" i="3"/>
  <c r="S1280" i="3"/>
  <c r="S1195" i="3"/>
  <c r="S1204" i="3"/>
  <c r="S1329" i="3"/>
  <c r="S1014" i="3"/>
  <c r="S937" i="3"/>
  <c r="S394" i="3"/>
  <c r="S333" i="3"/>
  <c r="S184" i="3"/>
  <c r="T145" i="2"/>
  <c r="U145" i="2"/>
  <c r="S145" i="2"/>
  <c r="R145" i="2"/>
  <c r="O145" i="2"/>
  <c r="Q145" i="2"/>
  <c r="N145" i="2"/>
  <c r="P145" i="2"/>
  <c r="N200" i="2"/>
  <c r="U200" i="2"/>
  <c r="Q200" i="2"/>
  <c r="T200" i="2"/>
  <c r="S200" i="2"/>
  <c r="O200" i="2"/>
  <c r="P200" i="2"/>
  <c r="R200" i="2"/>
  <c r="S1627" i="3"/>
  <c r="P160" i="2"/>
  <c r="T160" i="2"/>
  <c r="O160" i="2"/>
  <c r="S160" i="2"/>
  <c r="N160" i="2"/>
  <c r="U160" i="2"/>
  <c r="Q160" i="2"/>
  <c r="R160" i="2"/>
  <c r="Q117" i="2"/>
  <c r="R117" i="2"/>
  <c r="P117" i="2"/>
  <c r="N117" i="2"/>
  <c r="U117" i="2"/>
  <c r="T117" i="2"/>
  <c r="S117" i="2"/>
  <c r="O117" i="2"/>
  <c r="S1736" i="3"/>
  <c r="S1725" i="3"/>
  <c r="S1696" i="3"/>
  <c r="S1637" i="3"/>
  <c r="S1606" i="3"/>
  <c r="S1594" i="3"/>
  <c r="S1527" i="3"/>
  <c r="S1477" i="3"/>
  <c r="S1348" i="3"/>
  <c r="S846" i="3"/>
  <c r="S814" i="3"/>
  <c r="S831" i="3"/>
  <c r="S787" i="3"/>
  <c r="S668" i="3"/>
  <c r="S701" i="3"/>
  <c r="S1310" i="3"/>
  <c r="S1304" i="3"/>
  <c r="S1217" i="3"/>
  <c r="S1008" i="3"/>
  <c r="S462" i="3"/>
  <c r="S485" i="3"/>
  <c r="S421" i="3"/>
  <c r="S375" i="3"/>
  <c r="S292" i="3"/>
  <c r="S326" i="3"/>
  <c r="S294" i="3"/>
  <c r="S218" i="3"/>
  <c r="R174" i="2"/>
  <c r="S174" i="2"/>
  <c r="P174" i="2"/>
  <c r="T174" i="2"/>
  <c r="N174" i="2"/>
  <c r="Q174" i="2"/>
  <c r="O174" i="2"/>
  <c r="U174" i="2"/>
  <c r="U119" i="2"/>
  <c r="Q119" i="2"/>
  <c r="P119" i="2"/>
  <c r="R119" i="2"/>
  <c r="T119" i="2"/>
  <c r="S119" i="2"/>
  <c r="O119" i="2"/>
  <c r="N119" i="2"/>
  <c r="S1522" i="3"/>
  <c r="S570" i="3"/>
  <c r="T162" i="2"/>
  <c r="S162" i="2"/>
  <c r="R162" i="2"/>
  <c r="Q162" i="2"/>
  <c r="P162" i="2"/>
  <c r="N162" i="2"/>
  <c r="O162" i="2"/>
  <c r="U162" i="2"/>
  <c r="S1597" i="3"/>
  <c r="S1625" i="3"/>
  <c r="S1533" i="3"/>
  <c r="S1534" i="3"/>
  <c r="S1523" i="3"/>
  <c r="S1473" i="3"/>
  <c r="S1462" i="3"/>
  <c r="S1406" i="3"/>
  <c r="S1352" i="3"/>
  <c r="S1388" i="3"/>
  <c r="S808" i="3"/>
  <c r="S885" i="3"/>
  <c r="S780" i="3"/>
  <c r="S716" i="3"/>
  <c r="S782" i="3"/>
  <c r="S1277" i="3"/>
  <c r="S1272" i="3"/>
  <c r="S1172" i="3"/>
  <c r="S1141" i="3"/>
  <c r="S1142" i="3"/>
  <c r="S1070" i="3"/>
  <c r="S1093" i="3"/>
  <c r="S481" i="3"/>
  <c r="S464" i="3"/>
  <c r="S354" i="3"/>
  <c r="S272" i="3"/>
  <c r="S1058" i="3"/>
  <c r="Q213" i="2"/>
  <c r="N213" i="2"/>
  <c r="P213" i="2"/>
  <c r="U213" i="2"/>
  <c r="T213" i="2"/>
  <c r="R213" i="2"/>
  <c r="S213" i="2"/>
  <c r="O213" i="2"/>
  <c r="S1737" i="3"/>
  <c r="S1528" i="3"/>
  <c r="S1483" i="3"/>
  <c r="S1398" i="3"/>
  <c r="S870" i="3"/>
  <c r="S868" i="3"/>
  <c r="S747" i="3"/>
  <c r="S712" i="3"/>
  <c r="S667" i="3"/>
  <c r="S539" i="3"/>
  <c r="S676" i="3"/>
  <c r="S564" i="3"/>
  <c r="S565" i="3"/>
  <c r="S1331" i="3"/>
  <c r="S1002" i="3"/>
  <c r="S1032" i="3"/>
  <c r="S515" i="3"/>
  <c r="S524" i="3"/>
  <c r="S484" i="3"/>
  <c r="S167" i="3"/>
  <c r="S210" i="3"/>
  <c r="S1655" i="3"/>
  <c r="S1364" i="3"/>
  <c r="S266" i="3"/>
  <c r="S329" i="3"/>
  <c r="N234" i="2"/>
  <c r="R234" i="2"/>
  <c r="U234" i="2"/>
  <c r="Q234" i="2"/>
  <c r="T234" i="2"/>
  <c r="S234" i="2"/>
  <c r="P234" i="2"/>
  <c r="O234" i="2"/>
  <c r="S1557" i="3"/>
  <c r="S1371" i="3"/>
  <c r="S866" i="3"/>
  <c r="S915" i="3"/>
  <c r="S869" i="3"/>
  <c r="S740" i="3"/>
  <c r="S742" i="3"/>
  <c r="S631" i="3"/>
  <c r="S567" i="3"/>
  <c r="S624" i="3"/>
  <c r="S625" i="3"/>
  <c r="S696" i="3"/>
  <c r="S1327" i="3"/>
  <c r="S966" i="3"/>
  <c r="S1095" i="3"/>
  <c r="S999" i="3"/>
  <c r="S964" i="3"/>
  <c r="S418" i="3"/>
  <c r="S428" i="3"/>
  <c r="S376" i="3"/>
  <c r="S282" i="3"/>
  <c r="S259" i="3"/>
  <c r="S163" i="3"/>
  <c r="S264" i="3"/>
  <c r="S139" i="3"/>
  <c r="S353" i="3"/>
  <c r="U173" i="2"/>
  <c r="T173" i="2"/>
  <c r="S173" i="2"/>
  <c r="O173" i="2"/>
  <c r="R173" i="2"/>
  <c r="N173" i="2"/>
  <c r="P173" i="2"/>
  <c r="Q173" i="2"/>
  <c r="S1490" i="3"/>
  <c r="S798" i="3"/>
  <c r="S1129" i="3"/>
  <c r="S501" i="3"/>
  <c r="S164" i="3"/>
  <c r="S446" i="3"/>
  <c r="S1508" i="3"/>
  <c r="S1456" i="3"/>
  <c r="S1353" i="3"/>
  <c r="S922" i="3"/>
  <c r="S535" i="3"/>
  <c r="S503" i="3"/>
  <c r="S187" i="3"/>
  <c r="S807" i="3"/>
  <c r="S760" i="3"/>
  <c r="P182" i="2"/>
  <c r="O182" i="2"/>
  <c r="S182" i="2"/>
  <c r="N182" i="2"/>
  <c r="R182" i="2"/>
  <c r="T182" i="2"/>
  <c r="U182" i="2"/>
  <c r="Q182" i="2"/>
  <c r="S1685" i="3"/>
  <c r="S805" i="3"/>
  <c r="N178" i="2"/>
  <c r="O178" i="2"/>
  <c r="U178" i="2"/>
  <c r="T178" i="2"/>
  <c r="P178" i="2"/>
  <c r="S178" i="2"/>
  <c r="R178" i="2"/>
  <c r="Q178" i="2"/>
  <c r="S1300" i="3"/>
  <c r="S1197" i="3"/>
  <c r="S1124" i="3"/>
  <c r="S990" i="3"/>
  <c r="S1055" i="3"/>
  <c r="S1020" i="3"/>
  <c r="S410" i="3"/>
  <c r="S323" i="3"/>
  <c r="S214" i="2"/>
  <c r="O214" i="2"/>
  <c r="N214" i="2"/>
  <c r="R214" i="2"/>
  <c r="T214" i="2"/>
  <c r="U214" i="2"/>
  <c r="Q214" i="2"/>
  <c r="P214" i="2"/>
  <c r="S1581" i="3"/>
  <c r="S1518" i="3"/>
  <c r="S1471" i="3"/>
  <c r="S1434" i="3"/>
  <c r="S888" i="3"/>
  <c r="S933" i="3"/>
  <c r="S829" i="3"/>
  <c r="S767" i="3"/>
  <c r="S765" i="3"/>
  <c r="S617" i="3"/>
  <c r="S533" i="3"/>
  <c r="Q220" i="2"/>
  <c r="N220" i="2"/>
  <c r="O220" i="2"/>
  <c r="T220" i="2"/>
  <c r="U220" i="2"/>
  <c r="S220" i="2"/>
  <c r="P220" i="2"/>
  <c r="R220" i="2"/>
  <c r="U143" i="2"/>
  <c r="P143" i="2"/>
  <c r="Q143" i="2"/>
  <c r="O143" i="2"/>
  <c r="N143" i="2"/>
  <c r="T143" i="2"/>
  <c r="S143" i="2"/>
  <c r="R143" i="2"/>
  <c r="S1287" i="3"/>
  <c r="S1171" i="3"/>
  <c r="S1023" i="3"/>
  <c r="S988" i="3"/>
  <c r="S1013" i="3"/>
  <c r="S945" i="3"/>
  <c r="S474" i="3"/>
  <c r="S465" i="3"/>
  <c r="S368" i="3"/>
  <c r="S219" i="3"/>
  <c r="S166" i="3"/>
  <c r="T168" i="2"/>
  <c r="P168" i="2"/>
  <c r="S168" i="2"/>
  <c r="R168" i="2"/>
  <c r="Q168" i="2"/>
  <c r="O168" i="2"/>
  <c r="N168" i="2"/>
  <c r="U168" i="2"/>
  <c r="S862" i="3"/>
  <c r="S557" i="3"/>
  <c r="S1049" i="3"/>
  <c r="S260" i="3"/>
  <c r="S165" i="3"/>
  <c r="N186" i="2"/>
  <c r="Q186" i="2"/>
  <c r="U186" i="2"/>
  <c r="R186" i="2"/>
  <c r="P186" i="2"/>
  <c r="T186" i="2"/>
  <c r="S186" i="2"/>
  <c r="O186" i="2"/>
  <c r="S177" i="2"/>
  <c r="R177" i="2"/>
  <c r="T177" i="2"/>
  <c r="O177" i="2"/>
  <c r="Q177" i="2"/>
  <c r="N177" i="2"/>
  <c r="P177" i="2"/>
  <c r="U177" i="2"/>
  <c r="M24" i="3"/>
  <c r="N24" i="3" s="1"/>
  <c r="P24" i="3" s="1"/>
  <c r="M36" i="3"/>
  <c r="N36" i="3" s="1"/>
  <c r="P36" i="3" s="1"/>
  <c r="S24" i="3"/>
  <c r="T24" i="3" s="1"/>
  <c r="V24" i="3" s="1"/>
  <c r="M38" i="3"/>
  <c r="N38" i="3" s="1"/>
  <c r="P38" i="3" s="1"/>
  <c r="S32" i="3"/>
  <c r="T32" i="3" s="1"/>
  <c r="V32" i="3" s="1"/>
  <c r="S1514" i="3"/>
  <c r="S1500" i="3"/>
  <c r="S1474" i="3"/>
  <c r="S1467" i="3"/>
  <c r="S1512" i="3"/>
  <c r="S822" i="3"/>
  <c r="S935" i="3"/>
  <c r="S820" i="3"/>
  <c r="S763" i="3"/>
  <c r="S699" i="3"/>
  <c r="S792" i="3"/>
  <c r="S645" i="3"/>
  <c r="S626" i="3"/>
  <c r="S562" i="3"/>
  <c r="S677" i="3"/>
  <c r="S556" i="3"/>
  <c r="U216" i="2"/>
  <c r="N216" i="2"/>
  <c r="T216" i="2"/>
  <c r="S216" i="2"/>
  <c r="R216" i="2"/>
  <c r="P216" i="2"/>
  <c r="Q216" i="2"/>
  <c r="O216" i="2"/>
  <c r="S1320" i="3"/>
  <c r="S1252" i="3"/>
  <c r="S1245" i="3"/>
  <c r="S1218" i="3"/>
  <c r="S1152" i="3"/>
  <c r="S1173" i="3"/>
  <c r="S1139" i="3"/>
  <c r="S954" i="3"/>
  <c r="S1009" i="3"/>
  <c r="S467" i="3"/>
  <c r="S525" i="3"/>
  <c r="S319" i="3"/>
  <c r="S520" i="3"/>
  <c r="S480" i="3"/>
  <c r="S325" i="3"/>
  <c r="S221" i="3"/>
  <c r="S162" i="3"/>
  <c r="S706" i="3"/>
  <c r="S563" i="3"/>
  <c r="S554" i="3"/>
  <c r="S1289" i="3"/>
  <c r="P197" i="2"/>
  <c r="U197" i="2"/>
  <c r="T197" i="2"/>
  <c r="S197" i="2"/>
  <c r="O197" i="2"/>
  <c r="R197" i="2"/>
  <c r="N197" i="2"/>
  <c r="Q197" i="2"/>
  <c r="S1708" i="3"/>
  <c r="S1648" i="3"/>
  <c r="S1541" i="3"/>
  <c r="S1579" i="3"/>
  <c r="S1556" i="3"/>
  <c r="S1598" i="3"/>
  <c r="S694" i="3"/>
  <c r="S749" i="3"/>
  <c r="S609" i="3"/>
  <c r="S777" i="3"/>
  <c r="S753" i="3"/>
  <c r="S1270" i="3"/>
  <c r="S1259" i="3"/>
  <c r="S1325" i="3"/>
  <c r="S982" i="3"/>
  <c r="S949" i="3"/>
  <c r="S1115" i="3"/>
  <c r="S489" i="3"/>
  <c r="S457" i="3"/>
  <c r="S452" i="3"/>
  <c r="S392" i="3"/>
  <c r="S293" i="3"/>
  <c r="S516" i="3"/>
  <c r="S153" i="3"/>
  <c r="S190" i="3"/>
  <c r="S815" i="3"/>
  <c r="S736" i="3"/>
  <c r="S659" i="3"/>
  <c r="S1162" i="3"/>
  <c r="S1024" i="3"/>
  <c r="S1690" i="3"/>
  <c r="S1652" i="3"/>
  <c r="S1466" i="3"/>
  <c r="S1484" i="3"/>
  <c r="S878" i="3"/>
  <c r="S927" i="3"/>
  <c r="S812" i="3"/>
  <c r="S691" i="3"/>
  <c r="S579" i="3"/>
  <c r="S692" i="3"/>
  <c r="S669" i="3"/>
  <c r="S541" i="3"/>
  <c r="S684" i="3"/>
  <c r="S1339" i="3"/>
  <c r="S1191" i="3"/>
  <c r="S1200" i="3"/>
  <c r="S1185" i="3"/>
  <c r="S1146" i="3"/>
  <c r="S979" i="3"/>
  <c r="S1033" i="3"/>
  <c r="S430" i="3"/>
  <c r="S459" i="3"/>
  <c r="S388" i="3"/>
  <c r="S424" i="3"/>
  <c r="S271" i="3"/>
  <c r="S180" i="3"/>
  <c r="S191" i="2"/>
  <c r="R191" i="2"/>
  <c r="Q191" i="2"/>
  <c r="U191" i="2"/>
  <c r="P191" i="2"/>
  <c r="O191" i="2"/>
  <c r="T191" i="2"/>
  <c r="N191" i="2"/>
  <c r="R180" i="2"/>
  <c r="Q180" i="2"/>
  <c r="S180" i="2"/>
  <c r="U180" i="2"/>
  <c r="P180" i="2"/>
  <c r="T180" i="2"/>
  <c r="O180" i="2"/>
  <c r="N180" i="2"/>
  <c r="P185" i="2"/>
  <c r="S185" i="2"/>
  <c r="O185" i="2"/>
  <c r="N185" i="2"/>
  <c r="Q185" i="2"/>
  <c r="U185" i="2"/>
  <c r="T185" i="2"/>
  <c r="R185" i="2"/>
  <c r="S175" i="2"/>
  <c r="R175" i="2"/>
  <c r="Q175" i="2"/>
  <c r="U175" i="2"/>
  <c r="P175" i="2"/>
  <c r="O175" i="2"/>
  <c r="T175" i="2"/>
  <c r="N175" i="2"/>
  <c r="S1511" i="3"/>
  <c r="S627" i="3"/>
  <c r="S1017" i="3"/>
  <c r="S1423" i="3"/>
  <c r="S1408" i="3"/>
  <c r="S1410" i="3"/>
  <c r="S923" i="3"/>
  <c r="S687" i="3"/>
  <c r="S865" i="3"/>
  <c r="S543" i="3"/>
  <c r="S632" i="3"/>
  <c r="S633" i="3"/>
  <c r="T142" i="2"/>
  <c r="R142" i="2"/>
  <c r="S142" i="2"/>
  <c r="N142" i="2"/>
  <c r="Q142" i="2"/>
  <c r="P142" i="2"/>
  <c r="U142" i="2"/>
  <c r="O142" i="2"/>
  <c r="N129" i="2"/>
  <c r="P129" i="2"/>
  <c r="U129" i="2"/>
  <c r="O129" i="2"/>
  <c r="T129" i="2"/>
  <c r="Q129" i="2"/>
  <c r="S129" i="2"/>
  <c r="R129" i="2"/>
  <c r="S1240" i="3"/>
  <c r="S1187" i="3"/>
  <c r="S1111" i="3"/>
  <c r="S1105" i="3"/>
  <c r="S1007" i="3"/>
  <c r="S1068" i="3"/>
  <c r="S942" i="3"/>
  <c r="S403" i="3"/>
  <c r="S203" i="3"/>
  <c r="S208" i="3"/>
  <c r="S209" i="3"/>
  <c r="S150" i="3"/>
  <c r="S405" i="3"/>
  <c r="S297" i="3"/>
  <c r="S1701" i="3"/>
  <c r="S1282" i="3"/>
  <c r="S196" i="3"/>
  <c r="N155" i="2"/>
  <c r="O155" i="2"/>
  <c r="U155" i="2"/>
  <c r="Q155" i="2"/>
  <c r="T155" i="2"/>
  <c r="P155" i="2"/>
  <c r="S155" i="2"/>
  <c r="R155" i="2"/>
  <c r="S1738" i="3"/>
  <c r="S1717" i="3"/>
  <c r="S1593" i="3"/>
  <c r="S1599" i="3"/>
  <c r="S1567" i="3"/>
  <c r="S1586" i="3"/>
  <c r="S1419" i="3"/>
  <c r="S1370" i="3"/>
  <c r="S887" i="3"/>
  <c r="S881" i="3"/>
  <c r="S833" i="3"/>
  <c r="S714" i="3"/>
  <c r="S603" i="3"/>
  <c r="S597" i="3"/>
  <c r="S713" i="3"/>
  <c r="S681" i="3"/>
  <c r="S1226" i="3"/>
  <c r="S1247" i="3"/>
  <c r="S1296" i="3"/>
  <c r="S1192" i="3"/>
  <c r="S1209" i="3"/>
  <c r="S1169" i="3"/>
  <c r="S1155" i="3"/>
  <c r="S1098" i="3"/>
  <c r="S1035" i="3"/>
  <c r="S422" i="3"/>
  <c r="S335" i="3"/>
  <c r="S284" i="3"/>
  <c r="S318" i="3"/>
  <c r="S263" i="3"/>
  <c r="S269" i="3"/>
  <c r="S1630" i="3"/>
  <c r="S830" i="3"/>
  <c r="S634" i="3"/>
  <c r="S1237" i="3"/>
  <c r="S1750" i="3"/>
  <c r="S1723" i="3"/>
  <c r="S1595" i="3"/>
  <c r="S1563" i="3"/>
  <c r="S1515" i="3"/>
  <c r="S1372" i="3"/>
  <c r="S1360" i="3"/>
  <c r="S834" i="3"/>
  <c r="S711" i="3"/>
  <c r="S606" i="3"/>
  <c r="S546" i="3"/>
  <c r="S1269" i="3"/>
  <c r="S1285" i="3"/>
  <c r="S1243" i="3"/>
  <c r="S1179" i="3"/>
  <c r="S1265" i="3"/>
  <c r="S1166" i="3"/>
  <c r="S1151" i="3"/>
  <c r="S998" i="3"/>
  <c r="S514" i="3"/>
  <c r="S441" i="3"/>
  <c r="S409" i="3"/>
  <c r="S331" i="3"/>
  <c r="S151" i="3"/>
  <c r="S1411" i="3"/>
  <c r="S595" i="3"/>
  <c r="S1081" i="3"/>
  <c r="S327" i="3"/>
  <c r="S1666" i="3"/>
  <c r="S1632" i="3"/>
  <c r="S1622" i="3"/>
  <c r="S1381" i="3"/>
  <c r="S1359" i="3"/>
  <c r="S1374" i="3"/>
  <c r="S903" i="3"/>
  <c r="S905" i="3"/>
  <c r="S612" i="3"/>
  <c r="S1318" i="3"/>
  <c r="S1286" i="3"/>
  <c r="S1321" i="3"/>
  <c r="S1050" i="3"/>
  <c r="S987" i="3"/>
  <c r="S1073" i="3"/>
  <c r="S977" i="3"/>
  <c r="S406" i="3"/>
  <c r="S461" i="3"/>
  <c r="S287" i="3"/>
  <c r="S398" i="3"/>
  <c r="S366" i="3"/>
  <c r="S247" i="3"/>
  <c r="S361" i="3"/>
  <c r="S252" i="3"/>
  <c r="S258" i="3"/>
  <c r="S126" i="3"/>
  <c r="Q207" i="2"/>
  <c r="U207" i="2"/>
  <c r="P207" i="2"/>
  <c r="O207" i="2"/>
  <c r="R207" i="2"/>
  <c r="N207" i="2"/>
  <c r="T207" i="2"/>
  <c r="S207" i="2"/>
  <c r="S1358" i="3"/>
  <c r="Q165" i="2"/>
  <c r="R165" i="2"/>
  <c r="P165" i="2"/>
  <c r="U165" i="2"/>
  <c r="T165" i="2"/>
  <c r="S165" i="2"/>
  <c r="O165" i="2"/>
  <c r="N165" i="2"/>
  <c r="S867" i="3"/>
  <c r="S153" i="2"/>
  <c r="P153" i="2"/>
  <c r="O153" i="2"/>
  <c r="N153" i="2"/>
  <c r="U153" i="2"/>
  <c r="T153" i="2"/>
  <c r="R153" i="2"/>
  <c r="Q153" i="2"/>
  <c r="S1189" i="3"/>
  <c r="S1150" i="3"/>
  <c r="S983" i="3"/>
  <c r="S1012" i="3"/>
  <c r="R205" i="2"/>
  <c r="Q205" i="2"/>
  <c r="N205" i="2"/>
  <c r="P205" i="2"/>
  <c r="U205" i="2"/>
  <c r="T205" i="2"/>
  <c r="S205" i="2"/>
  <c r="O205" i="2"/>
  <c r="P217" i="2"/>
  <c r="O217" i="2"/>
  <c r="N217" i="2"/>
  <c r="S217" i="2"/>
  <c r="Q217" i="2"/>
  <c r="U217" i="2"/>
  <c r="T217" i="2"/>
  <c r="R217" i="2"/>
  <c r="P111" i="2"/>
  <c r="O111" i="2"/>
  <c r="N111" i="2"/>
  <c r="U111" i="2"/>
  <c r="T111" i="2"/>
  <c r="S111" i="2"/>
  <c r="Q111" i="2"/>
  <c r="R111" i="2"/>
  <c r="S1412" i="3"/>
  <c r="S448" i="3"/>
  <c r="S1729" i="3"/>
  <c r="S170" i="3"/>
  <c r="S221" i="2"/>
  <c r="T221" i="2"/>
  <c r="R221" i="2"/>
  <c r="O221" i="2"/>
  <c r="Q221" i="2"/>
  <c r="P221" i="2"/>
  <c r="N221" i="2"/>
  <c r="U221" i="2"/>
  <c r="S1441" i="3"/>
  <c r="S783" i="3"/>
  <c r="S575" i="3"/>
  <c r="S646" i="3"/>
  <c r="N135" i="2"/>
  <c r="U135" i="2"/>
  <c r="R135" i="2"/>
  <c r="Q135" i="2"/>
  <c r="T135" i="2"/>
  <c r="S135" i="2"/>
  <c r="P135" i="2"/>
  <c r="O135" i="2"/>
  <c r="S1109" i="3"/>
  <c r="R139" i="2"/>
  <c r="O139" i="2"/>
  <c r="N139" i="2"/>
  <c r="U139" i="2"/>
  <c r="Q139" i="2"/>
  <c r="T139" i="2"/>
  <c r="P139" i="2"/>
  <c r="S139" i="2"/>
  <c r="S660" i="3"/>
  <c r="S1168" i="3"/>
  <c r="S483" i="3"/>
  <c r="S178" i="3"/>
  <c r="U206" i="2"/>
  <c r="T206" i="2"/>
  <c r="R206" i="2"/>
  <c r="S206" i="2"/>
  <c r="N206" i="2"/>
  <c r="Q206" i="2"/>
  <c r="O206" i="2"/>
  <c r="P206" i="2"/>
  <c r="P195" i="2"/>
  <c r="O195" i="2"/>
  <c r="U195" i="2"/>
  <c r="N195" i="2"/>
  <c r="S195" i="2"/>
  <c r="T195" i="2"/>
  <c r="Q195" i="2"/>
  <c r="R195" i="2"/>
  <c r="S1659" i="3"/>
  <c r="S1447" i="3"/>
  <c r="S1425" i="3"/>
  <c r="S883" i="3"/>
  <c r="S708" i="3"/>
  <c r="S1293" i="3"/>
  <c r="S967" i="3"/>
  <c r="S415" i="3"/>
  <c r="S512" i="3"/>
  <c r="O151" i="2"/>
  <c r="P151" i="2"/>
  <c r="N151" i="2"/>
  <c r="U151" i="2"/>
  <c r="R151" i="2"/>
  <c r="Q151" i="2"/>
  <c r="T151" i="2"/>
  <c r="S151" i="2"/>
  <c r="U125" i="2"/>
  <c r="N125" i="2"/>
  <c r="S125" i="2"/>
  <c r="T125" i="2"/>
  <c r="R125" i="2"/>
  <c r="O125" i="2"/>
  <c r="P125" i="2"/>
  <c r="Q125" i="2"/>
  <c r="S1735" i="3"/>
  <c r="S1629" i="3"/>
  <c r="N137" i="2"/>
  <c r="S137" i="2"/>
  <c r="U137" i="2"/>
  <c r="T137" i="2"/>
  <c r="O137" i="2"/>
  <c r="R137" i="2"/>
  <c r="Q137" i="2"/>
  <c r="P137" i="2"/>
  <c r="S1059" i="3"/>
  <c r="S234" i="3"/>
  <c r="O202" i="2"/>
  <c r="P202" i="2"/>
  <c r="N202" i="2"/>
  <c r="U202" i="2"/>
  <c r="R202" i="2"/>
  <c r="T202" i="2"/>
  <c r="S202" i="2"/>
  <c r="Q202" i="2"/>
  <c r="S1677" i="3"/>
  <c r="S1492" i="3"/>
  <c r="S1499" i="3"/>
  <c r="S1437" i="3"/>
  <c r="S1355" i="3"/>
  <c r="S816" i="3"/>
  <c r="S695" i="3"/>
  <c r="S758" i="3"/>
  <c r="S576" i="3"/>
  <c r="S226" i="2"/>
  <c r="R226" i="2"/>
  <c r="Q226" i="2"/>
  <c r="P226" i="2"/>
  <c r="N226" i="2"/>
  <c r="O226" i="2"/>
  <c r="T226" i="2"/>
  <c r="U226" i="2"/>
  <c r="S1148" i="3"/>
  <c r="S1149" i="3"/>
  <c r="S1167" i="3"/>
  <c r="S1177" i="3"/>
  <c r="S498" i="3"/>
  <c r="S425" i="3"/>
  <c r="S315" i="3"/>
  <c r="S500" i="3"/>
  <c r="S360" i="3"/>
  <c r="S330" i="3"/>
  <c r="S243" i="3"/>
  <c r="S217" i="3"/>
  <c r="S476" i="3"/>
  <c r="S1489" i="3"/>
  <c r="S1390" i="3"/>
  <c r="S771" i="3"/>
  <c r="S1704" i="3"/>
  <c r="S1715" i="3"/>
  <c r="S1656" i="3"/>
  <c r="S1605" i="3"/>
  <c r="S1575" i="3"/>
  <c r="S1543" i="3"/>
  <c r="S1537" i="3"/>
  <c r="S1476" i="3"/>
  <c r="S1409" i="3"/>
  <c r="S908" i="3"/>
  <c r="S755" i="3"/>
  <c r="S752" i="3"/>
  <c r="S637" i="3"/>
  <c r="O232" i="2"/>
  <c r="Q232" i="2"/>
  <c r="N232" i="2"/>
  <c r="P232" i="2"/>
  <c r="U232" i="2"/>
  <c r="T232" i="2"/>
  <c r="S232" i="2"/>
  <c r="R232" i="2"/>
  <c r="S1266" i="3"/>
  <c r="S1229" i="3"/>
  <c r="S1210" i="3"/>
  <c r="S978" i="3"/>
  <c r="S1001" i="3"/>
  <c r="S526" i="3"/>
  <c r="S311" i="3"/>
  <c r="S468" i="3"/>
  <c r="S245" i="3"/>
  <c r="S305" i="3"/>
  <c r="R212" i="2"/>
  <c r="Q212" i="2"/>
  <c r="N212" i="2"/>
  <c r="U212" i="2"/>
  <c r="P212" i="2"/>
  <c r="T212" i="2"/>
  <c r="O212" i="2"/>
  <c r="S212" i="2"/>
  <c r="P138" i="2"/>
  <c r="O138" i="2"/>
  <c r="S138" i="2"/>
  <c r="N138" i="2"/>
  <c r="R138" i="2"/>
  <c r="U138" i="2"/>
  <c r="Q138" i="2"/>
  <c r="T138" i="2"/>
  <c r="R196" i="2"/>
  <c r="Q196" i="2"/>
  <c r="U196" i="2"/>
  <c r="S196" i="2"/>
  <c r="P196" i="2"/>
  <c r="N196" i="2"/>
  <c r="T196" i="2"/>
  <c r="O196" i="2"/>
  <c r="S1228" i="3"/>
  <c r="S1130" i="3"/>
  <c r="S478" i="3"/>
  <c r="S443" i="3"/>
  <c r="S440" i="3"/>
  <c r="S1635" i="3"/>
  <c r="S1644" i="3"/>
  <c r="S1402" i="3"/>
  <c r="S906" i="3"/>
  <c r="S891" i="3"/>
  <c r="S795" i="3"/>
  <c r="S809" i="3"/>
  <c r="S748" i="3"/>
  <c r="S671" i="3"/>
  <c r="S600" i="3"/>
  <c r="S601" i="3"/>
  <c r="S773" i="3"/>
  <c r="S164" i="2"/>
  <c r="N164" i="2"/>
  <c r="R164" i="2"/>
  <c r="O164" i="2"/>
  <c r="Q164" i="2"/>
  <c r="T164" i="2"/>
  <c r="U164" i="2"/>
  <c r="P164" i="2"/>
  <c r="S1301" i="3"/>
  <c r="S1309" i="3"/>
  <c r="S1308" i="3"/>
  <c r="S1108" i="3"/>
  <c r="S1110" i="3"/>
  <c r="S1038" i="3"/>
  <c r="S1071" i="3"/>
  <c r="S975" i="3"/>
  <c r="S1101" i="3"/>
  <c r="S320" i="3"/>
  <c r="S177" i="3"/>
  <c r="S285" i="3"/>
  <c r="S120" i="3"/>
  <c r="S51" i="3" s="1"/>
  <c r="T51" i="3" s="1"/>
  <c r="V51" i="3" s="1"/>
  <c r="S1521" i="3"/>
  <c r="S847" i="3"/>
  <c r="S770" i="3"/>
  <c r="S653" i="3"/>
  <c r="N215" i="2"/>
  <c r="U215" i="2"/>
  <c r="T215" i="2"/>
  <c r="Q215" i="2"/>
  <c r="S215" i="2"/>
  <c r="O215" i="2"/>
  <c r="R215" i="2"/>
  <c r="P215" i="2"/>
  <c r="S1530" i="3"/>
  <c r="S1520" i="3"/>
  <c r="S932" i="3"/>
  <c r="S836" i="3"/>
  <c r="S683" i="3"/>
  <c r="S776" i="3"/>
  <c r="S578" i="3"/>
  <c r="S1292" i="3"/>
  <c r="S1137" i="3"/>
  <c r="S1066" i="3"/>
  <c r="S1099" i="3"/>
  <c r="S1003" i="3"/>
  <c r="S1096" i="3"/>
  <c r="S518" i="3"/>
  <c r="S303" i="3"/>
  <c r="S231" i="3"/>
  <c r="S268" i="3"/>
  <c r="S237" i="3"/>
  <c r="S121" i="3"/>
  <c r="S48" i="3" s="1"/>
  <c r="T48" i="3" s="1"/>
  <c r="V48" i="3" s="1"/>
  <c r="N199" i="2"/>
  <c r="O199" i="2"/>
  <c r="U199" i="2"/>
  <c r="T199" i="2"/>
  <c r="Q199" i="2"/>
  <c r="S199" i="2"/>
  <c r="R199" i="2"/>
  <c r="P199" i="2"/>
  <c r="S1726" i="3"/>
  <c r="S860" i="3"/>
  <c r="S528" i="3"/>
  <c r="S994" i="3"/>
  <c r="Q163" i="2"/>
  <c r="P163" i="2"/>
  <c r="O163" i="2"/>
  <c r="U163" i="2"/>
  <c r="N163" i="2"/>
  <c r="T163" i="2"/>
  <c r="S163" i="2"/>
  <c r="R163" i="2"/>
  <c r="S1722" i="3"/>
  <c r="S1608" i="3"/>
  <c r="S1546" i="3"/>
  <c r="S1464" i="3"/>
  <c r="S1479" i="3"/>
  <c r="S1393" i="3"/>
  <c r="S832" i="3"/>
  <c r="R147" i="2"/>
  <c r="Q147" i="2"/>
  <c r="S147" i="2"/>
  <c r="P147" i="2"/>
  <c r="O147" i="2"/>
  <c r="U147" i="2"/>
  <c r="N147" i="2"/>
  <c r="T147" i="2"/>
  <c r="O238" i="2"/>
  <c r="U238" i="2"/>
  <c r="T238" i="2"/>
  <c r="R238" i="2"/>
  <c r="S238" i="2"/>
  <c r="N238" i="2"/>
  <c r="Q238" i="2"/>
  <c r="P238" i="2"/>
  <c r="S1330" i="3"/>
  <c r="S1188" i="3"/>
  <c r="S1132" i="3"/>
  <c r="S1133" i="3"/>
  <c r="S1134" i="3"/>
  <c r="S1102" i="3"/>
  <c r="S1092" i="3"/>
  <c r="S940" i="3"/>
  <c r="S482" i="3"/>
  <c r="S299" i="3"/>
  <c r="S233" i="3"/>
  <c r="S137" i="3"/>
  <c r="S270" i="3"/>
  <c r="S174" i="3"/>
  <c r="S1641" i="3"/>
  <c r="S947" i="3"/>
  <c r="S372" i="3"/>
  <c r="O201" i="2"/>
  <c r="N201" i="2"/>
  <c r="S201" i="2"/>
  <c r="U201" i="2"/>
  <c r="T201" i="2"/>
  <c r="R201" i="2"/>
  <c r="Q201" i="2"/>
  <c r="P201" i="2"/>
  <c r="S1664" i="3"/>
  <c r="S1486" i="3"/>
  <c r="S858" i="3"/>
  <c r="S991" i="3"/>
  <c r="S336" i="3"/>
  <c r="S435" i="3"/>
  <c r="S115" i="2"/>
  <c r="R115" i="2"/>
  <c r="Q115" i="2"/>
  <c r="P115" i="2"/>
  <c r="O115" i="2"/>
  <c r="T115" i="2"/>
  <c r="U115" i="2"/>
  <c r="N115" i="2"/>
  <c r="S1670" i="3"/>
  <c r="S598" i="3"/>
  <c r="S558" i="3"/>
  <c r="S1256" i="3"/>
  <c r="S1045" i="3"/>
  <c r="S1123" i="3"/>
  <c r="S407" i="3"/>
  <c r="S387" i="3"/>
  <c r="S304" i="3"/>
  <c r="S224" i="3"/>
  <c r="S257" i="3"/>
  <c r="S230" i="3"/>
  <c r="S140" i="3"/>
  <c r="S1460" i="3"/>
  <c r="S892" i="3"/>
  <c r="S138" i="3"/>
  <c r="P118" i="2"/>
  <c r="O118" i="2"/>
  <c r="S118" i="2"/>
  <c r="N118" i="2"/>
  <c r="R118" i="2"/>
  <c r="U118" i="2"/>
  <c r="T118" i="2"/>
  <c r="Q118" i="2"/>
  <c r="S1712" i="3"/>
  <c r="S1742" i="3"/>
  <c r="S1602" i="3"/>
  <c r="S1491" i="3"/>
  <c r="S1349" i="3"/>
  <c r="S1426" i="3"/>
  <c r="S587" i="3"/>
  <c r="S580" i="3"/>
  <c r="S531" i="3"/>
  <c r="S1297" i="3"/>
  <c r="S1305" i="3"/>
  <c r="S1018" i="3"/>
  <c r="S1083" i="3"/>
  <c r="S955" i="3"/>
  <c r="S1103" i="3"/>
  <c r="S941" i="3"/>
  <c r="S429" i="3"/>
  <c r="S383" i="3"/>
  <c r="S302" i="3"/>
  <c r="S215" i="3"/>
  <c r="S220" i="3"/>
  <c r="S226" i="3"/>
  <c r="Q132" i="2"/>
  <c r="U132" i="2"/>
  <c r="P132" i="2"/>
  <c r="T132" i="2"/>
  <c r="O132" i="2"/>
  <c r="S132" i="2"/>
  <c r="N132" i="2"/>
  <c r="R132" i="2"/>
  <c r="P208" i="2"/>
  <c r="T208" i="2"/>
  <c r="R208" i="2"/>
  <c r="O208" i="2"/>
  <c r="S208" i="2"/>
  <c r="N208" i="2"/>
  <c r="U208" i="2"/>
  <c r="Q208" i="2"/>
  <c r="S1668" i="3"/>
  <c r="S960" i="3"/>
  <c r="S1727" i="3"/>
  <c r="S1730" i="3"/>
  <c r="S1697" i="3"/>
  <c r="S1558" i="3"/>
  <c r="S1592" i="3"/>
  <c r="S1449" i="3"/>
  <c r="S1470" i="3"/>
  <c r="S1416" i="3"/>
  <c r="S882" i="3"/>
  <c r="S835" i="3"/>
  <c r="S791" i="3"/>
  <c r="S788" i="3"/>
  <c r="S640" i="3"/>
  <c r="S577" i="3"/>
  <c r="S654" i="3"/>
  <c r="Q236" i="2"/>
  <c r="N236" i="2"/>
  <c r="O236" i="2"/>
  <c r="R236" i="2"/>
  <c r="T236" i="2"/>
  <c r="U236" i="2"/>
  <c r="S236" i="2"/>
  <c r="P236" i="2"/>
  <c r="S1238" i="3"/>
  <c r="S1248" i="3"/>
  <c r="S1046" i="3"/>
  <c r="S1047" i="3"/>
  <c r="S951" i="3"/>
  <c r="S1076" i="3"/>
  <c r="S1044" i="3"/>
  <c r="S980" i="3"/>
  <c r="S1069" i="3"/>
  <c r="S973" i="3"/>
  <c r="S527" i="3"/>
  <c r="S521" i="3"/>
  <c r="S283" i="3"/>
  <c r="S362" i="3"/>
  <c r="S298" i="3"/>
  <c r="S248" i="3"/>
  <c r="S122" i="3"/>
  <c r="S169" i="2"/>
  <c r="O169" i="2"/>
  <c r="N169" i="2"/>
  <c r="P169" i="2"/>
  <c r="U169" i="2"/>
  <c r="T169" i="2"/>
  <c r="R169" i="2"/>
  <c r="Q169" i="2"/>
  <c r="Q192" i="2"/>
  <c r="U192" i="2"/>
  <c r="T192" i="2"/>
  <c r="P192" i="2"/>
  <c r="S192" i="2"/>
  <c r="O192" i="2"/>
  <c r="R192" i="2"/>
  <c r="N192" i="2"/>
  <c r="S926" i="3"/>
  <c r="S652" i="3"/>
  <c r="S693" i="3"/>
  <c r="S1291" i="3"/>
  <c r="S1175" i="3"/>
  <c r="S962" i="3"/>
  <c r="S359" i="3"/>
  <c r="S202" i="3"/>
  <c r="N172" i="2"/>
  <c r="O172" i="2"/>
  <c r="R172" i="2"/>
  <c r="T172" i="2"/>
  <c r="U172" i="2"/>
  <c r="S172" i="2"/>
  <c r="P172" i="2"/>
  <c r="Q172" i="2"/>
  <c r="S1639" i="3"/>
  <c r="S1569" i="3"/>
  <c r="S1613" i="3"/>
  <c r="S1459" i="3"/>
  <c r="S895" i="3"/>
  <c r="S723" i="3"/>
  <c r="S690" i="3"/>
  <c r="S604" i="3"/>
  <c r="S618" i="3"/>
  <c r="S717" i="3"/>
  <c r="S1342" i="3"/>
  <c r="S1255" i="3"/>
  <c r="S1312" i="3"/>
  <c r="S1276" i="3"/>
  <c r="S1163" i="3"/>
  <c r="S1043" i="3"/>
  <c r="S1072" i="3"/>
  <c r="S523" i="3"/>
  <c r="S279" i="3"/>
  <c r="S356" i="3"/>
  <c r="S390" i="3"/>
  <c r="S358" i="3"/>
  <c r="R110" i="2"/>
  <c r="S110" i="2"/>
  <c r="N110" i="2"/>
  <c r="Q110" i="2"/>
  <c r="P110" i="2"/>
  <c r="O110" i="2"/>
  <c r="U110" i="2"/>
  <c r="T110" i="2"/>
  <c r="S1680" i="3"/>
  <c r="S1350" i="3"/>
  <c r="S1341" i="3"/>
  <c r="S1201" i="3"/>
  <c r="S1026" i="3"/>
  <c r="S1027" i="3"/>
  <c r="S412" i="3"/>
  <c r="R123" i="2"/>
  <c r="O123" i="2"/>
  <c r="N123" i="2"/>
  <c r="U123" i="2"/>
  <c r="Q123" i="2"/>
  <c r="S123" i="2"/>
  <c r="T123" i="2"/>
  <c r="P123" i="2"/>
  <c r="N176" i="2"/>
  <c r="O176" i="2"/>
  <c r="U176" i="2"/>
  <c r="Q176" i="2"/>
  <c r="T176" i="2"/>
  <c r="P176" i="2"/>
  <c r="R176" i="2"/>
  <c r="S176" i="2"/>
  <c r="S1739" i="3"/>
  <c r="S1663" i="3"/>
  <c r="S1706" i="3"/>
  <c r="S1650" i="3"/>
  <c r="S1565" i="3"/>
  <c r="S1501" i="3"/>
  <c r="S1502" i="3"/>
  <c r="S1524" i="3"/>
  <c r="S1472" i="3"/>
  <c r="S1369" i="3"/>
  <c r="S842" i="3"/>
  <c r="S751" i="3"/>
  <c r="S750" i="3"/>
  <c r="S686" i="3"/>
  <c r="S614" i="3"/>
  <c r="U128" i="2"/>
  <c r="R128" i="2"/>
  <c r="Q128" i="2"/>
  <c r="N128" i="2"/>
  <c r="P128" i="2"/>
  <c r="T128" i="2"/>
  <c r="O128" i="2"/>
  <c r="S128" i="2"/>
  <c r="S1335" i="3"/>
  <c r="S1283" i="3"/>
  <c r="S1213" i="3"/>
  <c r="S423" i="3"/>
  <c r="S371" i="3"/>
  <c r="S322" i="3"/>
  <c r="S290" i="3"/>
  <c r="S357" i="3"/>
  <c r="S214" i="3"/>
  <c r="S469" i="3"/>
  <c r="S136" i="3"/>
  <c r="S1404" i="3"/>
  <c r="S1397" i="3"/>
  <c r="S1400" i="3"/>
  <c r="S804" i="3"/>
  <c r="S779" i="3"/>
  <c r="S778" i="3"/>
  <c r="S628" i="3"/>
  <c r="S661" i="3"/>
  <c r="S642" i="3"/>
  <c r="S1288" i="3"/>
  <c r="S1268" i="3"/>
  <c r="S1136" i="3"/>
  <c r="S1138" i="3"/>
  <c r="S1000" i="3"/>
  <c r="S1089" i="3"/>
  <c r="S938" i="3"/>
  <c r="S451" i="3"/>
  <c r="S509" i="3"/>
  <c r="S477" i="3"/>
  <c r="S348" i="3"/>
  <c r="S274" i="3"/>
  <c r="S146" i="3"/>
  <c r="S373" i="3"/>
  <c r="S381" i="3"/>
  <c r="S1430" i="3"/>
  <c r="S985" i="3"/>
  <c r="S223" i="3"/>
  <c r="S277" i="3"/>
  <c r="N122" i="2"/>
  <c r="R122" i="2"/>
  <c r="U122" i="2"/>
  <c r="Q122" i="2"/>
  <c r="T122" i="2"/>
  <c r="S122" i="2"/>
  <c r="P122" i="2"/>
  <c r="O122" i="2"/>
  <c r="R149" i="2"/>
  <c r="N149" i="2"/>
  <c r="Q149" i="2"/>
  <c r="S149" i="2"/>
  <c r="P149" i="2"/>
  <c r="U149" i="2"/>
  <c r="O149" i="2"/>
  <c r="T149" i="2"/>
  <c r="S1731" i="3"/>
  <c r="S1705" i="3"/>
  <c r="S1678" i="3"/>
  <c r="S1589" i="3"/>
  <c r="S1525" i="3"/>
  <c r="S1540" i="3"/>
  <c r="S1432" i="3"/>
  <c r="S1361" i="3"/>
  <c r="S851" i="3"/>
  <c r="S928" i="3"/>
  <c r="S775" i="3"/>
  <c r="S560" i="3"/>
  <c r="S574" i="3"/>
  <c r="S538" i="3"/>
  <c r="O239" i="2"/>
  <c r="N239" i="2"/>
  <c r="T239" i="2"/>
  <c r="S239" i="2"/>
  <c r="P239" i="2"/>
  <c r="R239" i="2"/>
  <c r="Q239" i="2"/>
  <c r="U239" i="2"/>
  <c r="S1211" i="3"/>
  <c r="S957" i="3"/>
  <c r="S1184" i="3"/>
  <c r="S447" i="3"/>
  <c r="S473" i="3"/>
  <c r="S312" i="3"/>
  <c r="S346" i="3"/>
  <c r="S195" i="3"/>
  <c r="S200" i="3"/>
  <c r="O144" i="2"/>
  <c r="S144" i="2"/>
  <c r="N144" i="2"/>
  <c r="P144" i="2"/>
  <c r="U144" i="2"/>
  <c r="T144" i="2"/>
  <c r="Q144" i="2"/>
  <c r="R144" i="2"/>
  <c r="R224" i="2"/>
  <c r="P224" i="2"/>
  <c r="T224" i="2"/>
  <c r="O224" i="2"/>
  <c r="S224" i="2"/>
  <c r="N224" i="2"/>
  <c r="U224" i="2"/>
  <c r="Q224" i="2"/>
  <c r="S1313" i="3"/>
  <c r="S1260" i="3"/>
  <c r="S1091" i="3"/>
  <c r="S1714" i="3"/>
  <c r="S1638" i="3"/>
  <c r="S1600" i="3"/>
  <c r="S1385" i="3"/>
  <c r="S856" i="3"/>
  <c r="S623" i="3"/>
  <c r="S1716" i="3"/>
  <c r="S1733" i="3"/>
  <c r="S1676" i="3"/>
  <c r="S1562" i="3"/>
  <c r="S1539" i="3"/>
  <c r="S1504" i="3"/>
  <c r="S1503" i="3"/>
  <c r="S1407" i="3"/>
  <c r="S1363" i="3"/>
  <c r="S1354" i="3"/>
  <c r="S1346" i="3"/>
  <c r="S890" i="3"/>
  <c r="S648" i="3"/>
  <c r="R231" i="2"/>
  <c r="P231" i="2"/>
  <c r="O231" i="2"/>
  <c r="N231" i="2"/>
  <c r="S231" i="2"/>
  <c r="U231" i="2"/>
  <c r="Q231" i="2"/>
  <c r="T231" i="2"/>
  <c r="P190" i="2"/>
  <c r="O190" i="2"/>
  <c r="Q190" i="2"/>
  <c r="U190" i="2"/>
  <c r="T190" i="2"/>
  <c r="R190" i="2"/>
  <c r="S190" i="2"/>
  <c r="N190" i="2"/>
  <c r="S1333" i="3"/>
  <c r="S1246" i="3"/>
  <c r="S1267" i="3"/>
  <c r="S1203" i="3"/>
  <c r="S1087" i="3"/>
  <c r="S959" i="3"/>
  <c r="S442" i="3"/>
  <c r="S355" i="3"/>
  <c r="S161" i="3"/>
  <c r="S129" i="3"/>
  <c r="S135" i="3"/>
  <c r="P240" i="2"/>
  <c r="T240" i="2"/>
  <c r="O240" i="2"/>
  <c r="S240" i="2"/>
  <c r="N240" i="2"/>
  <c r="U240" i="2"/>
  <c r="Q240" i="2"/>
  <c r="R240" i="2"/>
  <c r="S1578" i="3"/>
  <c r="S769" i="3"/>
  <c r="S540" i="3"/>
  <c r="S995" i="3"/>
  <c r="P166" i="2"/>
  <c r="O166" i="2"/>
  <c r="S166" i="2"/>
  <c r="N166" i="2"/>
  <c r="R166" i="2"/>
  <c r="T166" i="2"/>
  <c r="U166" i="2"/>
  <c r="Q166" i="2"/>
  <c r="S1718" i="3"/>
  <c r="S1745" i="3"/>
  <c r="S1675" i="3"/>
  <c r="S1619" i="3"/>
  <c r="S1658" i="3"/>
  <c r="S1545" i="3"/>
  <c r="S1566" i="3"/>
  <c r="S1513" i="3"/>
  <c r="S918" i="3"/>
  <c r="S884" i="3"/>
  <c r="S852" i="3"/>
  <c r="S731" i="3"/>
  <c r="S728" i="3"/>
  <c r="S730" i="3"/>
  <c r="S698" i="3"/>
  <c r="S651" i="3"/>
  <c r="S745" i="3"/>
  <c r="S549" i="3"/>
  <c r="S1340" i="3"/>
  <c r="S1121" i="3"/>
  <c r="S1048" i="3"/>
  <c r="S952" i="3"/>
  <c r="S1041" i="3"/>
  <c r="S939" i="3"/>
  <c r="S492" i="3"/>
  <c r="S1576" i="3"/>
  <c r="S911" i="3"/>
  <c r="S925" i="3"/>
  <c r="S411" i="3"/>
  <c r="S295" i="3"/>
  <c r="N120" i="2"/>
  <c r="U120" i="2"/>
  <c r="T120" i="2"/>
  <c r="O120" i="2"/>
  <c r="S120" i="2"/>
  <c r="R120" i="2"/>
  <c r="P120" i="2"/>
  <c r="Q120" i="2"/>
  <c r="S1703" i="3"/>
  <c r="S1661" i="3"/>
  <c r="S1615" i="3"/>
  <c r="S1509" i="3"/>
  <c r="S1488" i="3"/>
  <c r="S1431" i="3"/>
  <c r="S705" i="3"/>
  <c r="S737" i="3"/>
  <c r="S545" i="3"/>
  <c r="O179" i="2"/>
  <c r="U179" i="2"/>
  <c r="N179" i="2"/>
  <c r="T179" i="2"/>
  <c r="S179" i="2"/>
  <c r="R179" i="2"/>
  <c r="Q179" i="2"/>
  <c r="P179" i="2"/>
  <c r="S1225" i="3"/>
  <c r="S1214" i="3"/>
  <c r="S1116" i="3"/>
  <c r="S1182" i="3"/>
  <c r="S1117" i="3"/>
  <c r="S1118" i="3"/>
  <c r="S1037" i="3"/>
  <c r="S466" i="3"/>
  <c r="S328" i="3"/>
  <c r="S456" i="3"/>
  <c r="S211" i="3"/>
  <c r="S341" i="3"/>
  <c r="S185" i="3"/>
  <c r="S377" i="3"/>
  <c r="S254" i="3"/>
  <c r="S158" i="3"/>
  <c r="S128" i="3"/>
  <c r="S1699" i="3"/>
  <c r="S1427" i="3"/>
  <c r="S1444" i="3"/>
  <c r="S1373" i="3"/>
  <c r="S1383" i="3"/>
  <c r="S910" i="3"/>
  <c r="S876" i="3"/>
  <c r="S643" i="3"/>
  <c r="S605" i="3"/>
  <c r="S793" i="3"/>
  <c r="S550" i="3"/>
  <c r="S1281" i="3"/>
  <c r="S1234" i="3"/>
  <c r="S1144" i="3"/>
  <c r="S1145" i="3"/>
  <c r="S1131" i="3"/>
  <c r="S1042" i="3"/>
  <c r="S1097" i="3"/>
  <c r="S969" i="3"/>
  <c r="S1107" i="3"/>
  <c r="S494" i="3"/>
  <c r="S517" i="3"/>
  <c r="S239" i="3"/>
  <c r="S313" i="3"/>
  <c r="S244" i="3"/>
  <c r="S309" i="3"/>
  <c r="S213" i="3"/>
  <c r="S124" i="3"/>
  <c r="P218" i="2"/>
  <c r="S218" i="2"/>
  <c r="O218" i="2"/>
  <c r="N218" i="2"/>
  <c r="Q218" i="2"/>
  <c r="U218" i="2"/>
  <c r="R218" i="2"/>
  <c r="T218" i="2"/>
  <c r="R228" i="2"/>
  <c r="N228" i="2"/>
  <c r="Q228" i="2"/>
  <c r="U228" i="2"/>
  <c r="P228" i="2"/>
  <c r="T228" i="2"/>
  <c r="O228" i="2"/>
  <c r="S228" i="2"/>
  <c r="S1389" i="3"/>
  <c r="S739" i="3"/>
  <c r="S992" i="3"/>
  <c r="S255" i="3"/>
  <c r="S197" i="3"/>
  <c r="U171" i="2"/>
  <c r="P171" i="2"/>
  <c r="N171" i="2"/>
  <c r="T171" i="2"/>
  <c r="Q171" i="2"/>
  <c r="S171" i="2"/>
  <c r="R171" i="2"/>
  <c r="O171" i="2"/>
  <c r="S1604" i="3"/>
  <c r="S874" i="3"/>
  <c r="S810" i="3"/>
  <c r="S859" i="3"/>
  <c r="S904" i="3"/>
  <c r="S639" i="3"/>
  <c r="S568" i="3"/>
  <c r="T222" i="2"/>
  <c r="R222" i="2"/>
  <c r="S222" i="2"/>
  <c r="N222" i="2"/>
  <c r="U222" i="2"/>
  <c r="Q222" i="2"/>
  <c r="P222" i="2"/>
  <c r="O222" i="2"/>
  <c r="S140" i="2"/>
  <c r="P140" i="2"/>
  <c r="R140" i="2"/>
  <c r="U140" i="2"/>
  <c r="Q140" i="2"/>
  <c r="N140" i="2"/>
  <c r="T140" i="2"/>
  <c r="O140" i="2"/>
  <c r="S1338" i="3"/>
  <c r="S1251" i="3"/>
  <c r="S1159" i="3"/>
  <c r="S1039" i="3"/>
  <c r="S972" i="3"/>
  <c r="S1029" i="3"/>
  <c r="S519" i="3"/>
  <c r="S513" i="3"/>
  <c r="S275" i="3"/>
  <c r="S288" i="3"/>
  <c r="S504" i="3"/>
  <c r="S267" i="3"/>
  <c r="S176" i="3"/>
  <c r="S273" i="3"/>
  <c r="N156" i="2"/>
  <c r="O156" i="2"/>
  <c r="T156" i="2"/>
  <c r="U156" i="2"/>
  <c r="S156" i="2"/>
  <c r="P156" i="2"/>
  <c r="R156" i="2"/>
  <c r="Q156" i="2"/>
  <c r="N127" i="2"/>
  <c r="T127" i="2"/>
  <c r="O127" i="2"/>
  <c r="S127" i="2"/>
  <c r="R127" i="2"/>
  <c r="Q127" i="2"/>
  <c r="U127" i="2"/>
  <c r="P127" i="2"/>
  <c r="S1749" i="3"/>
  <c r="S1746" i="3"/>
  <c r="S1682" i="3"/>
  <c r="S1631" i="3"/>
  <c r="S1669" i="3"/>
  <c r="S1649" i="3"/>
  <c r="S1561" i="3"/>
  <c r="S1519" i="3"/>
  <c r="S1458" i="3"/>
  <c r="S1365" i="3"/>
  <c r="S1433" i="3"/>
  <c r="S1396" i="3"/>
  <c r="S934" i="3"/>
  <c r="S902" i="3"/>
  <c r="S900" i="3"/>
  <c r="S744" i="3"/>
  <c r="S629" i="3"/>
  <c r="S610" i="3"/>
  <c r="S537" i="3"/>
  <c r="P136" i="2"/>
  <c r="R136" i="2"/>
  <c r="O136" i="2"/>
  <c r="Q136" i="2"/>
  <c r="N136" i="2"/>
  <c r="S136" i="2"/>
  <c r="U136" i="2"/>
  <c r="T136" i="2"/>
  <c r="S1302" i="3"/>
  <c r="S1273" i="3"/>
  <c r="S1258" i="3"/>
  <c r="S1215" i="3"/>
  <c r="S1104" i="3"/>
  <c r="S1034" i="3"/>
  <c r="S971" i="3"/>
  <c r="S1064" i="3"/>
  <c r="S993" i="3"/>
  <c r="S944" i="3"/>
  <c r="S486" i="3"/>
  <c r="S399" i="3"/>
  <c r="S350" i="3"/>
  <c r="S199" i="3"/>
  <c r="S236" i="3"/>
  <c r="S205" i="3"/>
  <c r="S141" i="3"/>
  <c r="S152" i="3"/>
  <c r="N241" i="2"/>
  <c r="P241" i="2"/>
  <c r="U241" i="2"/>
  <c r="T241" i="2"/>
  <c r="S241" i="2"/>
  <c r="O241" i="2"/>
  <c r="R241" i="2"/>
  <c r="Q241" i="2"/>
  <c r="T204" i="2"/>
  <c r="P204" i="2"/>
  <c r="S204" i="2"/>
  <c r="O204" i="2"/>
  <c r="U204" i="2"/>
  <c r="R204" i="2"/>
  <c r="Q204" i="2"/>
  <c r="N204" i="2"/>
  <c r="S1591" i="3"/>
  <c r="S1487" i="3"/>
  <c r="T114" i="2"/>
  <c r="O114" i="2"/>
  <c r="S114" i="2"/>
  <c r="R114" i="2"/>
  <c r="U114" i="2"/>
  <c r="Q114" i="2"/>
  <c r="P114" i="2"/>
  <c r="N114" i="2"/>
  <c r="S1734" i="3"/>
  <c r="S1640" i="3"/>
  <c r="S1646" i="3"/>
  <c r="S1494" i="3"/>
  <c r="S1465" i="3"/>
  <c r="S930" i="3"/>
  <c r="S896" i="3"/>
  <c r="S679" i="3"/>
  <c r="S710" i="3"/>
  <c r="S678" i="3"/>
  <c r="S670" i="3"/>
  <c r="S130" i="2"/>
  <c r="R130" i="2"/>
  <c r="Q130" i="2"/>
  <c r="P130" i="2"/>
  <c r="T130" i="2"/>
  <c r="N130" i="2"/>
  <c r="O130" i="2"/>
  <c r="U130" i="2"/>
  <c r="S1198" i="3"/>
  <c r="S1062" i="3"/>
  <c r="S1031" i="3"/>
  <c r="S996" i="3"/>
  <c r="S1053" i="3"/>
  <c r="S505" i="3"/>
  <c r="S496" i="3"/>
  <c r="S201" i="3"/>
  <c r="S169" i="3"/>
  <c r="S238" i="3"/>
  <c r="S1720" i="3"/>
  <c r="S1674" i="3"/>
  <c r="S1689" i="3"/>
  <c r="S1559" i="3"/>
  <c r="S1362" i="3"/>
  <c r="S924" i="3"/>
  <c r="S588" i="3"/>
  <c r="S414" i="3"/>
  <c r="S342" i="3"/>
  <c r="S133" i="3"/>
  <c r="S630" i="3"/>
  <c r="S1623" i="3"/>
  <c r="S1417" i="3"/>
  <c r="S889" i="3"/>
  <c r="S585" i="3"/>
  <c r="O124" i="2"/>
  <c r="N124" i="2"/>
  <c r="Q124" i="2"/>
  <c r="T124" i="2"/>
  <c r="P124" i="2"/>
  <c r="S124" i="2"/>
  <c r="U124" i="2"/>
  <c r="R124" i="2"/>
  <c r="S738" i="3"/>
  <c r="S1337" i="3"/>
  <c r="S1395" i="3"/>
  <c r="S794" i="3"/>
  <c r="S843" i="3"/>
  <c r="S735" i="3"/>
  <c r="S766" i="3"/>
  <c r="S559" i="3"/>
  <c r="T227" i="2"/>
  <c r="S227" i="2"/>
  <c r="R227" i="2"/>
  <c r="Q227" i="2"/>
  <c r="N227" i="2"/>
  <c r="P227" i="2"/>
  <c r="O227" i="2"/>
  <c r="U227" i="2"/>
  <c r="S1747" i="3"/>
  <c r="S1634" i="3"/>
  <c r="S1587" i="3"/>
  <c r="S1574" i="3"/>
  <c r="S1517" i="3"/>
  <c r="S1457" i="3"/>
  <c r="S1478" i="3"/>
  <c r="S1421" i="3"/>
  <c r="S811" i="3"/>
  <c r="S703" i="3"/>
  <c r="S913" i="3"/>
  <c r="S853" i="3"/>
  <c r="S591" i="3"/>
  <c r="S741" i="3"/>
  <c r="S789" i="3"/>
  <c r="S553" i="3"/>
  <c r="S566" i="3"/>
  <c r="S680" i="3"/>
  <c r="S672" i="3"/>
  <c r="S1319" i="3"/>
  <c r="S1224" i="3"/>
  <c r="S1212" i="3"/>
  <c r="S1222" i="3"/>
  <c r="S1156" i="3"/>
  <c r="S1086" i="3"/>
  <c r="S1084" i="3"/>
  <c r="S956" i="3"/>
  <c r="S943" i="3"/>
  <c r="S432" i="3"/>
  <c r="S400" i="3"/>
  <c r="S370" i="3"/>
  <c r="S397" i="3"/>
  <c r="S192" i="3"/>
  <c r="S225" i="3"/>
  <c r="S198" i="3"/>
  <c r="S130" i="3"/>
  <c r="S1178" i="3"/>
  <c r="S1090" i="3"/>
  <c r="S310" i="3"/>
  <c r="O150" i="2"/>
  <c r="S150" i="2"/>
  <c r="N150" i="2"/>
  <c r="R150" i="2"/>
  <c r="T150" i="2"/>
  <c r="U150" i="2"/>
  <c r="P150" i="2"/>
  <c r="Q150" i="2"/>
  <c r="S1617" i="3"/>
  <c r="S1452" i="3"/>
  <c r="S1414" i="3"/>
  <c r="S871" i="3"/>
  <c r="S849" i="3"/>
  <c r="S821" i="3"/>
  <c r="S781" i="3"/>
  <c r="S619" i="3"/>
  <c r="S757" i="3"/>
  <c r="S581" i="3"/>
  <c r="S594" i="3"/>
  <c r="S529" i="3"/>
  <c r="O194" i="2"/>
  <c r="N194" i="2"/>
  <c r="U194" i="2"/>
  <c r="T194" i="2"/>
  <c r="P194" i="2"/>
  <c r="S194" i="2"/>
  <c r="R194" i="2"/>
  <c r="Q194" i="2"/>
  <c r="S1274" i="3"/>
  <c r="S1242" i="3"/>
  <c r="S1231" i="3"/>
  <c r="S1284" i="3"/>
  <c r="S1051" i="3"/>
  <c r="S470" i="3"/>
  <c r="S300" i="3"/>
  <c r="S334" i="3"/>
  <c r="S183" i="3"/>
  <c r="S365" i="3"/>
  <c r="S188" i="3"/>
  <c r="S157" i="3"/>
  <c r="S194" i="3"/>
  <c r="R210" i="2"/>
  <c r="Q210" i="2"/>
  <c r="P210" i="2"/>
  <c r="N210" i="2"/>
  <c r="O210" i="2"/>
  <c r="U210" i="2"/>
  <c r="S210" i="2"/>
  <c r="T210" i="2"/>
  <c r="R146" i="2"/>
  <c r="S146" i="2"/>
  <c r="N146" i="2"/>
  <c r="P146" i="2"/>
  <c r="Q146" i="2"/>
  <c r="U146" i="2"/>
  <c r="O146" i="2"/>
  <c r="T146" i="2"/>
  <c r="S796" i="3"/>
  <c r="S602" i="3"/>
  <c r="S261" i="3"/>
  <c r="S1702" i="3"/>
  <c r="S1643" i="3"/>
  <c r="S1573" i="3"/>
  <c r="S1552" i="3"/>
  <c r="S1438" i="3"/>
  <c r="S1554" i="3"/>
  <c r="S1405" i="3"/>
  <c r="S818" i="3"/>
  <c r="S931" i="3"/>
  <c r="S803" i="3"/>
  <c r="S756" i="3"/>
  <c r="S825" i="3"/>
  <c r="S790" i="3"/>
  <c r="S647" i="3"/>
  <c r="S551" i="3"/>
  <c r="S608" i="3"/>
  <c r="S622" i="3"/>
  <c r="S725" i="3"/>
  <c r="S700" i="3"/>
  <c r="O211" i="2"/>
  <c r="U211" i="2"/>
  <c r="N211" i="2"/>
  <c r="T211" i="2"/>
  <c r="P211" i="2"/>
  <c r="S211" i="2"/>
  <c r="R211" i="2"/>
  <c r="Q211" i="2"/>
  <c r="S1241" i="3"/>
  <c r="S1135" i="3"/>
  <c r="S950" i="3"/>
  <c r="S434" i="3"/>
  <c r="S495" i="3"/>
  <c r="S463" i="3"/>
  <c r="S379" i="3"/>
  <c r="S216" i="3"/>
  <c r="S123" i="3"/>
  <c r="O154" i="2"/>
  <c r="P154" i="2"/>
  <c r="N154" i="2"/>
  <c r="Q154" i="2"/>
  <c r="U154" i="2"/>
  <c r="R154" i="2"/>
  <c r="T154" i="2"/>
  <c r="S154" i="2"/>
  <c r="Q243" i="2"/>
  <c r="R243" i="2"/>
  <c r="O243" i="2"/>
  <c r="U243" i="2"/>
  <c r="N243" i="2"/>
  <c r="T243" i="2"/>
  <c r="P243" i="2"/>
  <c r="S243" i="2"/>
  <c r="S1553" i="3"/>
  <c r="S589" i="3"/>
  <c r="S401" i="3"/>
  <c r="S436" i="3"/>
  <c r="U121" i="2"/>
  <c r="T121" i="2"/>
  <c r="S121" i="2"/>
  <c r="N121" i="2"/>
  <c r="R121" i="2"/>
  <c r="Q121" i="2"/>
  <c r="P121" i="2"/>
  <c r="O121" i="2"/>
  <c r="U187" i="2"/>
  <c r="P187" i="2"/>
  <c r="T187" i="2"/>
  <c r="Q187" i="2"/>
  <c r="S187" i="2"/>
  <c r="R187" i="2"/>
  <c r="O187" i="2"/>
  <c r="N187" i="2"/>
  <c r="S1611" i="3"/>
  <c r="S1620" i="3"/>
  <c r="S1505" i="3"/>
  <c r="S1506" i="3"/>
  <c r="S1588" i="3"/>
  <c r="S1480" i="3"/>
  <c r="S1378" i="3"/>
  <c r="S1366" i="3"/>
  <c r="S863" i="3"/>
  <c r="S841" i="3"/>
  <c r="S786" i="3"/>
  <c r="S722" i="3"/>
  <c r="R181" i="2"/>
  <c r="N181" i="2"/>
  <c r="O181" i="2"/>
  <c r="Q181" i="2"/>
  <c r="S181" i="2"/>
  <c r="P181" i="2"/>
  <c r="U181" i="2"/>
  <c r="T181" i="2"/>
  <c r="S1174" i="3"/>
  <c r="S1113" i="3"/>
  <c r="S1010" i="3"/>
  <c r="S1040" i="3"/>
  <c r="S946" i="3"/>
  <c r="S324" i="3"/>
  <c r="S301" i="3"/>
  <c r="S149" i="3"/>
  <c r="S250" i="3"/>
  <c r="R158" i="2"/>
  <c r="S158" i="2"/>
  <c r="T158" i="2"/>
  <c r="N158" i="2"/>
  <c r="Q158" i="2"/>
  <c r="P158" i="2"/>
  <c r="O158" i="2"/>
  <c r="U158" i="2"/>
  <c r="R126" i="2"/>
  <c r="S126" i="2"/>
  <c r="N126" i="2"/>
  <c r="Q126" i="2"/>
  <c r="P126" i="2"/>
  <c r="O126" i="2"/>
  <c r="U126" i="2"/>
  <c r="T126" i="2"/>
  <c r="S879" i="3"/>
  <c r="S921" i="3"/>
  <c r="S621" i="3"/>
  <c r="S1250" i="3"/>
  <c r="S228" i="3"/>
  <c r="R219" i="2"/>
  <c r="O219" i="2"/>
  <c r="N219" i="2"/>
  <c r="U219" i="2"/>
  <c r="P219" i="2"/>
  <c r="T219" i="2"/>
  <c r="Q219" i="2"/>
  <c r="S219" i="2"/>
  <c r="S141" i="2"/>
  <c r="T141" i="2"/>
  <c r="R141" i="2"/>
  <c r="N141" i="2"/>
  <c r="Q141" i="2"/>
  <c r="P141" i="2"/>
  <c r="U141" i="2"/>
  <c r="O141" i="2"/>
  <c r="S1710" i="3"/>
  <c r="S1693" i="3"/>
  <c r="S1607" i="3"/>
  <c r="S1616" i="3"/>
  <c r="S1633" i="3"/>
  <c r="S1590" i="3"/>
  <c r="S1532" i="3"/>
  <c r="S1440" i="3"/>
  <c r="S1379" i="3"/>
  <c r="S872" i="3"/>
  <c r="S718" i="3"/>
  <c r="S689" i="3"/>
  <c r="S569" i="3"/>
  <c r="S534" i="3"/>
  <c r="S785" i="3"/>
  <c r="T223" i="2"/>
  <c r="S223" i="2"/>
  <c r="N223" i="2"/>
  <c r="R223" i="2"/>
  <c r="Q223" i="2"/>
  <c r="U223" i="2"/>
  <c r="P223" i="2"/>
  <c r="O223" i="2"/>
  <c r="N225" i="2"/>
  <c r="P225" i="2"/>
  <c r="U225" i="2"/>
  <c r="T225" i="2"/>
  <c r="Q225" i="2"/>
  <c r="S225" i="2"/>
  <c r="O225" i="2"/>
  <c r="R225" i="2"/>
  <c r="S1303" i="3"/>
  <c r="S1262" i="3"/>
  <c r="S1196" i="3"/>
  <c r="S1006" i="3"/>
  <c r="S974" i="3"/>
  <c r="S997" i="3"/>
  <c r="S522" i="3"/>
  <c r="S426" i="3"/>
  <c r="S455" i="3"/>
  <c r="S449" i="3"/>
  <c r="S339" i="3"/>
  <c r="S307" i="3"/>
  <c r="S384" i="3"/>
  <c r="S386" i="3"/>
  <c r="S171" i="3"/>
  <c r="S182" i="3"/>
  <c r="S125" i="3"/>
  <c r="S1428" i="3"/>
  <c r="S1088" i="3"/>
  <c r="S936" i="3"/>
  <c r="S1728" i="3"/>
  <c r="S1621" i="3"/>
  <c r="S1498" i="3"/>
  <c r="S1451" i="3"/>
  <c r="S1468" i="3"/>
  <c r="S1344" i="3"/>
  <c r="S682" i="3"/>
  <c r="S571" i="3"/>
  <c r="S596" i="3"/>
  <c r="S733" i="3"/>
  <c r="S1279" i="3"/>
  <c r="S968" i="3"/>
  <c r="S961" i="3"/>
  <c r="S454" i="3"/>
  <c r="S419" i="3"/>
  <c r="S445" i="3"/>
  <c r="S382" i="3"/>
  <c r="S286" i="3"/>
  <c r="S278" i="3"/>
  <c r="S242" i="3"/>
  <c r="S620" i="3"/>
  <c r="P189" i="2"/>
  <c r="N189" i="2"/>
  <c r="U189" i="2"/>
  <c r="S189" i="2"/>
  <c r="T189" i="2"/>
  <c r="R189" i="2"/>
  <c r="O189" i="2"/>
  <c r="Q189" i="2"/>
  <c r="S1161" i="3"/>
  <c r="S308" i="3"/>
  <c r="P167" i="2"/>
  <c r="O167" i="2"/>
  <c r="S167" i="2"/>
  <c r="N167" i="2"/>
  <c r="U167" i="2"/>
  <c r="R167" i="2"/>
  <c r="Q167" i="2"/>
  <c r="T167" i="2"/>
  <c r="S1660" i="3"/>
  <c r="S1493" i="3"/>
  <c r="S1368" i="3"/>
  <c r="S898" i="3"/>
  <c r="S819" i="3"/>
  <c r="S743" i="3"/>
  <c r="S772" i="3"/>
  <c r="S774" i="3"/>
  <c r="S599" i="3"/>
  <c r="S673" i="3"/>
  <c r="S656" i="3"/>
  <c r="S657" i="3"/>
  <c r="S561" i="3"/>
  <c r="S532" i="3"/>
  <c r="S1316" i="3"/>
  <c r="S1030" i="3"/>
  <c r="S1021" i="3"/>
  <c r="S479" i="3"/>
  <c r="S395" i="3"/>
  <c r="S363" i="3"/>
  <c r="S289" i="3"/>
  <c r="S142" i="3"/>
  <c r="S337" i="3"/>
  <c r="N242" i="2"/>
  <c r="Q242" i="2"/>
  <c r="U242" i="2"/>
  <c r="P242" i="2"/>
  <c r="T242" i="2"/>
  <c r="S242" i="2"/>
  <c r="R242" i="2"/>
  <c r="O242" i="2"/>
  <c r="S1399" i="3"/>
  <c r="S837" i="3"/>
  <c r="S901" i="3"/>
  <c r="S1323" i="3"/>
  <c r="S1216" i="3"/>
  <c r="S1194" i="3"/>
  <c r="S963" i="3"/>
  <c r="N188" i="2"/>
  <c r="U188" i="2"/>
  <c r="T188" i="2"/>
  <c r="O188" i="2"/>
  <c r="S188" i="2"/>
  <c r="P188" i="2"/>
  <c r="R188" i="2"/>
  <c r="Q188" i="2"/>
  <c r="S1227" i="3"/>
  <c r="S1125" i="3"/>
  <c r="S1485" i="3"/>
  <c r="S1439" i="3"/>
  <c r="S1278" i="3"/>
  <c r="S1077" i="3"/>
  <c r="S508" i="3"/>
  <c r="S369" i="3"/>
  <c r="Q112" i="2"/>
  <c r="T112" i="2"/>
  <c r="P112" i="2"/>
  <c r="U112" i="2"/>
  <c r="R112" i="2"/>
  <c r="O112" i="2"/>
  <c r="S112" i="2"/>
  <c r="N112" i="2"/>
  <c r="S1367" i="3"/>
  <c r="S675" i="3"/>
  <c r="S113" i="2"/>
  <c r="R113" i="2"/>
  <c r="O113" i="2"/>
  <c r="Q113" i="2"/>
  <c r="N113" i="2"/>
  <c r="P113" i="2"/>
  <c r="T113" i="2"/>
  <c r="U113" i="2"/>
  <c r="S1651" i="3"/>
  <c r="S439" i="3"/>
  <c r="S497" i="3"/>
  <c r="S433" i="3"/>
  <c r="S338" i="3"/>
  <c r="S251" i="3"/>
  <c r="S256" i="3"/>
  <c r="S160" i="3"/>
  <c r="S385" i="3"/>
  <c r="S155" i="3"/>
  <c r="T152" i="2"/>
  <c r="S152" i="2"/>
  <c r="R152" i="2"/>
  <c r="P152" i="2"/>
  <c r="Q152" i="2"/>
  <c r="O152" i="2"/>
  <c r="N152" i="2"/>
  <c r="U152" i="2"/>
  <c r="S404" i="3"/>
  <c r="N170" i="2"/>
  <c r="Q170" i="2"/>
  <c r="U170" i="2"/>
  <c r="R170" i="2"/>
  <c r="T170" i="2"/>
  <c r="S170" i="2"/>
  <c r="P170" i="2"/>
  <c r="O170" i="2"/>
  <c r="O233" i="2"/>
  <c r="N233" i="2"/>
  <c r="S233" i="2"/>
  <c r="U233" i="2"/>
  <c r="T233" i="2"/>
  <c r="R233" i="2"/>
  <c r="Q233" i="2"/>
  <c r="P233" i="2"/>
  <c r="S1647" i="3"/>
  <c r="S1681" i="3"/>
  <c r="S1672" i="3"/>
  <c r="S1596" i="3"/>
  <c r="S1453" i="3"/>
  <c r="S1435" i="3"/>
  <c r="S1403" i="3"/>
  <c r="S886" i="3"/>
  <c r="S555" i="3"/>
  <c r="S709" i="3"/>
  <c r="S1263" i="3"/>
  <c r="S1199" i="3"/>
  <c r="S1208" i="3"/>
  <c r="S1249" i="3"/>
  <c r="S986" i="3"/>
  <c r="S1016" i="3"/>
  <c r="S499" i="3"/>
  <c r="S351" i="3"/>
  <c r="S253" i="3"/>
  <c r="S1475" i="3"/>
  <c r="S1357" i="3"/>
  <c r="S143" i="3"/>
  <c r="M53" i="3" s="1"/>
  <c r="N53" i="3" s="1"/>
  <c r="P53" i="3" s="1"/>
  <c r="T134" i="2"/>
  <c r="S134" i="2"/>
  <c r="R134" i="2"/>
  <c r="N134" i="2"/>
  <c r="U134" i="2"/>
  <c r="Q134" i="2"/>
  <c r="P134" i="2"/>
  <c r="O134" i="2"/>
  <c r="S1657" i="3"/>
  <c r="S1614" i="3"/>
  <c r="S1531" i="3"/>
  <c r="S1380" i="3"/>
  <c r="S850" i="3"/>
  <c r="S912" i="3"/>
  <c r="S759" i="3"/>
  <c r="S726" i="3"/>
  <c r="S615" i="3"/>
  <c r="S583" i="3"/>
  <c r="S729" i="3"/>
  <c r="S641" i="3"/>
  <c r="S893" i="3"/>
  <c r="S542" i="3"/>
  <c r="S1343" i="3"/>
  <c r="S1336" i="3"/>
  <c r="S1221" i="3"/>
  <c r="S1015" i="3"/>
  <c r="S296" i="3"/>
  <c r="S179" i="3"/>
  <c r="S345" i="3"/>
  <c r="S222" i="3"/>
  <c r="S1507" i="3"/>
  <c r="S953" i="3"/>
  <c r="S340" i="3"/>
  <c r="S229" i="3"/>
  <c r="O235" i="2"/>
  <c r="N235" i="2"/>
  <c r="U235" i="2"/>
  <c r="P235" i="2"/>
  <c r="T235" i="2"/>
  <c r="Q235" i="2"/>
  <c r="S235" i="2"/>
  <c r="R235" i="2"/>
  <c r="S1667" i="3"/>
  <c r="S1673" i="3"/>
  <c r="S1654" i="3"/>
  <c r="S1626" i="3"/>
  <c r="S1413" i="3"/>
  <c r="S1351" i="3"/>
  <c r="S1356" i="3"/>
  <c r="S844" i="3"/>
  <c r="S720" i="3"/>
  <c r="S611" i="3"/>
  <c r="S547" i="3"/>
  <c r="S572" i="3"/>
  <c r="S573" i="3"/>
  <c r="S586" i="3"/>
  <c r="S536" i="3"/>
  <c r="S1244" i="3"/>
  <c r="S1223" i="3"/>
  <c r="S1114" i="3"/>
  <c r="S1119" i="3"/>
  <c r="S1011" i="3"/>
  <c r="S1065" i="3"/>
  <c r="S427" i="3"/>
  <c r="S453" i="3"/>
  <c r="S207" i="3"/>
  <c r="S175" i="3"/>
  <c r="S212" i="3"/>
  <c r="S181" i="3"/>
  <c r="S154" i="3"/>
  <c r="S131" i="3"/>
  <c r="S159" i="2"/>
  <c r="R159" i="2"/>
  <c r="Q159" i="2"/>
  <c r="U159" i="2"/>
  <c r="P159" i="2"/>
  <c r="O159" i="2"/>
  <c r="T159" i="2"/>
  <c r="N159" i="2"/>
  <c r="U161" i="2"/>
  <c r="T161" i="2"/>
  <c r="P161" i="2"/>
  <c r="S161" i="2"/>
  <c r="R161" i="2"/>
  <c r="N161" i="2"/>
  <c r="O161" i="2"/>
  <c r="Q161" i="2"/>
  <c r="S1653" i="3"/>
  <c r="S1450" i="3"/>
  <c r="S828" i="3"/>
  <c r="S877" i="3"/>
  <c r="N203" i="2"/>
  <c r="O203" i="2"/>
  <c r="U203" i="2"/>
  <c r="P203" i="2"/>
  <c r="T203" i="2"/>
  <c r="Q203" i="2"/>
  <c r="S203" i="2"/>
  <c r="R203" i="2"/>
  <c r="S1732" i="3"/>
  <c r="S1713" i="3"/>
  <c r="S1601" i="3"/>
  <c r="S1571" i="3"/>
  <c r="S1570" i="3"/>
  <c r="S1584" i="3"/>
  <c r="S1401" i="3"/>
  <c r="S1347" i="3"/>
  <c r="S827" i="3"/>
  <c r="S840" i="3"/>
  <c r="S719" i="3"/>
  <c r="S607" i="3"/>
  <c r="S664" i="3"/>
  <c r="S665" i="3"/>
  <c r="S582" i="3"/>
  <c r="S761" i="3"/>
  <c r="S544" i="3"/>
  <c r="S1306" i="3"/>
  <c r="S1181" i="3"/>
  <c r="S1206" i="3"/>
  <c r="S1180" i="3"/>
  <c r="S1140" i="3"/>
  <c r="S1004" i="3"/>
  <c r="S490" i="3"/>
  <c r="S487" i="3"/>
  <c r="S417" i="3"/>
  <c r="S352" i="3"/>
  <c r="S235" i="3"/>
  <c r="S281" i="3"/>
  <c r="S241" i="3"/>
  <c r="S145" i="3"/>
  <c r="P237" i="2"/>
  <c r="N237" i="2"/>
  <c r="U237" i="2"/>
  <c r="S237" i="2"/>
  <c r="T237" i="2"/>
  <c r="R237" i="2"/>
  <c r="O237" i="2"/>
  <c r="Q237" i="2"/>
  <c r="U245" i="2"/>
  <c r="S245" i="2"/>
  <c r="T245" i="2"/>
  <c r="R245" i="2"/>
  <c r="N245" i="2"/>
  <c r="O245" i="2"/>
  <c r="Q245" i="2"/>
  <c r="P245" i="2"/>
  <c r="S1743" i="3"/>
  <c r="S1691" i="3"/>
  <c r="S1665" i="3"/>
  <c r="S1642" i="3"/>
  <c r="S1603" i="3"/>
  <c r="S1707" i="3"/>
  <c r="S1497" i="3"/>
  <c r="S1564" i="3"/>
  <c r="S1536" i="3"/>
  <c r="S838" i="3"/>
  <c r="S806" i="3"/>
  <c r="S919" i="3"/>
  <c r="S929" i="3"/>
  <c r="S746" i="3"/>
  <c r="S635" i="3"/>
  <c r="S530" i="3"/>
  <c r="S552" i="3"/>
  <c r="R184" i="2"/>
  <c r="P184" i="2"/>
  <c r="Q184" i="2"/>
  <c r="O184" i="2"/>
  <c r="N184" i="2"/>
  <c r="S184" i="2"/>
  <c r="U184" i="2"/>
  <c r="T184" i="2"/>
  <c r="S1334" i="3"/>
  <c r="S1236" i="3"/>
  <c r="S1183" i="3"/>
  <c r="S1202" i="3"/>
  <c r="S1106" i="3"/>
  <c r="S1067" i="3"/>
  <c r="S1057" i="3"/>
  <c r="S413" i="3"/>
  <c r="S367" i="3"/>
  <c r="S316" i="3"/>
  <c r="S204" i="3"/>
  <c r="S172" i="3"/>
  <c r="S321" i="3"/>
  <c r="S173" i="3"/>
  <c r="U157" i="2"/>
  <c r="S157" i="2"/>
  <c r="T157" i="2"/>
  <c r="R157" i="2"/>
  <c r="O157" i="2"/>
  <c r="N157" i="2"/>
  <c r="Q157" i="2"/>
  <c r="P157" i="2"/>
  <c r="S1542" i="3"/>
  <c r="S674" i="3"/>
  <c r="S1294" i="3"/>
  <c r="S1271" i="3"/>
  <c r="S1056" i="3"/>
  <c r="S507" i="3"/>
  <c r="S1687" i="3"/>
  <c r="S1550" i="3"/>
  <c r="S1548" i="3"/>
  <c r="S1496" i="3"/>
  <c r="S1454" i="3"/>
  <c r="S1481" i="3"/>
  <c r="S1418" i="3"/>
  <c r="S802" i="3"/>
  <c r="S800" i="3"/>
  <c r="S663" i="3"/>
  <c r="S845" i="3"/>
  <c r="S638" i="3"/>
  <c r="S704" i="3"/>
  <c r="P148" i="2"/>
  <c r="T148" i="2"/>
  <c r="O148" i="2"/>
  <c r="S148" i="2"/>
  <c r="N148" i="2"/>
  <c r="U148" i="2"/>
  <c r="R148" i="2"/>
  <c r="Q148" i="2"/>
  <c r="S1298" i="3"/>
  <c r="S1275" i="3"/>
  <c r="S1220" i="3"/>
  <c r="S1205" i="3"/>
  <c r="S1164" i="3"/>
  <c r="S1165" i="3"/>
  <c r="S450" i="3"/>
  <c r="S511" i="3"/>
  <c r="S280" i="3"/>
  <c r="S314" i="3"/>
  <c r="S168" i="3"/>
  <c r="S265" i="3"/>
  <c r="S206" i="3"/>
  <c r="S1461" i="3"/>
  <c r="S861" i="3"/>
  <c r="S666" i="3"/>
  <c r="S688" i="3"/>
  <c r="S1147" i="3"/>
  <c r="S191" i="3"/>
  <c r="M29" i="3" l="1"/>
  <c r="N29" i="3" s="1"/>
  <c r="P29" i="3" s="1"/>
  <c r="M34" i="3"/>
  <c r="N34" i="3" s="1"/>
  <c r="P34" i="3" s="1"/>
  <c r="M31" i="3"/>
  <c r="N31" i="3" s="1"/>
  <c r="P31" i="3" s="1"/>
  <c r="S53" i="3"/>
  <c r="T53" i="3" s="1"/>
  <c r="V53" i="3" s="1"/>
  <c r="S46" i="3"/>
  <c r="T46" i="3" s="1"/>
  <c r="V46" i="3" s="1"/>
  <c r="S26" i="3"/>
  <c r="T26" i="3" s="1"/>
  <c r="V26" i="3" s="1"/>
  <c r="S31" i="3"/>
  <c r="T31" i="3" s="1"/>
  <c r="V31" i="3" s="1"/>
  <c r="S36" i="3"/>
  <c r="T36" i="3" s="1"/>
  <c r="V36" i="3" s="1"/>
  <c r="S33" i="3"/>
  <c r="T33" i="3" s="1"/>
  <c r="V33" i="3" s="1"/>
  <c r="S50" i="3"/>
  <c r="T50" i="3" s="1"/>
  <c r="V50" i="3" s="1"/>
  <c r="S27" i="3"/>
  <c r="T27" i="3" s="1"/>
  <c r="V27" i="3" s="1"/>
  <c r="M33" i="3"/>
  <c r="N33" i="3" s="1"/>
  <c r="P33" i="3" s="1"/>
  <c r="S29" i="3"/>
  <c r="T29" i="3" s="1"/>
  <c r="V29" i="3" s="1"/>
  <c r="S35" i="3"/>
  <c r="T35" i="3" s="1"/>
  <c r="V35" i="3" s="1"/>
  <c r="M41" i="3"/>
  <c r="N41" i="3" s="1"/>
  <c r="P41" i="3" s="1"/>
  <c r="M49" i="3"/>
  <c r="N49" i="3" s="1"/>
  <c r="P49" i="3" s="1"/>
  <c r="M35" i="3"/>
  <c r="N35" i="3" s="1"/>
  <c r="P35" i="3" s="1"/>
  <c r="M32" i="3"/>
  <c r="N32" i="3" s="1"/>
  <c r="P32" i="3" s="1"/>
  <c r="M37" i="3"/>
  <c r="N37" i="3" s="1"/>
  <c r="P37" i="3" s="1"/>
  <c r="M42" i="3"/>
  <c r="N42" i="3" s="1"/>
  <c r="P42" i="3" s="1"/>
  <c r="M39" i="3"/>
  <c r="N39" i="3" s="1"/>
  <c r="P39" i="3" s="1"/>
  <c r="S55" i="3"/>
  <c r="T55" i="3" s="1"/>
  <c r="V55" i="3" s="1"/>
  <c r="S34" i="3"/>
  <c r="T34" i="3" s="1"/>
  <c r="V34" i="3" s="1"/>
  <c r="S39" i="3"/>
  <c r="T39" i="3" s="1"/>
  <c r="V39" i="3" s="1"/>
  <c r="S44" i="3"/>
  <c r="T44" i="3" s="1"/>
  <c r="V44" i="3" s="1"/>
  <c r="S41" i="3"/>
  <c r="T41" i="3" s="1"/>
  <c r="V41" i="3" s="1"/>
  <c r="M55" i="3"/>
  <c r="N55" i="3" s="1"/>
  <c r="P55" i="3" s="1"/>
  <c r="M27" i="3"/>
  <c r="N27" i="3" s="1"/>
  <c r="P27" i="3" s="1"/>
  <c r="M22" i="3"/>
  <c r="N22" i="3" s="1"/>
  <c r="M51" i="3"/>
  <c r="N51" i="3" s="1"/>
  <c r="P51" i="3" s="1"/>
  <c r="M25" i="3"/>
  <c r="N25" i="3" s="1"/>
  <c r="P25" i="3" s="1"/>
  <c r="M28" i="3"/>
  <c r="N28" i="3" s="1"/>
  <c r="P28" i="3" s="1"/>
  <c r="S40" i="3"/>
  <c r="T40" i="3" s="1"/>
  <c r="V40" i="3" s="1"/>
  <c r="M43" i="3"/>
  <c r="N43" i="3" s="1"/>
  <c r="P43" i="3" s="1"/>
  <c r="M40" i="3"/>
  <c r="N40" i="3" s="1"/>
  <c r="P40" i="3" s="1"/>
  <c r="M45" i="3"/>
  <c r="N45" i="3" s="1"/>
  <c r="P45" i="3" s="1"/>
  <c r="M50" i="3"/>
  <c r="N50" i="3" s="1"/>
  <c r="P50" i="3" s="1"/>
  <c r="M47" i="3"/>
  <c r="N47" i="3" s="1"/>
  <c r="P47" i="3" s="1"/>
  <c r="M44" i="3"/>
  <c r="N44" i="3" s="1"/>
  <c r="P44" i="3" s="1"/>
  <c r="S22" i="3"/>
  <c r="T22" i="3" s="1"/>
  <c r="S37" i="3"/>
  <c r="T37" i="3" s="1"/>
  <c r="V37" i="3" s="1"/>
  <c r="S24" i="2"/>
  <c r="T24" i="2" s="1"/>
  <c r="V24" i="2" s="1"/>
  <c r="M45" i="2"/>
  <c r="N45" i="2" s="1"/>
  <c r="P45" i="2" s="1"/>
  <c r="M30" i="2"/>
  <c r="N30" i="2" s="1"/>
  <c r="P30" i="2" s="1"/>
  <c r="M22" i="2"/>
  <c r="N22" i="2" s="1"/>
  <c r="S52" i="2"/>
  <c r="T52" i="2" s="1"/>
  <c r="V52" i="2" s="1"/>
  <c r="S42" i="2"/>
  <c r="T42" i="2" s="1"/>
  <c r="V42" i="2" s="1"/>
  <c r="M39" i="2"/>
  <c r="N39" i="2" s="1"/>
  <c r="P39" i="2" s="1"/>
  <c r="M52" i="2"/>
  <c r="N52" i="2" s="1"/>
  <c r="P52" i="2" s="1"/>
  <c r="S26" i="2"/>
  <c r="T26" i="2" s="1"/>
  <c r="V26" i="2" s="1"/>
  <c r="M46" i="2"/>
  <c r="N46" i="2" s="1"/>
  <c r="P46" i="2" s="1"/>
  <c r="M33" i="2"/>
  <c r="N33" i="2" s="1"/>
  <c r="P33" i="2" s="1"/>
  <c r="S45" i="2"/>
  <c r="T45" i="2" s="1"/>
  <c r="V45" i="2" s="1"/>
  <c r="M51" i="2"/>
  <c r="N51" i="2" s="1"/>
  <c r="P51" i="2" s="1"/>
  <c r="M50" i="2"/>
  <c r="N50" i="2" s="1"/>
  <c r="P50" i="2" s="1"/>
  <c r="M40" i="2"/>
  <c r="N40" i="2" s="1"/>
  <c r="P40" i="2" s="1"/>
  <c r="S33" i="2"/>
  <c r="T33" i="2" s="1"/>
  <c r="V33" i="2" s="1"/>
  <c r="M54" i="2"/>
  <c r="N54" i="2" s="1"/>
  <c r="P54" i="2" s="1"/>
  <c r="S48" i="2"/>
  <c r="T48" i="2" s="1"/>
  <c r="V48" i="2" s="1"/>
  <c r="S28" i="2"/>
  <c r="T28" i="2" s="1"/>
  <c r="V28" i="2" s="1"/>
  <c r="S32" i="2"/>
  <c r="T32" i="2" s="1"/>
  <c r="V32" i="2" s="1"/>
  <c r="M26" i="2"/>
  <c r="N26" i="2" s="1"/>
  <c r="P26" i="2" s="1"/>
  <c r="M55" i="2"/>
  <c r="N55" i="2" s="1"/>
  <c r="P55" i="2" s="1"/>
  <c r="S44" i="2"/>
  <c r="T44" i="2" s="1"/>
  <c r="V44" i="2" s="1"/>
  <c r="S34" i="2"/>
  <c r="T34" i="2" s="1"/>
  <c r="V34" i="2" s="1"/>
  <c r="M31" i="2"/>
  <c r="N31" i="2" s="1"/>
  <c r="P31" i="2" s="1"/>
  <c r="S53" i="2"/>
  <c r="T53" i="2" s="1"/>
  <c r="V53" i="2" s="1"/>
  <c r="S43" i="2"/>
  <c r="T43" i="2" s="1"/>
  <c r="V43" i="2" s="1"/>
  <c r="S54" i="2"/>
  <c r="T54" i="2" s="1"/>
  <c r="V54" i="2" s="1"/>
  <c r="S29" i="2"/>
  <c r="T29" i="2" s="1"/>
  <c r="V29" i="2" s="1"/>
  <c r="M53" i="2"/>
  <c r="N53" i="2" s="1"/>
  <c r="P53" i="2" s="1"/>
  <c r="S37" i="2"/>
  <c r="T37" i="2" s="1"/>
  <c r="V37" i="2" s="1"/>
  <c r="M41" i="2"/>
  <c r="N41" i="2" s="1"/>
  <c r="P41" i="2" s="1"/>
  <c r="M42" i="2"/>
  <c r="N42" i="2" s="1"/>
  <c r="P42" i="2" s="1"/>
  <c r="M32" i="2"/>
  <c r="N32" i="2" s="1"/>
  <c r="P32" i="2" s="1"/>
  <c r="M36" i="2"/>
  <c r="N36" i="2" s="1"/>
  <c r="P36" i="2" s="1"/>
  <c r="S46" i="2"/>
  <c r="T46" i="2" s="1"/>
  <c r="V46" i="2" s="1"/>
  <c r="M35" i="2"/>
  <c r="N35" i="2" s="1"/>
  <c r="P35" i="2" s="1"/>
  <c r="M23" i="2"/>
  <c r="N23" i="2" s="1"/>
  <c r="P23" i="2" s="1"/>
  <c r="M27" i="2"/>
  <c r="N27" i="2" s="1"/>
  <c r="P27" i="2" s="1"/>
  <c r="M25" i="2"/>
  <c r="N25" i="2" s="1"/>
  <c r="P25" i="2" s="1"/>
  <c r="S39" i="2"/>
  <c r="T39" i="2" s="1"/>
  <c r="V39" i="2" s="1"/>
  <c r="S36" i="2"/>
  <c r="T36" i="2" s="1"/>
  <c r="V36" i="2" s="1"/>
  <c r="M34" i="2"/>
  <c r="N34" i="2" s="1"/>
  <c r="P34" i="2" s="1"/>
  <c r="S49" i="2"/>
  <c r="T49" i="2" s="1"/>
  <c r="V49" i="2" s="1"/>
  <c r="S51" i="2"/>
  <c r="T51" i="2" s="1"/>
  <c r="V51" i="2" s="1"/>
  <c r="M29" i="2"/>
  <c r="N29" i="2" s="1"/>
  <c r="P29" i="2" s="1"/>
  <c r="S30" i="2"/>
  <c r="T30" i="2" s="1"/>
  <c r="V30" i="2" s="1"/>
  <c r="M49" i="2"/>
  <c r="N49" i="2" s="1"/>
  <c r="P49" i="2" s="1"/>
  <c r="S38" i="2"/>
  <c r="T38" i="2" s="1"/>
  <c r="V38" i="2" s="1"/>
  <c r="S27" i="2"/>
  <c r="T27" i="2" s="1"/>
  <c r="V27" i="2" s="1"/>
  <c r="S50" i="2"/>
  <c r="T50" i="2" s="1"/>
  <c r="V50" i="2" s="1"/>
  <c r="M47" i="2"/>
  <c r="N47" i="2" s="1"/>
  <c r="P47" i="2" s="1"/>
  <c r="M43" i="2"/>
  <c r="N43" i="2" s="1"/>
  <c r="P43" i="2" s="1"/>
  <c r="S23" i="2"/>
  <c r="T23" i="2" s="1"/>
  <c r="V23" i="2" s="1"/>
  <c r="M28" i="2"/>
  <c r="N28" i="2" s="1"/>
  <c r="P28" i="2" s="1"/>
  <c r="M44" i="2"/>
  <c r="N44" i="2" s="1"/>
  <c r="P44" i="2" s="1"/>
  <c r="S40" i="2"/>
  <c r="T40" i="2" s="1"/>
  <c r="V40" i="2" s="1"/>
  <c r="S47" i="2"/>
  <c r="T47" i="2" s="1"/>
  <c r="V47" i="2" s="1"/>
  <c r="S55" i="2"/>
  <c r="T55" i="2" s="1"/>
  <c r="V55" i="2" s="1"/>
  <c r="M48" i="2"/>
  <c r="N48" i="2" s="1"/>
  <c r="P48" i="2" s="1"/>
  <c r="S41" i="2"/>
  <c r="T41" i="2" s="1"/>
  <c r="V41" i="2" s="1"/>
  <c r="M38" i="2"/>
  <c r="N38" i="2" s="1"/>
  <c r="P38" i="2" s="1"/>
  <c r="S35" i="2"/>
  <c r="T35" i="2" s="1"/>
  <c r="V35" i="2" s="1"/>
  <c r="S22" i="2"/>
  <c r="T22" i="2" s="1"/>
  <c r="M37" i="2"/>
  <c r="N37" i="2" s="1"/>
  <c r="P37" i="2" s="1"/>
  <c r="M24" i="2"/>
  <c r="N24" i="2" s="1"/>
  <c r="P24" i="2" s="1"/>
  <c r="S25" i="2"/>
  <c r="T25" i="2" s="1"/>
  <c r="V25" i="2" s="1"/>
  <c r="S31" i="2"/>
  <c r="T31" i="2" s="1"/>
  <c r="V31" i="2" s="1"/>
  <c r="S43" i="3"/>
  <c r="T43" i="3" s="1"/>
  <c r="V43" i="3" s="1"/>
  <c r="S30" i="3"/>
  <c r="T30" i="3" s="1"/>
  <c r="V30" i="3" s="1"/>
  <c r="M46" i="3"/>
  <c r="N46" i="3" s="1"/>
  <c r="P46" i="3" s="1"/>
  <c r="S45" i="3"/>
  <c r="T45" i="3" s="1"/>
  <c r="V45" i="3" s="1"/>
  <c r="S42" i="3"/>
  <c r="T42" i="3" s="1"/>
  <c r="V42" i="3" s="1"/>
  <c r="S47" i="3"/>
  <c r="T47" i="3" s="1"/>
  <c r="V47" i="3" s="1"/>
  <c r="S52" i="3"/>
  <c r="T52" i="3" s="1"/>
  <c r="V52" i="3" s="1"/>
  <c r="S49" i="3"/>
  <c r="T49" i="3" s="1"/>
  <c r="V49" i="3" s="1"/>
  <c r="M48" i="3"/>
  <c r="N48" i="3" s="1"/>
  <c r="P48" i="3" s="1"/>
  <c r="M26" i="3"/>
  <c r="N26" i="3" s="1"/>
  <c r="P26" i="3" s="1"/>
  <c r="M23" i="3"/>
  <c r="N23" i="3" s="1"/>
  <c r="P23" i="3" s="1"/>
  <c r="S54" i="3"/>
  <c r="T54" i="3" s="1"/>
  <c r="V54" i="3" s="1"/>
  <c r="M30" i="3"/>
  <c r="N30" i="3" s="1"/>
  <c r="P30" i="3" s="1"/>
  <c r="S38" i="3"/>
  <c r="T38" i="3" s="1"/>
  <c r="V38" i="3" s="1"/>
  <c r="M52" i="3"/>
  <c r="N52" i="3" s="1"/>
  <c r="P52" i="3" s="1"/>
  <c r="M54" i="3"/>
  <c r="N54" i="3" s="1"/>
  <c r="P54" i="3" s="1"/>
  <c r="S23" i="3"/>
  <c r="T23" i="3" s="1"/>
  <c r="V23" i="3" s="1"/>
  <c r="S28" i="3"/>
  <c r="T28" i="3" s="1"/>
  <c r="V28" i="3" s="1"/>
  <c r="S25" i="3"/>
  <c r="T25" i="3" s="1"/>
  <c r="V25" i="3" s="1"/>
  <c r="U55" i="3" l="1"/>
  <c r="U51" i="3"/>
  <c r="U47" i="3"/>
  <c r="U39" i="3"/>
  <c r="U31" i="3"/>
  <c r="U23" i="3"/>
  <c r="U54" i="3"/>
  <c r="U42" i="3"/>
  <c r="U34" i="3"/>
  <c r="U26" i="3"/>
  <c r="U50" i="3"/>
  <c r="U45" i="3"/>
  <c r="U37" i="3"/>
  <c r="U29" i="3"/>
  <c r="U48" i="3"/>
  <c r="U40" i="3"/>
  <c r="U32" i="3"/>
  <c r="U24" i="3"/>
  <c r="U43" i="3"/>
  <c r="U35" i="3"/>
  <c r="U27" i="3"/>
  <c r="V22" i="3"/>
  <c r="U46" i="3"/>
  <c r="U49" i="3"/>
  <c r="U53" i="3"/>
  <c r="U52" i="3"/>
  <c r="U44" i="3"/>
  <c r="U36" i="3"/>
  <c r="U28" i="3"/>
  <c r="U22" i="3"/>
  <c r="U38" i="3"/>
  <c r="U25" i="3"/>
  <c r="U33" i="3"/>
  <c r="U41" i="3"/>
  <c r="U30" i="3"/>
  <c r="O48" i="2"/>
  <c r="O40" i="2"/>
  <c r="O54" i="2"/>
  <c r="O46" i="2"/>
  <c r="O38" i="2"/>
  <c r="O53" i="2"/>
  <c r="O45" i="2"/>
  <c r="O37" i="2"/>
  <c r="O52" i="2"/>
  <c r="O22" i="2"/>
  <c r="O50" i="2"/>
  <c r="O47" i="2"/>
  <c r="O44" i="2"/>
  <c r="O33" i="2"/>
  <c r="O27" i="2"/>
  <c r="O55" i="2"/>
  <c r="O32" i="2"/>
  <c r="O51" i="2"/>
  <c r="O49" i="2"/>
  <c r="O42" i="2"/>
  <c r="O26" i="2"/>
  <c r="O25" i="2"/>
  <c r="O39" i="2"/>
  <c r="O34" i="2"/>
  <c r="O23" i="2"/>
  <c r="P22" i="2"/>
  <c r="O29" i="2"/>
  <c r="O24" i="2"/>
  <c r="O41" i="2"/>
  <c r="O31" i="2"/>
  <c r="O30" i="2"/>
  <c r="O36" i="2"/>
  <c r="O35" i="2"/>
  <c r="O43" i="2"/>
  <c r="O28" i="2"/>
  <c r="O54" i="3"/>
  <c r="O55" i="3"/>
  <c r="O45" i="3"/>
  <c r="O37" i="3"/>
  <c r="O29" i="3"/>
  <c r="O48" i="3"/>
  <c r="O40" i="3"/>
  <c r="O32" i="3"/>
  <c r="O24" i="3"/>
  <c r="O53" i="3"/>
  <c r="O43" i="3"/>
  <c r="O35" i="3"/>
  <c r="O27" i="3"/>
  <c r="P22" i="3"/>
  <c r="O46" i="3"/>
  <c r="O38" i="3"/>
  <c r="O30" i="3"/>
  <c r="O22" i="3"/>
  <c r="O52" i="3"/>
  <c r="O49" i="3"/>
  <c r="O41" i="3"/>
  <c r="O33" i="3"/>
  <c r="O25" i="3"/>
  <c r="O51" i="3"/>
  <c r="O44" i="3"/>
  <c r="O50" i="3"/>
  <c r="O42" i="3"/>
  <c r="O34" i="3"/>
  <c r="O26" i="3"/>
  <c r="O28" i="3"/>
  <c r="O31" i="3"/>
  <c r="O47" i="3"/>
  <c r="O23" i="3"/>
  <c r="O36" i="3"/>
  <c r="O39" i="3"/>
  <c r="U50" i="2"/>
  <c r="U42" i="2"/>
  <c r="U34" i="2"/>
  <c r="U48" i="2"/>
  <c r="U40" i="2"/>
  <c r="U32" i="2"/>
  <c r="U55" i="2"/>
  <c r="U47" i="2"/>
  <c r="U39" i="2"/>
  <c r="U31" i="2"/>
  <c r="U30" i="2"/>
  <c r="U53" i="2"/>
  <c r="U46" i="2"/>
  <c r="U43" i="2"/>
  <c r="U41" i="2"/>
  <c r="U36" i="2"/>
  <c r="U29" i="2"/>
  <c r="U44" i="2"/>
  <c r="U45" i="2"/>
  <c r="U38" i="2"/>
  <c r="U28" i="2"/>
  <c r="U54" i="2"/>
  <c r="U52" i="2"/>
  <c r="U27" i="2"/>
  <c r="U23" i="2"/>
  <c r="V22" i="2"/>
  <c r="U22" i="2"/>
  <c r="U35" i="2"/>
  <c r="U26" i="2"/>
  <c r="U25" i="2"/>
  <c r="U51" i="2"/>
  <c r="U49" i="2"/>
  <c r="U37" i="2"/>
  <c r="U33" i="2"/>
  <c r="U24" i="2"/>
  <c r="W54" i="3" l="1"/>
  <c r="W55" i="3"/>
  <c r="AE8" i="3" s="1"/>
  <c r="AE14" i="3" s="1"/>
  <c r="W50" i="3"/>
  <c r="W45" i="3"/>
  <c r="W37" i="3"/>
  <c r="W29" i="3"/>
  <c r="W48" i="3"/>
  <c r="W40" i="3"/>
  <c r="W32" i="3"/>
  <c r="W24" i="3"/>
  <c r="W43" i="3"/>
  <c r="W35" i="3"/>
  <c r="W27" i="3"/>
  <c r="W46" i="3"/>
  <c r="W38" i="3"/>
  <c r="W30" i="3"/>
  <c r="W22" i="3"/>
  <c r="W49" i="3"/>
  <c r="W41" i="3"/>
  <c r="W33" i="3"/>
  <c r="W25" i="3"/>
  <c r="AD8" i="3" s="1"/>
  <c r="AD14" i="3" s="1"/>
  <c r="AD15" i="3" s="1"/>
  <c r="W53" i="3"/>
  <c r="W44" i="3"/>
  <c r="W52" i="3"/>
  <c r="W51" i="3"/>
  <c r="W42" i="3"/>
  <c r="W34" i="3"/>
  <c r="W26" i="3"/>
  <c r="W23" i="3"/>
  <c r="W47" i="3"/>
  <c r="W36" i="3"/>
  <c r="W39" i="3"/>
  <c r="W28" i="3"/>
  <c r="W31" i="3"/>
  <c r="Q54" i="3"/>
  <c r="Q52" i="3"/>
  <c r="Q55" i="3"/>
  <c r="AE7" i="3" s="1"/>
  <c r="Q53" i="3"/>
  <c r="Q43" i="3"/>
  <c r="Q35" i="3"/>
  <c r="Q27" i="3"/>
  <c r="Q46" i="3"/>
  <c r="Q38" i="3"/>
  <c r="Q30" i="3"/>
  <c r="Q22" i="3"/>
  <c r="Q49" i="3"/>
  <c r="Q41" i="3"/>
  <c r="Q33" i="3"/>
  <c r="Q25" i="3"/>
  <c r="AD7" i="3" s="1"/>
  <c r="Q51" i="3"/>
  <c r="Q44" i="3"/>
  <c r="Q36" i="3"/>
  <c r="Q28" i="3"/>
  <c r="Q47" i="3"/>
  <c r="Q39" i="3"/>
  <c r="Q31" i="3"/>
  <c r="Q23" i="3"/>
  <c r="Q50" i="3"/>
  <c r="Q42" i="3"/>
  <c r="Q48" i="3"/>
  <c r="Q40" i="3"/>
  <c r="Q32" i="3"/>
  <c r="Q24" i="3"/>
  <c r="Q29" i="3"/>
  <c r="Q26" i="3"/>
  <c r="Q45" i="3"/>
  <c r="Q34" i="3"/>
  <c r="Q37" i="3"/>
  <c r="Q54" i="2"/>
  <c r="Q46" i="2"/>
  <c r="Q38" i="2"/>
  <c r="Q52" i="2"/>
  <c r="Q44" i="2"/>
  <c r="Q36" i="2"/>
  <c r="Q51" i="2"/>
  <c r="Q43" i="2"/>
  <c r="Q35" i="2"/>
  <c r="Q45" i="2"/>
  <c r="Q40" i="2"/>
  <c r="Q47" i="2"/>
  <c r="Q37" i="2"/>
  <c r="Q25" i="2"/>
  <c r="AD7" i="2" s="1"/>
  <c r="Q33" i="2"/>
  <c r="Q27" i="2"/>
  <c r="Q49" i="2"/>
  <c r="Q24" i="2"/>
  <c r="Q23" i="2"/>
  <c r="Q48" i="2"/>
  <c r="Q31" i="2"/>
  <c r="Q30" i="2"/>
  <c r="Q50" i="2"/>
  <c r="Q32" i="2"/>
  <c r="Q29" i="2"/>
  <c r="Q53" i="2"/>
  <c r="Q41" i="2"/>
  <c r="Q39" i="2"/>
  <c r="Q34" i="2"/>
  <c r="Q22" i="2"/>
  <c r="Q28" i="2"/>
  <c r="Q42" i="2"/>
  <c r="Q55" i="2"/>
  <c r="AE7" i="2" s="1"/>
  <c r="Q26" i="2"/>
  <c r="W48" i="2"/>
  <c r="W40" i="2"/>
  <c r="W54" i="2"/>
  <c r="W46" i="2"/>
  <c r="W38" i="2"/>
  <c r="W53" i="2"/>
  <c r="W45" i="2"/>
  <c r="W37" i="2"/>
  <c r="W28" i="2"/>
  <c r="W43" i="2"/>
  <c r="W39" i="2"/>
  <c r="W55" i="2"/>
  <c r="AE8" i="2" s="1"/>
  <c r="AE13" i="3" s="1"/>
  <c r="W52" i="2"/>
  <c r="W50" i="2"/>
  <c r="W32" i="2"/>
  <c r="W27" i="2"/>
  <c r="W30" i="2"/>
  <c r="W41" i="2"/>
  <c r="W35" i="2"/>
  <c r="W26" i="2"/>
  <c r="W51" i="2"/>
  <c r="W47" i="2"/>
  <c r="W42" i="2"/>
  <c r="W23" i="2"/>
  <c r="W36" i="2"/>
  <c r="W34" i="2"/>
  <c r="W31" i="2"/>
  <c r="W33" i="2"/>
  <c r="W25" i="2"/>
  <c r="AD8" i="2" s="1"/>
  <c r="AD13" i="3" s="1"/>
  <c r="W44" i="2"/>
  <c r="W24" i="2"/>
  <c r="W49" i="2"/>
  <c r="W22" i="2"/>
  <c r="W29" i="2"/>
  <c r="AE15" i="3" l="1"/>
</calcChain>
</file>

<file path=xl/sharedStrings.xml><?xml version="1.0" encoding="utf-8"?>
<sst xmlns="http://schemas.openxmlformats.org/spreadsheetml/2006/main" count="3866" uniqueCount="159">
  <si>
    <t>Nota Explicativa — Como Funciona Esta Planilha</t>
  </si>
  <si>
    <t>1. Objetivo</t>
  </si>
  <si>
    <t>Estimar a economia decorrente da equiparação das idades mínimas da aposentadoria rural por idade às da clientela urbana (de 60 anos para 65, homens; de 55 para 62, mulheres), em valores nominais e reais (R$ de 2026), até 2060. Dois desenhos de transição são calculados em abas distintas, ambas igualmente válidas: "Transição 9 H e 13 M Anos" (acréscimo de 1 ano a cada 2 anos a partir de 2027: 9 anos para os homens e 13 para as mulheres) e "Transição Uniforme 10 Anos" (acréscimo gradual, em meses, aplicado a cada janeiro, com a mesma duração de 10 anos para ambos os sexos). Cada aba traz também o cenário sem transição (idade proposta exigida desde 2027). A duração de cada transição consta da premissa 6 (seção 6).</t>
  </si>
  <si>
    <t>Refinamento em relação à versão anterior: na regra vigente (cenário de referência), a concessão passa a ocorrer, por padrão, na idade média efetiva (Ī, média 2020–2025 por sexo), e não na idade mínima vigente. O quadro "Cenário de Referência" de cada aba permite alternar entre as duas.</t>
  </si>
  <si>
    <t>2. Estrutura</t>
  </si>
  <si>
    <t>As duas abas de cálculo, "Transição 9 H e 13 M Anos" e "Transição Uniforme 10 Anos", têm a mesma estrutura: tabela principal (B2:W55); quadro "Cenário de Referência" (Y5:AA9) e resultado acumulado (AC5:AE8); parâmetros (Y12:AA20); idade média efetiva (AG5:AI14); e, abaixo da tabela principal, a memória de cálculo das colunas M e S (linha 59 em diante, agrupada: use o [+] para expandir). Na aba "Transição Uniforme 10 Anos", a memória de cálculo inclui ainda a tabela de acréscimo exigido por ano e o cálculo por mês de entrada, e o quadro AC11:AE16 compara os resultados das duas abas.</t>
  </si>
  <si>
    <t>Os dados comuns (fluxo de concessões, salário mínimo e inflação, idades médias, idades mínimas, início da vigência e pagamentos por ano) são digitados uma única vez, na aba "Transição 9 H e 13 M Anos", e vinculados por fórmula à aba "Transição Uniforme 10 Anos". São próprios de cada aba o seletor do cenário de referência (Z6) e a regra de transição: o intervalo entre acréscimos (Z19) na aba "Transição 9 H e 13 M Anos" e a duração da transição (Z19) na aba "Transição Uniforme 10 Anos". A memória de cálculo contém fórmulas automáticas e não requer edição. Esta aba é apenas explicativa: nenhuma fórmula depende dela.</t>
  </si>
  <si>
    <t>3. Passo a passo do cálculo</t>
  </si>
  <si>
    <t>1) Fluxo de concessões (colunas C a H). Histórico do AEPS até 2024; a partir de 2025, População × Constância de Incidência (média 2020–2024). Cada ano forma uma coorte: os segurados que atingem a idade mínima vigente (60 anos, homens; 55, mulheres) naquele ano.</t>
  </si>
  <si>
    <t>2) Atraso da concessão na regra vigente (Z16:AA17, em cada aba). A diferença entre Ī (60,735 anos, homens; 56,330, mulheres) e a idade mínima vigente, em meses inteiros, é o parâmetro Δ: 9 meses (homens) e 16 meses (mulheres) com o seletor em "Idade média efetiva"; com o seletor em "Idade mínima vigente", Δ = 0.</t>
  </si>
  <si>
    <t>3) Idade mínima exigida em cada ano. Em ambas as abas, o cenário sem transição exige a idade proposta desde 2027. Nos cenários com transição, a aba "Transição 9 H e 13 M Anos" eleva a idade mínima em 1 ano a cada Z19 anos (padrão: 2), a partir de 2027 (Z18), até 65 anos (homens) e 62 anos (mulheres), o que leva 9 e 13 anos, respectivamente. Já a aba "Transição Uniforme 10 Anos" eleva a idade mínima em meses a cada janeiro, a partir de 2027, ao longo de Z19 anos (padrão: 10), para ambos os sexos: o acréscimo no ano é igual a 12 × (idade proposta − idade vigente) × n ÷ duração, com n = anos desde o início da vigência (limitado à duração), expresso em meses. Com 10 anos, os homens têm +6 meses por ano e as mulheres +8,4 meses por ano, o que exige arredondamento ao mês inteiro, tratado no parágrafo seguinte.</t>
  </si>
  <si>
    <t>Arredondamento do acréscimo (aba "Transição Uniforme 10 Anos"). O arredondamento citado no item 3 decorre de a idade exigida variar apenas em meses inteiros e de o acréscimo anual das mulheres não ser inteiro: 84 meses (de 55 para 62 anos) em 10 anos equivalem a 8,4 meses por ano. Por essa razão, para cada ano de vigência n, a planilha calcula o acréscimo acumulado exato (84 × n ÷ 10) e o arredonda ao mês inteiro mais próximo, pela fórmula ARRED[12 × (62 − 55) × n ÷ 10; 0]. Em meses acumulados (exato → arredondado), o resultado é: n = 1: 8,4 → 8; 2: 16,8 → 17; 3: 25,2 → 25; 4: 33,6 → 34; 5: 42,0 → 42; 6: 50,4 → 50; 7: 58,8 → 59; 8: 67,2 → 67; 9: 75,6 → 76; 10: 84,0 → 84. Com isso, os saltos de cada janeiro alternam entre 8 e 9 meses (8, 9, 8, 9, 8, 8, 9, 8, 9, 8). Como o arredondamento incide sobre o acumulado, e não sobre cada salto, o desvio em relação ao percurso exato nunca excede 0,5 mês e não se acumula: em 2036, último ano da transição, o acréscimo é exatamente 84 meses e as mulheres chegam a 62 anos. Para os homens, ao contrário, não há arredondamento, pois 60 meses em 10 anos equivalem exatamente a 6 meses por ano. Com outras durações (Z19), o mesmo procedimento se aplica a ambos os sexos.</t>
  </si>
  <si>
    <t>4) Pagamentos evitados por segurado (memória de cálculo de cada aba). Para cada coorte e sexo, calcula-se, ano a ano, quantos dos 13 pagamentos anuais deixam de ser feitos, comparando (i) a concessão na regra vigente, Δ meses após a idade mínima vigente, e (ii) a concessão na regra proposta, quando o segurado atinge a idade exigida no ano (nunca antes de Δ). Se a idade exigida for inferior à idade de concessão da regra vigente, não há economia. Na aba "Transição 9 H e 13 M Anos", o cálculo é feito por coorte (tabela a partir da linha 107). Na aba "Transição Uniforme 10 Anos", como a idade exigida continua subindo enquanto o segurado envelhece, o cálculo é feito por coorte e por mês de entrada (12 meses por coorte, de mesmo peso; tabelas a partir das linhas 63 e 117): a concessão ocorre no primeiro momento em que o segurado, com ao menos Δ meses de atraso, cumpre a idade exigida no ano da concessão; as coortes anteriores ao início da vigência preservam o direito adquirido (premissa 8). Com o seletor em "Idade média efetiva", a economia de um ano é nula quando o acréscimo exigido não supera Δ, como em 2027 na aba "Transição Uniforme 10 Anos", em que o acréscimo (6 meses para homens e 8 para mulheres) é inferior a Δ (9 e 16 meses), de modo que a concessão não se desloca.</t>
  </si>
  <si>
    <t>5) Emissões Adiadas (colunas M e S). Para cada ano, soma-se o tamanho de cada coorte (colunas C e F) multiplicado pelos pagamentos evitados por segurado, para homens e mulheres. O resultado é o número de pagamentos não realizados no ano.</t>
  </si>
  <si>
    <t>6) Economia (colunas N a Q e T a W). Emissões Adiadas × salário mínimo = economia nominal; acumulada em O e U. Dividida pela inflação acumulada (base 2026) = economia real; acumulada em Q e W. Os valores são exibidos em R$ bilhões ("bi").</t>
  </si>
  <si>
    <t>4. Como utilizar</t>
  </si>
  <si>
    <t>Alterar apenas as células em azul. Aba "Transição 9 H e 13 M Anos": seletor do cenário (Z6), parâmetros de regra e de cálculo (Z14:AA15 e Z18:Z20), idades médias de 2020 a 2025 (AH7:AI12) e dados de entrada da tabela principal. Aba "Transição Uniforme 10 Anos": apenas o seletor do cenário (Z6) e a duração da transição (Z19); os demais dados são vinculados à aba "Transição 9 H e 13 M Anos". As demais células são fórmulas, textos ou rótulos.</t>
  </si>
  <si>
    <t>Quadro "Cenário de Referência" (Z6): "Idade média efetiva" adota a concessão na idade média efetiva (cenário refinado); "Idade mínima vigente" adota a concessão exatamente na idade mínima vigente (premissa original) e reproduz o resultado da versão anterior da análise. O quadro "Resultado do Cenário Selecionado" (AC5:AE8) mostra a economia real acumulada até 2030 e até 2060 e atualiza ao trocar o seletor. Cada aba possui o seu próprio seletor, independente do da outra; o quadro comparativo da aba "Transição Uniforme 10 Anos" (AC11:AE16) alerta quando os seletores forem distintos, pois as bases de Δ deixam de ser comparáveis.</t>
  </si>
  <si>
    <t>Início da vigência (Z18) deve ser igual ou posterior a 2027. Na aba "Transição 9 H e 13 M Anos", a transição admite acréscimo fixo de 1 ano por passo, e o intervalo entre passos (Z19) é parâmetro; na aba "Transição Uniforme 10 Anos", Z19 é a duração da transição, em anos. Se a "Cobertura de k" (aba "Transição 9 H e 13 M Anos") ou a "Cobertura de j" (aba "Transição Uniforme 10 Anos") da memória de cálculo indicar "Ampliar", é preciso estender as colunas correspondentes (esperas acima de 7 anos, na primeira; acima de 97 meses, na segunda).</t>
  </si>
  <si>
    <t>Convenção de cores: fonte azul = valor digitado (dado histórico ou parâmetro editável); fonte preta = fórmula, texto ou rótulo; fundo amarelo = seletor do cenário (Z6, em cada aba). A cor é uma convenção manual, conforme a natureza do conteúdo: ao trocar uma fórmula por valor digitado (ou o inverso), a cor deve ser ajustada.</t>
  </si>
  <si>
    <t>5. Ressalvas</t>
  </si>
  <si>
    <t>As ressalvas metodológicas (direito adquirido, uso de Ī como valor pontual, fontes distintas, ausência de tábua de sobrevivência e de respostas comportamentais) constam da seção 6 (Premissas) desta aba e devem ser validadas pelo analista antes do uso oficial.</t>
  </si>
  <si>
    <t>6. Premissas</t>
  </si>
  <si>
    <t>1) Escopo: aposentadoria por idade (espécie 41) da clientela rural; os demais requisitos de elegibilidade (comprovação de atividade rural e carência) permanecem inalterados e os demais benefícios não são considerados.</t>
  </si>
  <si>
    <t>2) O fluxo de concessões rurais é projetado pela Constância de Incidência (média 2020–2024) aplicada à população de 60 anos (homens) e 55 anos (mulheres): quantidade histórica do AEPS (2021 e 2024) e Projeções da População do IBGE (Revisão 2024).</t>
  </si>
  <si>
    <t>3) Cada coorte reúne os segurados que atingem a idade mínima vigente (60 anos, homens; 55 anos, mulheres) no ano; seu tamanho é o fluxo de concessões projetado para o mesmo ano (colunas C e F), sem defasagem temporal entre coorte e concessão.</t>
  </si>
  <si>
    <t>4) Fluxo homogêneo de concessões ao longo dos meses do respectivo ano (na aba "Transição Uniforme 10 Anos", os 12 meses de entrada têm o mesmo peso); o mês de início da concessão conta integralmente no cálculo dos pagamentos (12 mensalidades + 13º por ano).</t>
  </si>
  <si>
    <t>5) O valor do benefício é fixado em 1 piso previdenciário. Salário mínimo e inflação seguem o Anexo IV.10 (Projeções Atuariais RGPS) da PLDO 2027; valores deflacionados pelo INPC projetado, em R$ de 2026.</t>
  </si>
  <si>
    <t>6) Duração da transição, por cenário (contada desde o primeiro acréscimo, em 2027 — parâmetro Z18 —, até o ano em que a idade mínima proposta passa a ser exigida): (i) "Sem Transição" (ambas as abas): idade proposta exigida desde 2027, sem período de transição; (ii) "Transição de 9 anos (H) e 13 anos (M)" (aba "Transição 9 H e 13 M Anos"): acréscimo de 1 ano a cada 2 anos (Z19 = 2), até 65 anos (homens, em 2035; 9 anos) e 62 anos (mulheres, em 2039; 13 anos); (iii) "Transição Uniforme de 10 anos" (aba "Transição Uniforme 10 Anos"): acréscimo gradual, em meses, aplicado a cada janeiro, com a idade proposta atingida por ambos os sexos em 2036 (10 anos). Durações válidas para os parâmetros atuais (Z14:AA15, Z18 e Z19); os nomes dos cenários são calculados a partir deles.</t>
  </si>
  <si>
    <t>7) Cenário de referência e regra proposta: (i) na regra vigente, a coorte é concedida na idade média efetiva Ī (média 2020–2025, constante até 2060) ou, alternativamente, na idade mínima vigente (premissa original), conforme o quadro "Cenário de Referência"; (ii) na regra proposta (sem ou com transição), o segurado é concedido ao atingir a idade exigida no ano, ou na idade do item (i), se posterior — se a idade exigida for inferior, não há economia; (iii) a defasagem Δ não se mantém após a mudança: se persistisse, a economia seria maior (premissa conservadora).</t>
  </si>
  <si>
    <t>8) A nova regra alcança apenas os segurados que atingem a idade mínima vigente a partir do início da vigência; as coortes anteriores preservam o direito adquirido, ainda que requeiram depois (a validar com a área jurídica).</t>
  </si>
  <si>
    <t>9) A idade média efetiva Ī é aplicada a todos os segurados da coorte, com a defasagem Δ arredondada em meses. Na realidade, parte deles já é concedida, mesmo na regra vigente, com idade superior à mínima exigida pela regra proposta; para esses não há economia, mas o cálculo pela média incorpora essas idades mais altas à idade média, o que reduz o atraso atribuído a todos os segurados. Por isso, a estimativa tende a ser inferior à economia real.</t>
  </si>
  <si>
    <t>10) Fontes distintas: Ī vem da base Concedidos (SUIBE/INSS) e o fluxo de concessões, do AEPS, com coberturas diferentes; Ī não foi recalibrada ao universo do AEPS.</t>
  </si>
  <si>
    <t>11) Não se aplica tábua de sobrevivência às coortes durante a espera (não há saída por óbito), o que tende a superestimar a economia, sobretudo nos anos mais distantes.</t>
  </si>
  <si>
    <t>12) Estimativa bruta da economia no benefício: não considera respostas comportamentais (informalidade, judicialização) nem migração para outros benefícios.</t>
  </si>
  <si>
    <t>13) O cálculo por coorte está na memória de cálculo abaixo da tabela principal de cada aba (linha 59 em diante, agrupada). Com o quadro "Cenário de Referência" em "Idade mínima vigente", o modelo reproduz a premissa original.</t>
  </si>
  <si>
    <t>14) Desenho do acréscimo na aba "Transição Uniforme 10 Anos": o acréscimo em meses, em vez de degraus anuais, evita que a idade exigida suba 1 ano por ano e acompanhe o envelhecimento das coortes, o que impediria a concessão até o fim da transição; há precedente na EC nº 103/2019 (art. 16, § 1º, e art. 18, § 1º, com 6 meses por ano). A escolha do desenho é decisão de política.</t>
  </si>
  <si>
    <t>Análise da Economia Estimada com a Proposta de Aumento da Idade Mínima para Aposentadoria Rural</t>
  </si>
  <si>
    <t>Fluxo de Concessões e Parâmetros Econômicos</t>
  </si>
  <si>
    <t>Sem Transição</t>
  </si>
  <si>
    <t>Ano</t>
  </si>
  <si>
    <t>Aposentadorias Rurais por Idade Concedidas para o Sexo Masculino</t>
  </si>
  <si>
    <t>População de Homens 
com 60 anos</t>
  </si>
  <si>
    <t>Constância de Incidência (Homens)</t>
  </si>
  <si>
    <t>Aposentadorias Rurais por Idade Concedidas para o Sexo Feminino</t>
  </si>
  <si>
    <t>População de Mulheres 
com 55 anos</t>
  </si>
  <si>
    <t>Constância de Incidência (Mulheres)</t>
  </si>
  <si>
    <t>Salário Mínimo</t>
  </si>
  <si>
    <t>Inflação (INPC)</t>
  </si>
  <si>
    <t>Inflação Acumulada</t>
  </si>
  <si>
    <t>Idade Mínima</t>
  </si>
  <si>
    <t>Emissões Adiadas</t>
  </si>
  <si>
    <t>Economia Nominal Projetada</t>
  </si>
  <si>
    <t>Economia Nominal Projetada Acumulada</t>
  </si>
  <si>
    <t>Economia Real Projetada</t>
  </si>
  <si>
    <t>Economia Real Projetada Acumulada</t>
  </si>
  <si>
    <t>-</t>
  </si>
  <si>
    <t>Cenário de Referência — Idade de Concessão na Regra Vigente</t>
  </si>
  <si>
    <t>Resultado do Cenário Selecionado</t>
  </si>
  <si>
    <t>Idade Média Efetiva na DIB (Rural)</t>
  </si>
  <si>
    <t>Idade de concessão adotada (selecionar na lista):</t>
  </si>
  <si>
    <t>Idade média efetiva</t>
  </si>
  <si>
    <t>Economia Real Acumulada</t>
  </si>
  <si>
    <t>Até 2030</t>
  </si>
  <si>
    <t>Até 2060</t>
  </si>
  <si>
    <t>Homens</t>
  </si>
  <si>
    <t>Mulheres</t>
  </si>
  <si>
    <t>Idade média efetiva: concessão aos Ī anos, em média (Δ meses após a idade mínima vigente).</t>
  </si>
  <si>
    <t>Idade mínima vigente: concessão exatamente aos 60 (H) e 55 (M) anos (premissa original).</t>
  </si>
  <si>
    <t>Observação: define o ponto de partida (Δ) nos cenários sem e com transição.</t>
  </si>
  <si>
    <t>Parâmetros de Regra e de Cálculo</t>
  </si>
  <si>
    <t>Parâmetro</t>
  </si>
  <si>
    <t>Média 2020–2025</t>
  </si>
  <si>
    <t>Idade mínima vigente (anos)</t>
  </si>
  <si>
    <t>Projeção 2026–2060</t>
  </si>
  <si>
    <t>Idade mínima proposta — equiparada à urbana (anos)</t>
  </si>
  <si>
    <t>Observação: idade média na data de início do benefício (DIB) das aposentadorias por idade rurais concedidas em cada ano. A média simples 2020–2025 é mantida constante até 2060 e alimenta Ī (Z16:AA16).</t>
  </si>
  <si>
    <t>Idade média efetiva de concessão — Ī (anos)</t>
  </si>
  <si>
    <t>Fonte: base Concedidos (SUIBE/INSS), espécie 41. Por ser valor pontual, não captura a dispersão das idades de concessão (premissa 9 da Nota Explicativa).</t>
  </si>
  <si>
    <t>Defasagem da concessão na regra vigente — Δ (meses)</t>
  </si>
  <si>
    <t>Início da vigência da nova regra (ano)</t>
  </si>
  <si>
    <t>Intervalo entre acréscimos de 1 ano na transição (anos)</t>
  </si>
  <si>
    <t>Pagamentos por ano (12 mensalidades + 13º)</t>
  </si>
  <si>
    <t>Observação: células em azul são entradas editáveis. Idade mínima vigente = A₀; Ī = idade média efetiva de concessão (média 2020–2025, tabela ao lado); a idade mínima proposta equipara a rural à urbana (65 anos, homens; 62, mulheres).</t>
  </si>
  <si>
    <t>Δ = atraso (meses) da concessão na regra vigente em relação à idade mínima vigente = 12 × (Ī − A₀), arredondado (0 se o seletor estiver em "Idade mínima vigente"). Início da vigência ≥ 2027; a transição soma 1 ano a cada [intervalo] anos até a idade proposta.</t>
  </si>
  <si>
    <t>Fonte: AEPS (Publicações de 2012, 2015, 2018, 2021 e 2024), PLDO 2027 - Anexo IV.10 - Projeções Atuariais RGPS, Projeções da População (Revisão 2024) do IBGE e base Concedidos (SUIBE/INSS) para a idade média efetiva. Valores em R$ nominais e em R$ de 2026 (reais).</t>
  </si>
  <si>
    <t>Memória de Cálculo das Colunas M e S — Tabelas Auxiliares (agrupadas: use o [+] à esquerda da linha para expandir)</t>
  </si>
  <si>
    <t>Esta seção calcula, por coorte, quantos pagamentos cada segurado deixa de receber com a regra proposta. As tabelas auxiliares H(X; n) e C(z) alimentam a tabela por coorte, sexo e cenário, que alimenta as colunas M e S da tabela principal.</t>
  </si>
  <si>
    <t>Tabela Auxiliar — Meses Recebidos no Ano por Grupo de Meses de Entrada, H(X; n)</t>
  </si>
  <si>
    <t>Soma Acumulada, C(z)</t>
  </si>
  <si>
    <t>X \ n</t>
  </si>
  <si>
    <t>z</t>
  </si>
  <si>
    <t>C(z)</t>
  </si>
  <si>
    <t>Observação — O que esta tabela faz: converte um deslocamento da concessão (em meses) em meses de benefício recebidos no ano. É a tabela de consulta das fórmulas da tabela por coorte, sexo e cenário e coorte e substitui, de forma generalizada, os fatores Y4 e Z4 da planilha original.</t>
  </si>
  <si>
    <t>k = anos decorridos desde o ano da coorte (k = 0 é o próprio ano da coorte). Deslocamento = meses entre o mês em que o segurado atinge a idade mínima vigente e o início do benefício: Δ na regra vigente; Deslocamento Grupo A ou B na regra proposta.</t>
  </si>
  <si>
    <t>X (linhas, de 0 a 24) = 12 × (k + 1) − deslocamento: meses decorridos, até o fim do ano k, desde o início do benefício de quem entra em janeiro. X ≤ 0: benefício ainda não iniciado (ninguém recebe); X ≥ 24: todos recebem os 12 meses. Por isso as fórmulas limitam X ao intervalo de 0 a 24.</t>
  </si>
  <si>
    <t>n (colunas, de 0 a 12) = número de meses de entrada considerados. Os segurados da coorte atingem a idade mínima uniformemente ao longo dos 12 meses do ano (premissa 4 da Nota Explicativa): n = 12 cobre a coorte inteira; n &lt; 12 cobre só um grupo de meses de entrada (grupos A e B da tabela por coorte).</t>
  </si>
  <si>
    <t>H(X; n) = soma, para os meses de entrada m = 0 a n−1 (janeiro = 0), dos meses recebidos no ano: mín(máx(X − m; 0); 12). Equivale a C(X) − C(X−n), com C(z) na tabela ao lado.</t>
  </si>
  <si>
    <t>Uso: pagamentos por segurado = H × Z20/144 (pagamentos por ano ÷ 12 meses ÷ 12 meses de entrada); meses médios por segurado = H ÷ 12. Exemplo: Δ = 9 meses e k = 0 → X = 12 − 9 = 3; H(3; 12) = 3 + 2 + 1 = 6 meses, ou 0,5 mês por segurado (0,5417 pagamento com 13 por ano).</t>
  </si>
  <si>
    <t>Observação — O que esta tabela faz: auxiliar da tabela H(X; n). C(z) é a soma acumulada dos meses recebidos no ano quando o mês de entrada avança um mês por vez; com ela, H(X; n) = C(X) − C(X−n).</t>
  </si>
  <si>
    <t>z = número inteiro de meses (de −12 a 24). C(z) = soma de mín(máx(i; 0); 12) para i ≤ z. Para z ≤ 0, C = 0; de 0 a 12, C(z) = z(z+1)/2; acima de 12, C(z) = 78 + 12 × (z − 12).</t>
  </si>
  <si>
    <t>Exemplos: C(12) = 1 + 2 + ... + 12 = 78; C(24) = 78 + 12 × 12 = 222.</t>
  </si>
  <si>
    <t>Tabela Auxiliar — Pagamentos Evitados por Segurado, por Coorte, Cenário e Sexo</t>
  </si>
  <si>
    <t>Cobertura de k</t>
  </si>
  <si>
    <t>Cenário</t>
  </si>
  <si>
    <t>Sexo</t>
  </si>
  <si>
    <t>Coorte</t>
  </si>
  <si>
    <t>Tamanho da Coorte</t>
  </si>
  <si>
    <t>Idade Vigente</t>
  </si>
  <si>
    <t>Idade Proposta</t>
  </si>
  <si>
    <t>Atraso Δ (meses)</t>
  </si>
  <si>
    <t>Anos Inteiros de Δ (a)</t>
  </si>
  <si>
    <t>Meses Restantes de Δ (b)</t>
  </si>
  <si>
    <t>Anos de Espera</t>
  </si>
  <si>
    <t>Deslocamento Grupo A (meses)</t>
  </si>
  <si>
    <t>Deslocamento Grupo B (meses)</t>
  </si>
  <si>
    <t>Com Transição</t>
  </si>
  <si>
    <t>Observação — O que esta tabela faz: calcula, para cada coorte, sexo e cenário (sem e com transição), quantos pagamentos por segurado deixam de ser feitos em cada ano com a regra proposta, em relação à regra vigente. Alimenta as colunas M (sem transição) e S (com transição) da tabela principal, ponderada pelo tamanho da coorte (coluna E desta tabela). Cada linha é independente: usa só os parâmetros da própria linha.</t>
  </si>
  <si>
    <t>Estrutura: quatro conjuntos de 34 linhas, nesta ordem: Sem Transição × Homens, Sem Transição × Mulheres, Com Transição × Homens, Com Transição × Mulheres. As colunas B e C identificam o conjunto de cada linha.</t>
  </si>
  <si>
    <t>Coorte (D) = ano em que o segurado atinge a idade mínima vigente. Tamanho da Coorte (E) = fluxo de concessões do ano na tabela principal (coluna C para homens, coluna F para mulheres).</t>
  </si>
  <si>
    <t>Idade Vigente (F) e Idade Proposta (G) = parâmetros Z14/AA14 e Z15/AA15, conforme o sexo. Atraso Δ (H) = atraso da concessão na regra vigente em relação à idade mínima vigente (Z17/AA17), igual a 12 × (Ī − idade mínima vigente) arredondado, ou 0 se o seletor estiver em "Idade mínima vigente". Anos Inteiros de Δ (a, coluna I) e Meses Restantes de Δ (b, coluna J) decompõem Δ = 12 × a + b.</t>
  </si>
  <si>
    <t>Anos de Espera (K) = anos, contados da idade mínima vigente, até a idade exigida pela regra proposta: constante (idade proposta − idade vigente) sem transição; cresce com o ano da coorte, até o limite, com transição.</t>
  </si>
  <si>
    <t>Deslocamento Grupo A e B (L e M, em meses) = atraso com que a concessão passa a ocorrer na regra proposta: o maior entre Δ e o tempo de espera pela idade exigida. Como Δ não é múltiplo de 12, a coorte se divide em dois grupos de meses de entrada: A (meses 0 a 11−b) e B (meses 12−b a 11).</t>
  </si>
  <si>
    <t>Colunas k (N a U) = anos decorridos desde a coorte. Células = pagamentos evitados por segurado no ano (coorte + k): pagamentos da regra vigente menos pagamentos da regra proposta (no máximo 13 por ano, conforme Z20).</t>
  </si>
  <si>
    <t>Fórmula das células: Z20/144 × [H(12×(k+1) − Δ; 12) − H(12×(k+1) − Desloc. A; 12−b) − H(12×(k+1) − Desloc. B − 12 + b; b)], com H consultada na primeira tabela auxiliar.</t>
  </si>
  <si>
    <t>Leitura de cada linha: os valores sobem até 13 (benefício já iniciado na regra vigente e ainda não na proposta), caem para um valor parcial no ano de reingresso (13 menos os pagamentos do ano de início na regra proposta) e zeram depois (as duas regras pagam o ano inteiro). Linha toda zerada = coorte não afetada (idade exigida inferior à idade de concessão da regra vigente).</t>
  </si>
  <si>
    <t>Uso nas colunas M e S: para cada ano da tabela principal, soma-se, sobre as linhas do cenário correspondente, Tamanho da Coorte × pagamentos evitados da coluna k tal que coorte + k = ano.</t>
  </si>
  <si>
    <t>Cobertura de k (C108): confere se as colunas k (0 a 7) bastam, isto é, se a espera máxima (ou a + 1) não excede 7 anos; "Ampliar k" indica que é preciso estender as colunas.</t>
  </si>
  <si>
    <t>Comparativo — Cenário Com Transição</t>
  </si>
  <si>
    <t>Diferença</t>
  </si>
  <si>
    <t>Duração da transição — acréscimo gradual da idade mínima (anos)</t>
  </si>
  <si>
    <t>Observação: nesta aba, são digitados (fonte azul) a duração da transição (Z19) e o seletor do cenário (Z6), este independente do da aba "Transição 9 H e 13 M Anos"; os demais dados (idades, início da vigência, pagamentos por ano e dados de entrada) são vinculados por fórmula a essa aba, onde são digitados uma única vez. Idade mínima vigente = A₀; Ī = idade média efetiva de concessão (média 2020–2025); a idade mínima proposta equipara a rural à urbana (65 anos, homens; 62, mulheres).</t>
  </si>
  <si>
    <t>Δ = atraso (meses) da concessão na regra vigente em relação à idade mínima vigente = 12 × (Ī − A₀), arredondado (0 se o seletor estiver em "Idade mínima vigente"). Início da vigência ≥ 2027; na transição, a idade mínima sobe a cada janeiro, em meses, até a idade proposta, ao longo da duração (Z19).</t>
  </si>
  <si>
    <t>Esta seção calcula, por coorte, sexo, cenário e mês de entrada, o atraso da concessão com a regra proposta. A tabela de acréscimo exigido por ano alimenta a tabela por coorte e mês de entrada, que alimenta as colunas M e S da tabela principal.</t>
  </si>
  <si>
    <t>Tabela Auxiliar — Acréscimo Exigido na Idade Mínima por Ano (meses acima da idade mínima vigente)</t>
  </si>
  <si>
    <t>Sem Transição — Homens (meses)</t>
  </si>
  <si>
    <t>Sem Transição — Mulheres (meses)</t>
  </si>
  <si>
    <t>Com Transição — Homens (meses)</t>
  </si>
  <si>
    <t>Com Transição — Mulheres (meses)</t>
  </si>
  <si>
    <t>Observação — O que esta tabela faz: calcula, para cada ano, quantos meses acima da idade mínima vigente (A₀) a regra proposta exige. Alimenta a tabela por coorte e mês de entrada, logo abaixo.</t>
  </si>
  <si>
    <t>Cada coluna = acréscimo exigido (em meses) no ano da linha, por sexo e cenário. Antes do início da vigência (Z18) o acréscimo é 0; a partir dele, sobe a cada janeiro até a diferença total entre a idade proposta e a vigente.</t>
  </si>
  <si>
    <t>Fórmula: ARRED[12 × (idade proposta − idade vigente) × MÍN(MÁX(ano − início + 1; 0); D) ÷ D; 0], com D = 1 ano sem transição (acréscimo integral desde o início) e D = duração da transição (Z19) com transição.</t>
  </si>
  <si>
    <t>Exemplo com Z19 = 10 (início em 2027): homens +6, +12, ..., +60 meses até 2036 (0,5 ano por ano, até 65 anos); mulheres +8, +17, +25, +34, +42, +50, +59, +67, +76 e +84 meses (8,4 meses por ano, arredondados, até 62 anos).</t>
  </si>
  <si>
    <t>A tabela vai até 2070 porque a tabela por coorte consulta o acréscimo até 9 anos depois da coorte de 2060.</t>
  </si>
  <si>
    <t>Tabela Auxiliar — Espera e Deslocamento da Concessão por Coorte, Sexo, Cenário e Mês de Entrada</t>
  </si>
  <si>
    <t>Cobertura de j</t>
  </si>
  <si>
    <t>Deslocamento (meses) se a Concessão Ocorrer no Ano da Coorte + j</t>
  </si>
  <si>
    <t>Mês de Entrada</t>
  </si>
  <si>
    <t>Peso (Concessões ÷ 12)</t>
  </si>
  <si>
    <t>Coluna da Tabela de Acréscimo</t>
  </si>
  <si>
    <t>Deslocamento (meses)</t>
  </si>
  <si>
    <t>Observação — O que esta tabela faz: determina, para cada coorte, sexo, cenário e mês de entrada, quantos meses depois de atingir a idade mínima vigente o segurado é concedido na regra proposta (deslocamento). Alimenta as colunas M e S da tabela principal.</t>
  </si>
  <si>
    <t>Coorte (D) = ano em que o segurado atinge a idade mínima vigente; Mês de Entrada (E) = mês em que a atinge (1 = janeiro). Os 12 meses têm o mesmo peso (premissa 4): Peso (F) = fluxo de concessões da coorte (coluna C da tabela principal, homens; coluna F, mulheres) ÷ 12.</t>
  </si>
  <si>
    <t>Atraso Δ (G) = atraso da concessão na regra vigente em relação à idade mínima vigente (Z17/AA17). Coluna da Tabela de Acréscimo (H) = posição do sexo e cenário na tabela de acréscimo (1 a 4: sem transição, homens e mulheres; com transição, homens e mulheres).</t>
  </si>
  <si>
    <t>Colunas j (I a R): como a idade exigida muda a cada janeiro, a concessão pode ocorrer no ano da coorte (j = 0), no seguinte (j = 1) etc. Cada coluna traz o deslocamento, em meses, se a concessão ocorrer no ano j: o maior entre Δ, o início desse ano e o acréscimo exigido nele; fica vazia se esse valor ultrapassar dezembro do ano j.</t>
  </si>
  <si>
    <t>Deslocamento (S) = menor valor das colunas j: primeiro momento em que o segurado, com pelo menos Δ meses de atraso, cumpre a idade exigida no ano da concessão (premissa 7). Coortes anteriores ao início da vigência preservam o direito adquirido (premissa 8): deslocamento = Δ.</t>
  </si>
  <si>
    <t>Como a idade exigida continua subindo enquanto o segurado envelhece, o deslocamento costuma superar o acréscimo vigente na entrada; por isso o cálculo é feito por mês de entrada, e não apenas por coorte anual.</t>
  </si>
  <si>
    <t>Colunas M e S da tabela principal: para cada ano Y, soma-se, sobre as linhas do cenário, Peso × Z20 ÷ 12 × (meses recebidos no ano com a regra vigente − meses recebidos com a regra proposta), com meses recebidos no ano Y = MÍN(MÁX(12 × (Y − coorte + 1) − (mês − 1) − deslocamento; 0); 12).</t>
  </si>
  <si>
    <t>Cobertura de j (C118): confere se as colunas j (0 a 9) bastam, isto é, se o acréscimo máximo exigido e o atraso Δ não excedem 97 meses; "Ampliar j" indica que é preciso estender as colunas.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</si>
</sst>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$ &quot;* #,##0.00_-;&quot;-R$ &quot;* #,##0.00_-;_-&quot;R$ &quot;* \-??_-;_-@_-"/>
    <numFmt numFmtId="165" formatCode="_-&quot;R$ &quot;* #,##0.00,,,&quot; bi&quot;_-;&quot;-R$ &quot;* #,##0.00_-;_-&quot;R$ &quot;* \-??_-;_-@_-"/>
    <numFmt numFmtId="166" formatCode="&quot;R$ &quot;#,##0.0,,,&quot; bi&quot;"/>
    <numFmt numFmtId="167" formatCode="0.000"/>
    <numFmt numFmtId="168" formatCode="0.0000"/>
  </numFmts>
  <fonts count="12">
    <font>
      <sz val="11"/>
      <color theme="1"/>
      <name val="Calibri"/>
      <family val="2"/>
      <charset val="1"/>
    </font>
    <font>
      <b/>
      <sz val="12"/>
      <name val="Aptos Narrow"/>
      <charset val="1"/>
    </font>
    <font>
      <b/>
      <sz val="10"/>
      <name val="Aptos Narrow"/>
      <charset val="1"/>
    </font>
    <font>
      <sz val="10"/>
      <name val="Aptos Narrow"/>
      <charset val="1"/>
    </font>
    <font>
      <b/>
      <sz val="11"/>
      <color rgb="FF000000"/>
      <name val="Aptos Narrow"/>
      <charset val="1"/>
    </font>
    <font>
      <b/>
      <sz val="10"/>
      <color rgb="FF000000"/>
      <name val="Aptos Narrow"/>
      <charset val="1"/>
    </font>
    <font>
      <b/>
      <sz val="10"/>
      <color rgb="FF0000FF"/>
      <name val="Aptos Narrow"/>
      <charset val="1"/>
    </font>
    <font>
      <sz val="10"/>
      <color rgb="FF0000FF"/>
      <name val="Aptos Narrow"/>
      <charset val="1"/>
    </font>
    <font>
      <sz val="10"/>
      <color rgb="FF000000"/>
      <name val="Aptos Narrow"/>
      <charset val="1"/>
    </font>
    <font>
      <i/>
      <sz val="10"/>
      <color rgb="FF000000"/>
      <name val="Aptos Narrow"/>
      <charset val="1"/>
    </font>
    <font>
      <b/>
      <i/>
      <sz val="10"/>
      <color rgb="FF000000"/>
      <name val="Aptos Narrow"/>
      <charset val="1"/>
    </font>
    <font>
      <b/>
      <i/>
      <sz val="11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7F7F7F"/>
        <bgColor rgb="FF666699"/>
      </patternFill>
    </fill>
    <fill>
      <patternFill patternType="solid">
        <fgColor rgb="FFBFBFBF"/>
        <bgColor rgb="FFCCCCFF"/>
      </patternFill>
    </fill>
    <fill>
      <patternFill patternType="solid">
        <fgColor rgb="FFA6A6A6"/>
        <bgColor rgb="FFBFBFBF"/>
      </patternFill>
    </fill>
    <fill>
      <patternFill patternType="solid">
        <fgColor rgb="FFFFFF99"/>
        <bgColor rgb="FFFFFFCC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10" fontId="8" fillId="0" borderId="3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5" fontId="8" fillId="0" borderId="3" xfId="0" applyNumberFormat="1" applyFont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166" fontId="5" fillId="0" borderId="4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6" fontId="5" fillId="0" borderId="6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8" fillId="0" borderId="2" xfId="0" applyFont="1" applyBorder="1" applyAlignment="1">
      <alignment horizontal="left" vertic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67" fontId="5" fillId="3" borderId="3" xfId="0" applyNumberFormat="1" applyFont="1" applyFill="1" applyBorder="1" applyAlignment="1">
      <alignment horizontal="center" vertical="center"/>
    </xf>
    <xf numFmtId="167" fontId="5" fillId="3" borderId="4" xfId="0" applyNumberFormat="1" applyFont="1" applyFill="1" applyBorder="1" applyAlignment="1">
      <alignment horizontal="center" vertical="center"/>
    </xf>
    <xf numFmtId="167" fontId="8" fillId="0" borderId="3" xfId="0" applyNumberFormat="1" applyFont="1" applyBorder="1" applyAlignment="1">
      <alignment horizontal="center" vertical="center"/>
    </xf>
    <xf numFmtId="167" fontId="8" fillId="0" borderId="4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8" fillId="0" borderId="5" xfId="0" applyFont="1" applyBorder="1" applyAlignment="1">
      <alignment horizontal="left" vertical="center"/>
    </xf>
    <xf numFmtId="3" fontId="8" fillId="0" borderId="3" xfId="0" applyNumberFormat="1" applyFont="1" applyBorder="1" applyAlignment="1">
      <alignment horizontal="center" vertical="center"/>
    </xf>
    <xf numFmtId="0" fontId="11" fillId="0" borderId="0" xfId="0" applyFont="1"/>
    <xf numFmtId="168" fontId="7" fillId="0" borderId="4" xfId="0" applyNumberFormat="1" applyFont="1" applyBorder="1" applyAlignment="1">
      <alignment horizontal="center" vertical="center"/>
    </xf>
    <xf numFmtId="168" fontId="8" fillId="0" borderId="4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/>
    </xf>
    <xf numFmtId="3" fontId="8" fillId="0" borderId="6" xfId="0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/>
    </xf>
    <xf numFmtId="10" fontId="8" fillId="0" borderId="6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0" fontId="7" fillId="0" borderId="6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168" fontId="8" fillId="0" borderId="3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" fontId="8" fillId="0" borderId="6" xfId="0" applyNumberFormat="1" applyFont="1" applyBorder="1" applyAlignment="1">
      <alignment horizontal="center" vertical="center"/>
    </xf>
    <xf numFmtId="168" fontId="8" fillId="0" borderId="6" xfId="0" applyNumberFormat="1" applyFont="1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166" fontId="5" fillId="0" borderId="21" xfId="0" applyNumberFormat="1" applyFont="1" applyBorder="1" applyAlignment="1">
      <alignment horizontal="center" vertical="center"/>
    </xf>
    <xf numFmtId="167" fontId="5" fillId="0" borderId="21" xfId="0" applyNumberFormat="1" applyFont="1" applyBorder="1" applyAlignment="1">
      <alignment horizontal="center" vertical="center"/>
    </xf>
    <xf numFmtId="168" fontId="8" fillId="0" borderId="21" xfId="0" applyNumberFormat="1" applyFont="1" applyBorder="1" applyAlignment="1">
      <alignment horizontal="center" vertical="center"/>
    </xf>
    <xf numFmtId="165" fontId="5" fillId="0" borderId="21" xfId="0" applyNumberFormat="1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1" fontId="8" fillId="0" borderId="20" xfId="0" applyNumberFormat="1" applyFont="1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EBD86-DCCF-4441-BB91-0C3A1588EE08}">
  <dimension ref="B2:B44"/>
  <sheetViews>
    <sheetView showGridLines="0" tabSelected="1" zoomScaleNormal="100" workbookViewId="0"/>
  </sheetViews>
  <sheetFormatPr defaultColWidth="8.7109375" defaultRowHeight="15"/>
  <cols>
    <col min="1" max="1" width="3" customWidth="1"/>
    <col min="2" max="2" width="150" customWidth="1"/>
  </cols>
  <sheetData>
    <row r="2" spans="2:2" ht="15.75">
      <c r="B2" s="1" t="s">
        <v>0</v>
      </c>
    </row>
    <row r="4" spans="2:2">
      <c r="B4" s="2" t="s">
        <v>1</v>
      </c>
    </row>
    <row r="5" spans="2:2" ht="54">
      <c r="B5" s="3" t="s">
        <v>2</v>
      </c>
    </row>
    <row r="6" spans="2:2" ht="27">
      <c r="B6" s="3" t="s">
        <v>3</v>
      </c>
    </row>
    <row r="8" spans="2:2">
      <c r="B8" s="2" t="s">
        <v>4</v>
      </c>
    </row>
    <row r="9" spans="2:2" ht="54">
      <c r="B9" s="3" t="s">
        <v>5</v>
      </c>
    </row>
    <row r="10" spans="2:2" ht="54">
      <c r="B10" s="3" t="s">
        <v>6</v>
      </c>
    </row>
    <row r="12" spans="2:2">
      <c r="B12" s="2" t="s">
        <v>7</v>
      </c>
    </row>
    <row r="13" spans="2:2" ht="27">
      <c r="B13" s="3" t="s">
        <v>8</v>
      </c>
    </row>
    <row r="14" spans="2:2" ht="27">
      <c r="B14" s="3" t="s">
        <v>9</v>
      </c>
    </row>
    <row r="15" spans="2:2" ht="67.5">
      <c r="B15" s="3" t="s">
        <v>10</v>
      </c>
    </row>
    <row r="16" spans="2:2" ht="94.5">
      <c r="B16" s="3" t="s">
        <v>11</v>
      </c>
    </row>
    <row r="17" spans="2:2" ht="94.5">
      <c r="B17" s="3" t="s">
        <v>12</v>
      </c>
    </row>
    <row r="18" spans="2:2" ht="27">
      <c r="B18" s="3" t="s">
        <v>13</v>
      </c>
    </row>
    <row r="19" spans="2:2" ht="27">
      <c r="B19" s="3" t="s">
        <v>14</v>
      </c>
    </row>
    <row r="21" spans="2:2">
      <c r="B21" s="2" t="s">
        <v>15</v>
      </c>
    </row>
    <row r="22" spans="2:2" ht="40.5">
      <c r="B22" s="3" t="s">
        <v>16</v>
      </c>
    </row>
    <row r="23" spans="2:2" ht="54">
      <c r="B23" s="3" t="s">
        <v>17</v>
      </c>
    </row>
    <row r="24" spans="2:2" ht="40.5">
      <c r="B24" s="3" t="s">
        <v>18</v>
      </c>
    </row>
    <row r="25" spans="2:2" ht="27">
      <c r="B25" s="3" t="s">
        <v>19</v>
      </c>
    </row>
    <row r="27" spans="2:2">
      <c r="B27" s="2" t="s">
        <v>20</v>
      </c>
    </row>
    <row r="28" spans="2:2" ht="27">
      <c r="B28" s="3" t="s">
        <v>21</v>
      </c>
    </row>
    <row r="30" spans="2:2">
      <c r="B30" s="2" t="s">
        <v>22</v>
      </c>
    </row>
    <row r="31" spans="2:2" ht="27">
      <c r="B31" s="3" t="s">
        <v>23</v>
      </c>
    </row>
    <row r="32" spans="2:2" ht="27">
      <c r="B32" s="3" t="s">
        <v>24</v>
      </c>
    </row>
    <row r="33" spans="2:2" ht="27">
      <c r="B33" s="3" t="s">
        <v>25</v>
      </c>
    </row>
    <row r="34" spans="2:2" ht="27">
      <c r="B34" s="3" t="s">
        <v>26</v>
      </c>
    </row>
    <row r="35" spans="2:2" ht="27">
      <c r="B35" s="3" t="s">
        <v>27</v>
      </c>
    </row>
    <row r="36" spans="2:2" ht="67.5">
      <c r="B36" s="3" t="s">
        <v>28</v>
      </c>
    </row>
    <row r="37" spans="2:2" ht="40.5">
      <c r="B37" s="3" t="s">
        <v>29</v>
      </c>
    </row>
    <row r="38" spans="2:2" ht="27">
      <c r="B38" s="3" t="s">
        <v>30</v>
      </c>
    </row>
    <row r="39" spans="2:2" ht="40.5">
      <c r="B39" s="3" t="s">
        <v>31</v>
      </c>
    </row>
    <row r="40" spans="2:2">
      <c r="B40" s="3" t="s">
        <v>32</v>
      </c>
    </row>
    <row r="41" spans="2:2">
      <c r="B41" s="3" t="s">
        <v>33</v>
      </c>
    </row>
    <row r="42" spans="2:2">
      <c r="B42" s="3" t="s">
        <v>34</v>
      </c>
    </row>
    <row r="43" spans="2:2" ht="27">
      <c r="B43" s="3" t="s">
        <v>35</v>
      </c>
    </row>
    <row r="44" spans="2:2" ht="27">
      <c r="B44" s="3" t="s">
        <v>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C15E2-ABDB-4438-96F0-40E0CE5424AC}">
  <sheetPr>
    <outlinePr summaryBelow="0"/>
  </sheetPr>
  <dimension ref="B1:AI260"/>
  <sheetViews>
    <sheetView showGridLines="0" zoomScale="85" zoomScaleNormal="85" workbookViewId="0"/>
  </sheetViews>
  <sheetFormatPr defaultColWidth="8.7109375" defaultRowHeight="15" outlineLevelRow="1"/>
  <cols>
    <col min="1" max="1" width="3.28515625" customWidth="1"/>
    <col min="2" max="2" width="14.5703125" customWidth="1"/>
    <col min="3" max="3" width="22" customWidth="1"/>
    <col min="4" max="5" width="17" customWidth="1"/>
    <col min="6" max="6" width="22" customWidth="1"/>
    <col min="7" max="7" width="15" customWidth="1"/>
    <col min="8" max="9" width="14" customWidth="1"/>
    <col min="10" max="10" width="11" customWidth="1"/>
    <col min="11" max="11" width="12" customWidth="1"/>
    <col min="12" max="12" width="15" customWidth="1"/>
    <col min="13" max="14" width="17" customWidth="1"/>
    <col min="15" max="15" width="19" customWidth="1"/>
    <col min="16" max="16" width="17" customWidth="1"/>
    <col min="17" max="17" width="19" customWidth="1"/>
    <col min="18" max="18" width="15" customWidth="1"/>
    <col min="19" max="20" width="17" customWidth="1"/>
    <col min="21" max="21" width="19" customWidth="1"/>
    <col min="22" max="22" width="17" customWidth="1"/>
    <col min="23" max="23" width="19" customWidth="1"/>
    <col min="24" max="24" width="3" customWidth="1"/>
    <col min="25" max="25" width="64" customWidth="1"/>
    <col min="26" max="27" width="12" customWidth="1"/>
    <col min="28" max="28" width="3" customWidth="1"/>
    <col min="29" max="29" width="41" customWidth="1"/>
    <col min="30" max="31" width="16" customWidth="1"/>
    <col min="32" max="32" width="3" customWidth="1"/>
    <col min="33" max="33" width="24" customWidth="1"/>
    <col min="34" max="35" width="12" customWidth="1"/>
  </cols>
  <sheetData>
    <row r="1" spans="2:35" ht="15.75" thickBot="1"/>
    <row r="2" spans="2:35" ht="24" customHeight="1" thickBot="1">
      <c r="B2" s="65" t="s">
        <v>37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7"/>
    </row>
    <row r="3" spans="2:35" ht="21.75" customHeight="1" thickBot="1">
      <c r="B3" s="64" t="s">
        <v>38</v>
      </c>
      <c r="C3" s="64"/>
      <c r="D3" s="64"/>
      <c r="E3" s="64"/>
      <c r="F3" s="64"/>
      <c r="G3" s="64"/>
      <c r="H3" s="64"/>
      <c r="I3" s="64"/>
      <c r="J3" s="64"/>
      <c r="K3" s="64"/>
      <c r="L3" s="64" t="s">
        <v>39</v>
      </c>
      <c r="M3" s="64"/>
      <c r="N3" s="64"/>
      <c r="O3" s="64"/>
      <c r="P3" s="64"/>
      <c r="Q3" s="64"/>
      <c r="R3" s="64" t="str">
        <f>"Transição de "&amp;(($Z$15-$Z$14-1)*$Z$19+1)&amp;" anos (H) e "&amp;(($AA$15-$AA$14-1)*$Z$19+1)&amp;" anos (M)"</f>
        <v>Transição de 9 anos (H) e 13 anos (M)</v>
      </c>
      <c r="S3" s="64"/>
      <c r="T3" s="64"/>
      <c r="U3" s="64"/>
      <c r="V3" s="64"/>
      <c r="W3" s="64"/>
    </row>
    <row r="4" spans="2:35" ht="41.25" thickBot="1">
      <c r="B4" s="4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5" t="s">
        <v>47</v>
      </c>
      <c r="J4" s="5" t="s">
        <v>48</v>
      </c>
      <c r="K4" s="6" t="s">
        <v>49</v>
      </c>
      <c r="L4" s="4" t="s">
        <v>50</v>
      </c>
      <c r="M4" s="5" t="s">
        <v>51</v>
      </c>
      <c r="N4" s="5" t="s">
        <v>52</v>
      </c>
      <c r="O4" s="5" t="s">
        <v>53</v>
      </c>
      <c r="P4" s="5" t="s">
        <v>54</v>
      </c>
      <c r="Q4" s="6" t="s">
        <v>55</v>
      </c>
      <c r="R4" s="4" t="s">
        <v>50</v>
      </c>
      <c r="S4" s="5" t="s">
        <v>51</v>
      </c>
      <c r="T4" s="5" t="s">
        <v>52</v>
      </c>
      <c r="U4" s="5" t="s">
        <v>53</v>
      </c>
      <c r="V4" s="5" t="s">
        <v>54</v>
      </c>
      <c r="W4" s="6" t="s">
        <v>55</v>
      </c>
    </row>
    <row r="5" spans="2:35" ht="15" customHeight="1" thickBot="1">
      <c r="B5" s="8">
        <v>2010</v>
      </c>
      <c r="C5" s="9">
        <v>147356</v>
      </c>
      <c r="D5" s="9">
        <v>684213</v>
      </c>
      <c r="E5" s="10">
        <f t="shared" ref="E5:E19" si="0">C5/D5</f>
        <v>0.21536568290868488</v>
      </c>
      <c r="F5" s="9">
        <v>199978</v>
      </c>
      <c r="G5" s="9">
        <v>958517</v>
      </c>
      <c r="H5" s="10">
        <f t="shared" ref="H5:H19" si="1">F5/G5</f>
        <v>0.20863271073961129</v>
      </c>
      <c r="I5" s="11">
        <v>510</v>
      </c>
      <c r="J5" s="12">
        <v>6.4652000000000001E-2</v>
      </c>
      <c r="K5" s="13" t="s">
        <v>56</v>
      </c>
      <c r="L5" s="14" t="str">
        <f t="shared" ref="L5:L36" si="2">IF($B5&lt;$Z$18,$AA$14&amp;"M / "&amp;$Z$14&amp;"H",$AA$15&amp;"M / "&amp;$Z$15&amp;"H")</f>
        <v>55M / 60H</v>
      </c>
      <c r="M5" s="15" t="s">
        <v>56</v>
      </c>
      <c r="N5" s="16">
        <v>0</v>
      </c>
      <c r="O5" s="16">
        <v>0</v>
      </c>
      <c r="P5" s="16">
        <v>0</v>
      </c>
      <c r="Q5" s="17">
        <v>0</v>
      </c>
      <c r="R5" s="14" t="str">
        <f t="shared" ref="R5:R36" si="3">IF($B5&lt;$Z$18,$AA$14&amp;"M / "&amp;$Z$14&amp;"H",MIN($AA$15,$AA$14+1+INT(($B5-$Z$18)/$Z$19))&amp;"M / "&amp;MIN($Z$15,$Z$14+1+INT(($B5-$Z$18)/$Z$19))&amp;"H")</f>
        <v>55M / 60H</v>
      </c>
      <c r="S5" s="15" t="s">
        <v>56</v>
      </c>
      <c r="T5" s="16">
        <v>0</v>
      </c>
      <c r="U5" s="16">
        <v>0</v>
      </c>
      <c r="V5" s="16">
        <v>0</v>
      </c>
      <c r="W5" s="17">
        <v>0</v>
      </c>
      <c r="Y5" s="62" t="s">
        <v>57</v>
      </c>
      <c r="Z5" s="62"/>
      <c r="AA5" s="62"/>
      <c r="AC5" s="62" t="s">
        <v>58</v>
      </c>
      <c r="AD5" s="62"/>
      <c r="AE5" s="62"/>
      <c r="AG5" s="62" t="s">
        <v>59</v>
      </c>
      <c r="AH5" s="62"/>
      <c r="AI5" s="62"/>
    </row>
    <row r="6" spans="2:35" ht="15" customHeight="1">
      <c r="B6" s="8">
        <v>2011</v>
      </c>
      <c r="C6" s="9">
        <v>141310</v>
      </c>
      <c r="D6" s="9">
        <v>709218</v>
      </c>
      <c r="E6" s="10">
        <f t="shared" si="0"/>
        <v>0.19924762202876972</v>
      </c>
      <c r="F6" s="9">
        <v>201742</v>
      </c>
      <c r="G6" s="9">
        <v>991806</v>
      </c>
      <c r="H6" s="10">
        <f t="shared" si="1"/>
        <v>0.20340873114298563</v>
      </c>
      <c r="I6" s="11">
        <v>540</v>
      </c>
      <c r="J6" s="12">
        <v>6.0798999999999999E-2</v>
      </c>
      <c r="K6" s="13" t="s">
        <v>56</v>
      </c>
      <c r="L6" s="14" t="str">
        <f t="shared" si="2"/>
        <v>55M / 60H</v>
      </c>
      <c r="M6" s="15" t="s">
        <v>56</v>
      </c>
      <c r="N6" s="16">
        <v>0</v>
      </c>
      <c r="O6" s="16">
        <v>0</v>
      </c>
      <c r="P6" s="16">
        <v>0</v>
      </c>
      <c r="Q6" s="17">
        <v>0</v>
      </c>
      <c r="R6" s="14" t="str">
        <f t="shared" si="3"/>
        <v>55M / 60H</v>
      </c>
      <c r="S6" s="15" t="s">
        <v>56</v>
      </c>
      <c r="T6" s="16">
        <v>0</v>
      </c>
      <c r="U6" s="16">
        <v>0</v>
      </c>
      <c r="V6" s="16">
        <v>0</v>
      </c>
      <c r="W6" s="17">
        <v>0</v>
      </c>
      <c r="Y6" s="7" t="s">
        <v>60</v>
      </c>
      <c r="Z6" s="63" t="s">
        <v>61</v>
      </c>
      <c r="AA6" s="63"/>
      <c r="AC6" s="4" t="s">
        <v>62</v>
      </c>
      <c r="AD6" s="5" t="s">
        <v>63</v>
      </c>
      <c r="AE6" s="6" t="s">
        <v>64</v>
      </c>
      <c r="AG6" s="4" t="s">
        <v>40</v>
      </c>
      <c r="AH6" s="5" t="s">
        <v>65</v>
      </c>
      <c r="AI6" s="6" t="s">
        <v>66</v>
      </c>
    </row>
    <row r="7" spans="2:35" ht="15" customHeight="1">
      <c r="B7" s="8">
        <v>2012</v>
      </c>
      <c r="C7" s="9">
        <v>148810</v>
      </c>
      <c r="D7" s="9">
        <v>734954</v>
      </c>
      <c r="E7" s="10">
        <f t="shared" si="0"/>
        <v>0.20247525695485705</v>
      </c>
      <c r="F7" s="9">
        <v>203190</v>
      </c>
      <c r="G7" s="9">
        <v>1024678</v>
      </c>
      <c r="H7" s="10">
        <f t="shared" si="1"/>
        <v>0.19829644044275371</v>
      </c>
      <c r="I7" s="11">
        <v>622</v>
      </c>
      <c r="J7" s="12">
        <v>6.1977999999999998E-2</v>
      </c>
      <c r="K7" s="13" t="s">
        <v>56</v>
      </c>
      <c r="L7" s="14" t="str">
        <f t="shared" si="2"/>
        <v>55M / 60H</v>
      </c>
      <c r="M7" s="15" t="s">
        <v>56</v>
      </c>
      <c r="N7" s="16">
        <v>0</v>
      </c>
      <c r="O7" s="16">
        <v>0</v>
      </c>
      <c r="P7" s="16">
        <v>0</v>
      </c>
      <c r="Q7" s="17">
        <v>0</v>
      </c>
      <c r="R7" s="14" t="str">
        <f t="shared" si="3"/>
        <v>55M / 60H</v>
      </c>
      <c r="S7" s="15" t="s">
        <v>56</v>
      </c>
      <c r="T7" s="16">
        <v>0</v>
      </c>
      <c r="U7" s="16">
        <v>0</v>
      </c>
      <c r="V7" s="16">
        <v>0</v>
      </c>
      <c r="W7" s="17">
        <v>0</v>
      </c>
      <c r="Y7" s="78" t="s">
        <v>67</v>
      </c>
      <c r="Z7" s="79"/>
      <c r="AA7" s="80"/>
      <c r="AC7" s="8" t="s">
        <v>39</v>
      </c>
      <c r="AD7" s="18">
        <f>Q25</f>
        <v>40476721909.348831</v>
      </c>
      <c r="AE7" s="19">
        <f>Q55</f>
        <v>2123062847063.9656</v>
      </c>
      <c r="AG7" s="8">
        <v>2020</v>
      </c>
      <c r="AH7" s="20">
        <v>60.56</v>
      </c>
      <c r="AI7" s="21">
        <v>56.08</v>
      </c>
    </row>
    <row r="8" spans="2:35" ht="15" customHeight="1" thickBot="1">
      <c r="B8" s="8">
        <v>2013</v>
      </c>
      <c r="C8" s="9">
        <v>148885</v>
      </c>
      <c r="D8" s="9">
        <v>761573</v>
      </c>
      <c r="E8" s="10">
        <f t="shared" si="0"/>
        <v>0.19549668908955542</v>
      </c>
      <c r="F8" s="9">
        <v>209735</v>
      </c>
      <c r="G8" s="9">
        <v>1057683</v>
      </c>
      <c r="H8" s="10">
        <f t="shared" si="1"/>
        <v>0.19829665410146519</v>
      </c>
      <c r="I8" s="11">
        <v>678</v>
      </c>
      <c r="J8" s="12">
        <v>5.5627000000000003E-2</v>
      </c>
      <c r="K8" s="13" t="s">
        <v>56</v>
      </c>
      <c r="L8" s="14" t="str">
        <f t="shared" si="2"/>
        <v>55M / 60H</v>
      </c>
      <c r="M8" s="15" t="s">
        <v>56</v>
      </c>
      <c r="N8" s="16">
        <v>0</v>
      </c>
      <c r="O8" s="16">
        <v>0</v>
      </c>
      <c r="P8" s="16">
        <v>0</v>
      </c>
      <c r="Q8" s="17">
        <v>0</v>
      </c>
      <c r="R8" s="14" t="str">
        <f t="shared" si="3"/>
        <v>55M / 60H</v>
      </c>
      <c r="S8" s="15" t="s">
        <v>56</v>
      </c>
      <c r="T8" s="16">
        <v>0</v>
      </c>
      <c r="U8" s="16">
        <v>0</v>
      </c>
      <c r="V8" s="16">
        <v>0</v>
      </c>
      <c r="W8" s="17">
        <v>0</v>
      </c>
      <c r="Y8" s="68" t="s">
        <v>68</v>
      </c>
      <c r="Z8" s="69"/>
      <c r="AA8" s="70"/>
      <c r="AC8" s="22" t="str">
        <f>"Transição de "&amp;(($Z$15-$Z$14-1)*$Z$19+1)&amp;" anos (H) e "&amp;(($AA$15-$AA$14-1)*$Z$19+1)&amp;" anos (M)"</f>
        <v>Transição de 9 anos (H) e 13 anos (M)</v>
      </c>
      <c r="AD8" s="23">
        <f>W25</f>
        <v>15394883169.044863</v>
      </c>
      <c r="AE8" s="82">
        <f>W55</f>
        <v>1967451264564.7085</v>
      </c>
      <c r="AG8" s="8">
        <v>2021</v>
      </c>
      <c r="AH8" s="20">
        <v>60.74</v>
      </c>
      <c r="AI8" s="21">
        <v>56.24</v>
      </c>
    </row>
    <row r="9" spans="2:35" ht="15" customHeight="1">
      <c r="B9" s="8">
        <v>2014</v>
      </c>
      <c r="C9" s="9">
        <v>148068</v>
      </c>
      <c r="D9" s="9">
        <v>789185</v>
      </c>
      <c r="E9" s="10">
        <f t="shared" si="0"/>
        <v>0.18762140689445442</v>
      </c>
      <c r="F9" s="9">
        <v>189793</v>
      </c>
      <c r="G9" s="9">
        <v>1090856</v>
      </c>
      <c r="H9" s="10">
        <f t="shared" si="1"/>
        <v>0.17398538395535249</v>
      </c>
      <c r="I9" s="11">
        <v>724</v>
      </c>
      <c r="J9" s="12">
        <v>6.2282999999999998E-2</v>
      </c>
      <c r="K9" s="13" t="s">
        <v>56</v>
      </c>
      <c r="L9" s="14" t="str">
        <f t="shared" si="2"/>
        <v>55M / 60H</v>
      </c>
      <c r="M9" s="15" t="s">
        <v>56</v>
      </c>
      <c r="N9" s="16">
        <v>0</v>
      </c>
      <c r="O9" s="16">
        <v>0</v>
      </c>
      <c r="P9" s="16">
        <v>0</v>
      </c>
      <c r="Q9" s="17">
        <v>0</v>
      </c>
      <c r="R9" s="14" t="str">
        <f t="shared" si="3"/>
        <v>55M / 60H</v>
      </c>
      <c r="S9" s="15" t="s">
        <v>56</v>
      </c>
      <c r="T9" s="16">
        <v>0</v>
      </c>
      <c r="U9" s="16">
        <v>0</v>
      </c>
      <c r="V9" s="16">
        <v>0</v>
      </c>
      <c r="W9" s="17">
        <v>0</v>
      </c>
      <c r="Y9" s="24" t="s">
        <v>69</v>
      </c>
      <c r="AC9" s="24" t="str">
        <f>IF($C$108="OK","R$ bi deflacionados; atualizam com o seletor ao lado.","ATENÇÃO: ampliar as colunas k da memória de cálculo.")</f>
        <v>R$ bi deflacionados; atualizam com o seletor ao lado.</v>
      </c>
      <c r="AG9" s="8">
        <v>2022</v>
      </c>
      <c r="AH9" s="20">
        <v>60.78</v>
      </c>
      <c r="AI9" s="21">
        <v>56.31</v>
      </c>
    </row>
    <row r="10" spans="2:35" ht="15" customHeight="1">
      <c r="B10" s="8">
        <v>2015</v>
      </c>
      <c r="C10" s="9">
        <v>123166</v>
      </c>
      <c r="D10" s="9">
        <v>817332</v>
      </c>
      <c r="E10" s="10">
        <f t="shared" si="0"/>
        <v>0.15069274174998654</v>
      </c>
      <c r="F10" s="9">
        <v>163510</v>
      </c>
      <c r="G10" s="9">
        <v>1123521</v>
      </c>
      <c r="H10" s="10">
        <f t="shared" si="1"/>
        <v>0.14553355032972237</v>
      </c>
      <c r="I10" s="11">
        <v>788</v>
      </c>
      <c r="J10" s="12">
        <v>0.112762</v>
      </c>
      <c r="K10" s="13" t="s">
        <v>56</v>
      </c>
      <c r="L10" s="14" t="str">
        <f t="shared" si="2"/>
        <v>55M / 60H</v>
      </c>
      <c r="M10" s="15" t="s">
        <v>56</v>
      </c>
      <c r="N10" s="16">
        <v>0</v>
      </c>
      <c r="O10" s="16">
        <v>0</v>
      </c>
      <c r="P10" s="16">
        <v>0</v>
      </c>
      <c r="Q10" s="17">
        <v>0</v>
      </c>
      <c r="R10" s="14" t="str">
        <f t="shared" si="3"/>
        <v>55M / 60H</v>
      </c>
      <c r="S10" s="15" t="s">
        <v>56</v>
      </c>
      <c r="T10" s="16">
        <v>0</v>
      </c>
      <c r="U10" s="16">
        <v>0</v>
      </c>
      <c r="V10" s="16">
        <v>0</v>
      </c>
      <c r="W10" s="17">
        <v>0</v>
      </c>
      <c r="AG10" s="8">
        <v>2023</v>
      </c>
      <c r="AH10" s="20">
        <v>60.82</v>
      </c>
      <c r="AI10" s="21">
        <v>56.48</v>
      </c>
    </row>
    <row r="11" spans="2:35" ht="15" customHeight="1" thickBot="1">
      <c r="B11" s="8">
        <v>2016</v>
      </c>
      <c r="C11" s="9">
        <v>137321</v>
      </c>
      <c r="D11" s="9">
        <v>845348</v>
      </c>
      <c r="E11" s="10">
        <f t="shared" si="0"/>
        <v>0.16244315950354174</v>
      </c>
      <c r="F11" s="9">
        <v>168089</v>
      </c>
      <c r="G11" s="9">
        <v>1155913</v>
      </c>
      <c r="H11" s="10">
        <f t="shared" si="1"/>
        <v>0.14541665332944606</v>
      </c>
      <c r="I11" s="11">
        <v>880</v>
      </c>
      <c r="J11" s="12">
        <v>6.5799999999999997E-2</v>
      </c>
      <c r="K11" s="13" t="s">
        <v>56</v>
      </c>
      <c r="L11" s="14" t="str">
        <f t="shared" si="2"/>
        <v>55M / 60H</v>
      </c>
      <c r="M11" s="15" t="s">
        <v>56</v>
      </c>
      <c r="N11" s="16">
        <v>0</v>
      </c>
      <c r="O11" s="16">
        <v>0</v>
      </c>
      <c r="P11" s="16">
        <v>0</v>
      </c>
      <c r="Q11" s="17">
        <v>0</v>
      </c>
      <c r="R11" s="14" t="str">
        <f t="shared" si="3"/>
        <v>55M / 60H</v>
      </c>
      <c r="S11" s="15" t="s">
        <v>56</v>
      </c>
      <c r="T11" s="16">
        <v>0</v>
      </c>
      <c r="U11" s="16">
        <v>0</v>
      </c>
      <c r="V11" s="16">
        <v>0</v>
      </c>
      <c r="W11" s="17">
        <v>0</v>
      </c>
      <c r="AG11" s="8">
        <v>2024</v>
      </c>
      <c r="AH11" s="20">
        <v>60.79</v>
      </c>
      <c r="AI11" s="21">
        <v>56.58</v>
      </c>
    </row>
    <row r="12" spans="2:35" ht="15" customHeight="1" thickBot="1">
      <c r="B12" s="8">
        <v>2017</v>
      </c>
      <c r="C12" s="9">
        <v>143953</v>
      </c>
      <c r="D12" s="9">
        <v>872932</v>
      </c>
      <c r="E12" s="10">
        <f t="shared" si="0"/>
        <v>0.16490746129137207</v>
      </c>
      <c r="F12" s="9">
        <v>180043</v>
      </c>
      <c r="G12" s="9">
        <v>1186329</v>
      </c>
      <c r="H12" s="10">
        <f t="shared" si="1"/>
        <v>0.1517648139765613</v>
      </c>
      <c r="I12" s="11">
        <v>937</v>
      </c>
      <c r="J12" s="12">
        <v>2.0669E-2</v>
      </c>
      <c r="K12" s="13" t="s">
        <v>56</v>
      </c>
      <c r="L12" s="14" t="str">
        <f t="shared" si="2"/>
        <v>55M / 60H</v>
      </c>
      <c r="M12" s="15" t="s">
        <v>56</v>
      </c>
      <c r="N12" s="16">
        <v>0</v>
      </c>
      <c r="O12" s="16">
        <v>0</v>
      </c>
      <c r="P12" s="16">
        <v>0</v>
      </c>
      <c r="Q12" s="17">
        <v>0</v>
      </c>
      <c r="R12" s="14" t="str">
        <f t="shared" si="3"/>
        <v>55M / 60H</v>
      </c>
      <c r="S12" s="15" t="s">
        <v>56</v>
      </c>
      <c r="T12" s="16">
        <v>0</v>
      </c>
      <c r="U12" s="16">
        <v>0</v>
      </c>
      <c r="V12" s="16">
        <v>0</v>
      </c>
      <c r="W12" s="17">
        <v>0</v>
      </c>
      <c r="Y12" s="75" t="s">
        <v>70</v>
      </c>
      <c r="Z12" s="76"/>
      <c r="AA12" s="77"/>
      <c r="AG12" s="8">
        <v>2025</v>
      </c>
      <c r="AH12" s="20">
        <v>60.72</v>
      </c>
      <c r="AI12" s="21">
        <v>56.29</v>
      </c>
    </row>
    <row r="13" spans="2:35" ht="15" customHeight="1">
      <c r="B13" s="8">
        <v>2018</v>
      </c>
      <c r="C13" s="9">
        <v>128360</v>
      </c>
      <c r="D13" s="9">
        <v>900259</v>
      </c>
      <c r="E13" s="10">
        <f t="shared" si="0"/>
        <v>0.14258119052406029</v>
      </c>
      <c r="F13" s="9">
        <v>166897</v>
      </c>
      <c r="G13" s="9">
        <v>1211645</v>
      </c>
      <c r="H13" s="10">
        <f t="shared" si="1"/>
        <v>0.13774414122948553</v>
      </c>
      <c r="I13" s="11">
        <v>954</v>
      </c>
      <c r="J13" s="12">
        <v>3.4340000000000002E-2</v>
      </c>
      <c r="K13" s="13" t="s">
        <v>56</v>
      </c>
      <c r="L13" s="14" t="str">
        <f t="shared" si="2"/>
        <v>55M / 60H</v>
      </c>
      <c r="M13" s="15" t="s">
        <v>56</v>
      </c>
      <c r="N13" s="16">
        <v>0</v>
      </c>
      <c r="O13" s="16">
        <v>0</v>
      </c>
      <c r="P13" s="16">
        <v>0</v>
      </c>
      <c r="Q13" s="17">
        <v>0</v>
      </c>
      <c r="R13" s="14" t="str">
        <f t="shared" si="3"/>
        <v>55M / 60H</v>
      </c>
      <c r="S13" s="15" t="s">
        <v>56</v>
      </c>
      <c r="T13" s="16">
        <v>0</v>
      </c>
      <c r="U13" s="16">
        <v>0</v>
      </c>
      <c r="V13" s="16">
        <v>0</v>
      </c>
      <c r="W13" s="17">
        <v>0</v>
      </c>
      <c r="Y13" s="4" t="s">
        <v>71</v>
      </c>
      <c r="Z13" s="5" t="s">
        <v>65</v>
      </c>
      <c r="AA13" s="6" t="s">
        <v>66</v>
      </c>
      <c r="AG13" s="28" t="s">
        <v>72</v>
      </c>
      <c r="AH13" s="29">
        <f>AVERAGE(AH7:AH12)</f>
        <v>60.734999999999992</v>
      </c>
      <c r="AI13" s="30">
        <f>AVERAGE(AI7:AI12)</f>
        <v>56.330000000000005</v>
      </c>
    </row>
    <row r="14" spans="2:35" ht="15" customHeight="1" thickBot="1">
      <c r="B14" s="8">
        <v>2019</v>
      </c>
      <c r="C14" s="9">
        <v>112392</v>
      </c>
      <c r="D14" s="9">
        <v>927304</v>
      </c>
      <c r="E14" s="10">
        <f t="shared" si="0"/>
        <v>0.12120297119391267</v>
      </c>
      <c r="F14" s="9">
        <v>146999</v>
      </c>
      <c r="G14" s="9">
        <v>1238650</v>
      </c>
      <c r="H14" s="10">
        <f t="shared" si="1"/>
        <v>0.11867678520970411</v>
      </c>
      <c r="I14" s="11">
        <v>998</v>
      </c>
      <c r="J14" s="12">
        <v>4.4816000000000002E-2</v>
      </c>
      <c r="K14" s="13" t="s">
        <v>56</v>
      </c>
      <c r="L14" s="14" t="str">
        <f t="shared" si="2"/>
        <v>55M / 60H</v>
      </c>
      <c r="M14" s="15" t="s">
        <v>56</v>
      </c>
      <c r="N14" s="16">
        <v>0</v>
      </c>
      <c r="O14" s="16">
        <v>0</v>
      </c>
      <c r="P14" s="16">
        <v>0</v>
      </c>
      <c r="Q14" s="17">
        <v>0</v>
      </c>
      <c r="R14" s="14" t="str">
        <f t="shared" si="3"/>
        <v>55M / 60H</v>
      </c>
      <c r="S14" s="15" t="s">
        <v>56</v>
      </c>
      <c r="T14" s="16">
        <v>0</v>
      </c>
      <c r="U14" s="16">
        <v>0</v>
      </c>
      <c r="V14" s="16">
        <v>0</v>
      </c>
      <c r="W14" s="17">
        <v>0</v>
      </c>
      <c r="Y14" s="25" t="s">
        <v>73</v>
      </c>
      <c r="Z14" s="26">
        <v>60</v>
      </c>
      <c r="AA14" s="27">
        <v>55</v>
      </c>
      <c r="AG14" s="22" t="s">
        <v>74</v>
      </c>
      <c r="AH14" s="33">
        <f>AH13</f>
        <v>60.734999999999992</v>
      </c>
      <c r="AI14" s="83">
        <f>AI13</f>
        <v>56.330000000000005</v>
      </c>
    </row>
    <row r="15" spans="2:35" ht="15" customHeight="1">
      <c r="B15" s="8">
        <v>2020</v>
      </c>
      <c r="C15" s="9">
        <v>125151</v>
      </c>
      <c r="D15" s="9">
        <v>952510</v>
      </c>
      <c r="E15" s="10">
        <f t="shared" si="0"/>
        <v>0.13139074655384195</v>
      </c>
      <c r="F15" s="9">
        <v>154416</v>
      </c>
      <c r="G15" s="9">
        <v>1259472</v>
      </c>
      <c r="H15" s="10">
        <f t="shared" si="1"/>
        <v>0.12260375776515874</v>
      </c>
      <c r="I15" s="11">
        <v>1045</v>
      </c>
      <c r="J15" s="12">
        <v>5.4473000000000001E-2</v>
      </c>
      <c r="K15" s="13" t="s">
        <v>56</v>
      </c>
      <c r="L15" s="14" t="str">
        <f t="shared" si="2"/>
        <v>55M / 60H</v>
      </c>
      <c r="M15" s="15" t="s">
        <v>56</v>
      </c>
      <c r="N15" s="16">
        <v>0</v>
      </c>
      <c r="O15" s="16">
        <v>0</v>
      </c>
      <c r="P15" s="16">
        <v>0</v>
      </c>
      <c r="Q15" s="17">
        <v>0</v>
      </c>
      <c r="R15" s="14" t="str">
        <f t="shared" si="3"/>
        <v>55M / 60H</v>
      </c>
      <c r="S15" s="15" t="s">
        <v>56</v>
      </c>
      <c r="T15" s="16">
        <v>0</v>
      </c>
      <c r="U15" s="16">
        <v>0</v>
      </c>
      <c r="V15" s="16">
        <v>0</v>
      </c>
      <c r="W15" s="17">
        <v>0</v>
      </c>
      <c r="Y15" s="25" t="s">
        <v>75</v>
      </c>
      <c r="Z15" s="26">
        <v>65</v>
      </c>
      <c r="AA15" s="27">
        <v>62</v>
      </c>
      <c r="AG15" s="24" t="s">
        <v>76</v>
      </c>
    </row>
    <row r="16" spans="2:35" ht="15" customHeight="1">
      <c r="B16" s="8">
        <v>2021</v>
      </c>
      <c r="C16" s="9">
        <v>144418</v>
      </c>
      <c r="D16" s="9">
        <v>974702</v>
      </c>
      <c r="E16" s="10">
        <f t="shared" si="0"/>
        <v>0.1481663113443904</v>
      </c>
      <c r="F16" s="9">
        <v>177797</v>
      </c>
      <c r="G16" s="9">
        <v>1271298</v>
      </c>
      <c r="H16" s="10">
        <f t="shared" si="1"/>
        <v>0.13985469968488898</v>
      </c>
      <c r="I16" s="11">
        <v>1100</v>
      </c>
      <c r="J16" s="12">
        <v>0.101602</v>
      </c>
      <c r="K16" s="13" t="s">
        <v>56</v>
      </c>
      <c r="L16" s="14" t="str">
        <f t="shared" si="2"/>
        <v>55M / 60H</v>
      </c>
      <c r="M16" s="15" t="s">
        <v>56</v>
      </c>
      <c r="N16" s="16">
        <v>0</v>
      </c>
      <c r="O16" s="16">
        <v>0</v>
      </c>
      <c r="P16" s="16">
        <v>0</v>
      </c>
      <c r="Q16" s="17">
        <v>0</v>
      </c>
      <c r="R16" s="14" t="str">
        <f t="shared" si="3"/>
        <v>55M / 60H</v>
      </c>
      <c r="S16" s="15" t="s">
        <v>56</v>
      </c>
      <c r="T16" s="16">
        <v>0</v>
      </c>
      <c r="U16" s="16">
        <v>0</v>
      </c>
      <c r="V16" s="16">
        <v>0</v>
      </c>
      <c r="W16" s="17">
        <v>0</v>
      </c>
      <c r="Y16" s="25" t="s">
        <v>77</v>
      </c>
      <c r="Z16" s="31">
        <f>AH14</f>
        <v>60.734999999999992</v>
      </c>
      <c r="AA16" s="32">
        <f>AI14</f>
        <v>56.330000000000005</v>
      </c>
      <c r="AG16" s="36" t="s">
        <v>78</v>
      </c>
    </row>
    <row r="17" spans="2:27" ht="15" customHeight="1">
      <c r="B17" s="8">
        <v>2022</v>
      </c>
      <c r="C17" s="9">
        <v>181243</v>
      </c>
      <c r="D17" s="9">
        <v>996419</v>
      </c>
      <c r="E17" s="10">
        <f t="shared" si="0"/>
        <v>0.18189436371646867</v>
      </c>
      <c r="F17" s="9">
        <v>219393</v>
      </c>
      <c r="G17" s="9">
        <v>1278635</v>
      </c>
      <c r="H17" s="10">
        <f t="shared" si="1"/>
        <v>0.1715837592432555</v>
      </c>
      <c r="I17" s="11">
        <v>1212</v>
      </c>
      <c r="J17" s="12">
        <v>5.9324000000000002E-2</v>
      </c>
      <c r="K17" s="13" t="s">
        <v>56</v>
      </c>
      <c r="L17" s="14" t="str">
        <f t="shared" si="2"/>
        <v>55M / 60H</v>
      </c>
      <c r="M17" s="15" t="s">
        <v>56</v>
      </c>
      <c r="N17" s="16">
        <v>0</v>
      </c>
      <c r="O17" s="16">
        <v>0</v>
      </c>
      <c r="P17" s="16">
        <v>0</v>
      </c>
      <c r="Q17" s="17">
        <v>0</v>
      </c>
      <c r="R17" s="14" t="str">
        <f t="shared" si="3"/>
        <v>55M / 60H</v>
      </c>
      <c r="S17" s="15" t="s">
        <v>56</v>
      </c>
      <c r="T17" s="16">
        <v>0</v>
      </c>
      <c r="U17" s="16">
        <v>0</v>
      </c>
      <c r="V17" s="16">
        <v>0</v>
      </c>
      <c r="W17" s="17">
        <v>0</v>
      </c>
      <c r="Y17" s="25" t="s">
        <v>79</v>
      </c>
      <c r="Z17" s="34">
        <f>IF($Z$6="Idade média efetiva",ROUND(12*(Z16-Z14),0),0)</f>
        <v>9</v>
      </c>
      <c r="AA17" s="35">
        <f>IF($Z$6="Idade média efetiva",ROUND(12*(AA16-AA14),0),0)</f>
        <v>16</v>
      </c>
    </row>
    <row r="18" spans="2:27" ht="15" customHeight="1">
      <c r="B18" s="8">
        <v>2023</v>
      </c>
      <c r="C18" s="9">
        <v>198543</v>
      </c>
      <c r="D18" s="9">
        <v>1018596</v>
      </c>
      <c r="E18" s="10">
        <f t="shared" si="0"/>
        <v>0.19491829930610369</v>
      </c>
      <c r="F18" s="9">
        <v>240257</v>
      </c>
      <c r="G18" s="9">
        <v>1286407</v>
      </c>
      <c r="H18" s="10">
        <f t="shared" si="1"/>
        <v>0.18676593022270557</v>
      </c>
      <c r="I18" s="11">
        <v>1320</v>
      </c>
      <c r="J18" s="12">
        <v>3.7069999999999999E-2</v>
      </c>
      <c r="K18" s="13" t="s">
        <v>56</v>
      </c>
      <c r="L18" s="14" t="str">
        <f t="shared" si="2"/>
        <v>55M / 60H</v>
      </c>
      <c r="M18" s="15" t="s">
        <v>56</v>
      </c>
      <c r="N18" s="16">
        <v>0</v>
      </c>
      <c r="O18" s="16">
        <v>0</v>
      </c>
      <c r="P18" s="16">
        <v>0</v>
      </c>
      <c r="Q18" s="17">
        <v>0</v>
      </c>
      <c r="R18" s="14" t="str">
        <f t="shared" si="3"/>
        <v>55M / 60H</v>
      </c>
      <c r="S18" s="15" t="s">
        <v>56</v>
      </c>
      <c r="T18" s="16">
        <v>0</v>
      </c>
      <c r="U18" s="16">
        <v>0</v>
      </c>
      <c r="V18" s="16">
        <v>0</v>
      </c>
      <c r="W18" s="17">
        <v>0</v>
      </c>
      <c r="Y18" s="25" t="s">
        <v>80</v>
      </c>
      <c r="Z18" s="71">
        <v>2027</v>
      </c>
      <c r="AA18" s="72"/>
    </row>
    <row r="19" spans="2:27" ht="15" customHeight="1">
      <c r="B19" s="8">
        <v>2024</v>
      </c>
      <c r="C19" s="9">
        <v>180610</v>
      </c>
      <c r="D19" s="9">
        <v>1041403</v>
      </c>
      <c r="E19" s="10">
        <f t="shared" si="0"/>
        <v>0.17342949847465391</v>
      </c>
      <c r="F19" s="9">
        <v>211739</v>
      </c>
      <c r="G19" s="9">
        <v>1296107</v>
      </c>
      <c r="H19" s="10">
        <f t="shared" si="1"/>
        <v>0.1633653702973597</v>
      </c>
      <c r="I19" s="11">
        <v>1412</v>
      </c>
      <c r="J19" s="12">
        <v>4.7699999999999999E-2</v>
      </c>
      <c r="K19" s="13" t="s">
        <v>56</v>
      </c>
      <c r="L19" s="14" t="str">
        <f t="shared" si="2"/>
        <v>55M / 60H</v>
      </c>
      <c r="M19" s="15" t="s">
        <v>56</v>
      </c>
      <c r="N19" s="16">
        <v>0</v>
      </c>
      <c r="O19" s="16">
        <v>0</v>
      </c>
      <c r="P19" s="16">
        <v>0</v>
      </c>
      <c r="Q19" s="17">
        <v>0</v>
      </c>
      <c r="R19" s="14" t="str">
        <f t="shared" si="3"/>
        <v>55M / 60H</v>
      </c>
      <c r="S19" s="15" t="s">
        <v>56</v>
      </c>
      <c r="T19" s="16">
        <v>0</v>
      </c>
      <c r="U19" s="16">
        <v>0</v>
      </c>
      <c r="V19" s="16">
        <v>0</v>
      </c>
      <c r="W19" s="17">
        <v>0</v>
      </c>
      <c r="Y19" s="25" t="s">
        <v>81</v>
      </c>
      <c r="Z19" s="71">
        <v>2</v>
      </c>
      <c r="AA19" s="72"/>
    </row>
    <row r="20" spans="2:27" ht="15" customHeight="1" thickBot="1">
      <c r="B20" s="8">
        <v>2025</v>
      </c>
      <c r="C20" s="38">
        <f t="shared" ref="C20:C55" si="4">D20*E20</f>
        <v>176201.88968424601</v>
      </c>
      <c r="D20" s="9">
        <v>1061714</v>
      </c>
      <c r="E20" s="10">
        <f t="shared" ref="E20:E55" si="5">AVERAGE($E$15:$E$19)</f>
        <v>0.16595984387909174</v>
      </c>
      <c r="F20" s="38">
        <f t="shared" ref="F20:F55" si="6">G20*H20</f>
        <v>205285.49154251546</v>
      </c>
      <c r="G20" s="9">
        <v>1308929</v>
      </c>
      <c r="H20" s="10">
        <f t="shared" ref="H20:H55" si="7">AVERAGE($H$15:$H$19)</f>
        <v>0.15683470344267372</v>
      </c>
      <c r="I20" s="11">
        <v>1518</v>
      </c>
      <c r="J20" s="12">
        <v>3.9E-2</v>
      </c>
      <c r="K20" s="13" t="s">
        <v>56</v>
      </c>
      <c r="L20" s="14" t="str">
        <f t="shared" si="2"/>
        <v>55M / 60H</v>
      </c>
      <c r="M20" s="15" t="s">
        <v>56</v>
      </c>
      <c r="N20" s="16">
        <v>0</v>
      </c>
      <c r="O20" s="16">
        <v>0</v>
      </c>
      <c r="P20" s="16">
        <v>0</v>
      </c>
      <c r="Q20" s="17">
        <v>0</v>
      </c>
      <c r="R20" s="14" t="str">
        <f t="shared" si="3"/>
        <v>55M / 60H</v>
      </c>
      <c r="S20" s="15" t="s">
        <v>56</v>
      </c>
      <c r="T20" s="16">
        <v>0</v>
      </c>
      <c r="U20" s="16">
        <v>0</v>
      </c>
      <c r="V20" s="16">
        <v>0</v>
      </c>
      <c r="W20" s="17">
        <v>0</v>
      </c>
      <c r="Y20" s="37" t="s">
        <v>82</v>
      </c>
      <c r="Z20" s="73">
        <v>13</v>
      </c>
      <c r="AA20" s="74"/>
    </row>
    <row r="21" spans="2:27" ht="15" customHeight="1">
      <c r="B21" s="8">
        <v>2026</v>
      </c>
      <c r="C21" s="38">
        <f t="shared" si="4"/>
        <v>178600.83922751827</v>
      </c>
      <c r="D21" s="9">
        <v>1076169</v>
      </c>
      <c r="E21" s="10">
        <f t="shared" si="5"/>
        <v>0.16595984387909174</v>
      </c>
      <c r="F21" s="38">
        <f t="shared" si="6"/>
        <v>207827.46841591434</v>
      </c>
      <c r="G21" s="9">
        <v>1325137</v>
      </c>
      <c r="H21" s="10">
        <f t="shared" si="7"/>
        <v>0.15683470344267372</v>
      </c>
      <c r="I21" s="11">
        <v>1621</v>
      </c>
      <c r="J21" s="12">
        <v>3.7600000000000001E-2</v>
      </c>
      <c r="K21" s="40">
        <v>1</v>
      </c>
      <c r="L21" s="14" t="str">
        <f t="shared" si="2"/>
        <v>55M / 60H</v>
      </c>
      <c r="M21" s="15" t="s">
        <v>56</v>
      </c>
      <c r="N21" s="16">
        <v>0</v>
      </c>
      <c r="O21" s="16">
        <v>0</v>
      </c>
      <c r="P21" s="16">
        <v>0</v>
      </c>
      <c r="Q21" s="17">
        <v>0</v>
      </c>
      <c r="R21" s="14" t="str">
        <f t="shared" si="3"/>
        <v>55M / 60H</v>
      </c>
      <c r="S21" s="15" t="s">
        <v>56</v>
      </c>
      <c r="T21" s="16">
        <v>0</v>
      </c>
      <c r="U21" s="16">
        <v>0</v>
      </c>
      <c r="V21" s="16">
        <v>0</v>
      </c>
      <c r="W21" s="17">
        <v>0</v>
      </c>
      <c r="Y21" s="24" t="s">
        <v>83</v>
      </c>
    </row>
    <row r="22" spans="2:27" ht="15" customHeight="1">
      <c r="B22" s="8">
        <v>2027</v>
      </c>
      <c r="C22" s="38">
        <f t="shared" si="4"/>
        <v>180313.87673603828</v>
      </c>
      <c r="D22" s="9">
        <v>1086491</v>
      </c>
      <c r="E22" s="10">
        <f t="shared" si="5"/>
        <v>0.16595984387909174</v>
      </c>
      <c r="F22" s="38">
        <f t="shared" si="6"/>
        <v>210859.08323346122</v>
      </c>
      <c r="G22" s="9">
        <v>1344467</v>
      </c>
      <c r="H22" s="10">
        <f t="shared" si="7"/>
        <v>0.15683470344267372</v>
      </c>
      <c r="I22" s="11">
        <v>1716.9631999999999</v>
      </c>
      <c r="J22" s="12">
        <v>3.0599999999999999E-2</v>
      </c>
      <c r="K22" s="41">
        <f t="shared" ref="K22:K55" si="8">K21*(1+J22)</f>
        <v>1.0306</v>
      </c>
      <c r="L22" s="14" t="str">
        <f t="shared" si="2"/>
        <v>62M / 65H</v>
      </c>
      <c r="M22" s="38">
        <f t="shared" ref="M22:M55" si="9">SUMPRODUCT(($B$110:$B$245="Sem Transição")*$E$110:$E$245*$N$110:$U$245*(($D$110:$D$245+$N$109:$U$109)=$B22))</f>
        <v>97670.016565354061</v>
      </c>
      <c r="N22" s="16">
        <f t="shared" ref="N22:N55" si="10">M22*I22</f>
        <v>167695824.18610331</v>
      </c>
      <c r="O22" s="16">
        <f>SUM(N$22:N22)</f>
        <v>167695824.18610331</v>
      </c>
      <c r="P22" s="42">
        <f t="shared" ref="P22:P55" si="11">N22/$K22</f>
        <v>162716693.36901158</v>
      </c>
      <c r="Q22" s="43">
        <f>SUM(P$22:P22)</f>
        <v>162716693.36901158</v>
      </c>
      <c r="R22" s="14" t="str">
        <f t="shared" si="3"/>
        <v>56M / 61H</v>
      </c>
      <c r="S22" s="38">
        <f t="shared" ref="S22:S55" si="12">SUMPRODUCT(($B$110:$B$245="Com Transição")*$E$110:$E$245*$N$110:$U$245*(($D$110:$D$245+$N$109:$U$109)=$B22))</f>
        <v>97670.016565354061</v>
      </c>
      <c r="T22" s="16">
        <f t="shared" ref="T22:T55" si="13">S22*I22</f>
        <v>167695824.18610331</v>
      </c>
      <c r="U22" s="16">
        <f>SUM(T$22:T22)</f>
        <v>167695824.18610331</v>
      </c>
      <c r="V22" s="42">
        <f t="shared" ref="V22:V55" si="14">T22/$K22</f>
        <v>162716693.36901158</v>
      </c>
      <c r="W22" s="43">
        <f>SUM(V$22:V22)</f>
        <v>162716693.36901158</v>
      </c>
      <c r="Y22" s="36" t="s">
        <v>84</v>
      </c>
    </row>
    <row r="23" spans="2:27" ht="15" customHeight="1">
      <c r="B23" s="8">
        <v>2028</v>
      </c>
      <c r="C23" s="38">
        <f t="shared" si="4"/>
        <v>181823.44747596249</v>
      </c>
      <c r="D23" s="9">
        <v>1095587</v>
      </c>
      <c r="E23" s="10">
        <f t="shared" si="5"/>
        <v>0.16595984387909174</v>
      </c>
      <c r="F23" s="38">
        <f t="shared" si="6"/>
        <v>213564.01136373699</v>
      </c>
      <c r="G23" s="9">
        <v>1361714</v>
      </c>
      <c r="H23" s="10">
        <f t="shared" si="7"/>
        <v>0.15683470344267372</v>
      </c>
      <c r="I23" s="11">
        <v>1811.9112649599999</v>
      </c>
      <c r="J23" s="12">
        <v>0.03</v>
      </c>
      <c r="K23" s="41">
        <f t="shared" si="8"/>
        <v>1.061518</v>
      </c>
      <c r="L23" s="14" t="str">
        <f t="shared" si="2"/>
        <v>62M / 65H</v>
      </c>
      <c r="M23" s="38">
        <f t="shared" si="9"/>
        <v>2541840.0194012681</v>
      </c>
      <c r="N23" s="16">
        <f t="shared" si="10"/>
        <v>4605588564.879302</v>
      </c>
      <c r="O23" s="16">
        <f>SUM(N$22:N23)</f>
        <v>4773284389.0654049</v>
      </c>
      <c r="P23" s="42">
        <f t="shared" si="11"/>
        <v>4338681553.0959454</v>
      </c>
      <c r="Q23" s="43">
        <f>SUM(P$22:P23)</f>
        <v>4501398246.4649572</v>
      </c>
      <c r="R23" s="14" t="str">
        <f t="shared" si="3"/>
        <v>56M / 61H</v>
      </c>
      <c r="S23" s="38">
        <f t="shared" si="12"/>
        <v>586837.78354291676</v>
      </c>
      <c r="T23" s="16">
        <f t="shared" si="13"/>
        <v>1063297990.7055689</v>
      </c>
      <c r="U23" s="16">
        <f>SUM(T$22:T23)</f>
        <v>1230993814.8916721</v>
      </c>
      <c r="V23" s="42">
        <f t="shared" si="14"/>
        <v>1001676835.1601847</v>
      </c>
      <c r="W23" s="43">
        <f>SUM(V$22:V23)</f>
        <v>1164393528.5291963</v>
      </c>
    </row>
    <row r="24" spans="2:27" ht="15" customHeight="1">
      <c r="B24" s="8">
        <v>2029</v>
      </c>
      <c r="C24" s="38">
        <f t="shared" si="4"/>
        <v>183806.0037709421</v>
      </c>
      <c r="D24" s="9">
        <v>1107533</v>
      </c>
      <c r="E24" s="10">
        <f t="shared" si="5"/>
        <v>0.16595984387909174</v>
      </c>
      <c r="F24" s="38">
        <f t="shared" si="6"/>
        <v>216512.66062316272</v>
      </c>
      <c r="G24" s="9">
        <v>1380515</v>
      </c>
      <c r="H24" s="10">
        <f t="shared" si="7"/>
        <v>0.15683470344267372</v>
      </c>
      <c r="I24" s="11">
        <v>1912.8347224182701</v>
      </c>
      <c r="J24" s="12">
        <v>0.03</v>
      </c>
      <c r="K24" s="41">
        <f t="shared" si="8"/>
        <v>1.0933635399999999</v>
      </c>
      <c r="L24" s="14" t="str">
        <f t="shared" si="2"/>
        <v>62M / 65H</v>
      </c>
      <c r="M24" s="38">
        <f t="shared" si="9"/>
        <v>7537456.3780507417</v>
      </c>
      <c r="N24" s="16">
        <f t="shared" si="10"/>
        <v>14417908278.64851</v>
      </c>
      <c r="O24" s="16">
        <f>SUM(N$22:N24)</f>
        <v>19191192667.713913</v>
      </c>
      <c r="P24" s="42">
        <f t="shared" si="11"/>
        <v>13186746906.384413</v>
      </c>
      <c r="Q24" s="43">
        <f>SUM(P$22:P24)</f>
        <v>17688145152.849369</v>
      </c>
      <c r="R24" s="14" t="str">
        <f t="shared" si="3"/>
        <v>57M / 62H</v>
      </c>
      <c r="S24" s="38">
        <f t="shared" si="12"/>
        <v>3175571.69787315</v>
      </c>
      <c r="T24" s="16">
        <f t="shared" si="13"/>
        <v>6074343807.2205019</v>
      </c>
      <c r="U24" s="16">
        <f>SUM(T$22:T24)</f>
        <v>7305337622.112174</v>
      </c>
      <c r="V24" s="42">
        <f t="shared" si="14"/>
        <v>5555648770.9664278</v>
      </c>
      <c r="W24" s="43">
        <f>SUM(V$22:V24)</f>
        <v>6720042299.4956245</v>
      </c>
      <c r="Y24" s="39"/>
    </row>
    <row r="25" spans="2:27" ht="15" customHeight="1">
      <c r="B25" s="8">
        <v>2030</v>
      </c>
      <c r="C25" s="38">
        <f t="shared" si="4"/>
        <v>186296.89506772341</v>
      </c>
      <c r="D25" s="9">
        <v>1122542</v>
      </c>
      <c r="E25" s="10">
        <f t="shared" si="5"/>
        <v>0.16595984387909174</v>
      </c>
      <c r="F25" s="38">
        <f t="shared" si="6"/>
        <v>221038.75332981485</v>
      </c>
      <c r="G25" s="9">
        <v>1409374</v>
      </c>
      <c r="H25" s="10">
        <f t="shared" si="7"/>
        <v>0.15683470344267372</v>
      </c>
      <c r="I25" s="11">
        <v>2019.7621834014501</v>
      </c>
      <c r="J25" s="12">
        <v>0.03</v>
      </c>
      <c r="K25" s="41">
        <f t="shared" si="8"/>
        <v>1.1261644462</v>
      </c>
      <c r="L25" s="14" t="str">
        <f t="shared" si="2"/>
        <v>62M / 65H</v>
      </c>
      <c r="M25" s="38">
        <f t="shared" si="9"/>
        <v>12706290.440317877</v>
      </c>
      <c r="N25" s="16">
        <f t="shared" si="10"/>
        <v>25663684922.669407</v>
      </c>
      <c r="O25" s="16">
        <f>SUM(N$22:N25)</f>
        <v>44854877590.383316</v>
      </c>
      <c r="P25" s="42">
        <f t="shared" si="11"/>
        <v>22788576756.499458</v>
      </c>
      <c r="Q25" s="43">
        <f>SUM(P$22:P25)</f>
        <v>40476721909.348831</v>
      </c>
      <c r="R25" s="14" t="str">
        <f t="shared" si="3"/>
        <v>57M / 62H</v>
      </c>
      <c r="S25" s="38">
        <f t="shared" si="12"/>
        <v>4836855.2713848334</v>
      </c>
      <c r="T25" s="16">
        <f t="shared" si="13"/>
        <v>9769297363.729044</v>
      </c>
      <c r="U25" s="16">
        <f>SUM(T$22:T25)</f>
        <v>17074634985.841217</v>
      </c>
      <c r="V25" s="42">
        <f t="shared" si="14"/>
        <v>8674840869.5492382</v>
      </c>
      <c r="W25" s="43">
        <f>SUM(V$22:V25)</f>
        <v>15394883169.044863</v>
      </c>
      <c r="Y25" s="39"/>
    </row>
    <row r="26" spans="2:27" ht="15" customHeight="1">
      <c r="B26" s="8">
        <v>2031</v>
      </c>
      <c r="C26" s="38">
        <f t="shared" si="4"/>
        <v>189167.33652745618</v>
      </c>
      <c r="D26" s="9">
        <v>1139838</v>
      </c>
      <c r="E26" s="10">
        <f t="shared" si="5"/>
        <v>0.16595984387909174</v>
      </c>
      <c r="F26" s="38">
        <f t="shared" si="6"/>
        <v>227465.99631159904</v>
      </c>
      <c r="G26" s="9">
        <v>1450355</v>
      </c>
      <c r="H26" s="10">
        <f t="shared" si="7"/>
        <v>0.15683470344267372</v>
      </c>
      <c r="I26" s="11">
        <v>2132.2629370169202</v>
      </c>
      <c r="J26" s="12">
        <v>0.03</v>
      </c>
      <c r="K26" s="41">
        <f t="shared" si="8"/>
        <v>1.1599493795860001</v>
      </c>
      <c r="L26" s="14" t="str">
        <f t="shared" si="2"/>
        <v>62M / 65H</v>
      </c>
      <c r="M26" s="38">
        <f t="shared" si="9"/>
        <v>17949386.706323311</v>
      </c>
      <c r="N26" s="16">
        <f t="shared" si="10"/>
        <v>38272812016.077408</v>
      </c>
      <c r="O26" s="16">
        <f>SUM(N$22:N26)</f>
        <v>83127689606.460724</v>
      </c>
      <c r="P26" s="42">
        <f t="shared" si="11"/>
        <v>32995243318.063961</v>
      </c>
      <c r="Q26" s="43">
        <f>SUM(P$22:P26)</f>
        <v>73471965227.412796</v>
      </c>
      <c r="R26" s="14" t="str">
        <f t="shared" si="3"/>
        <v>58M / 63H</v>
      </c>
      <c r="S26" s="38">
        <f t="shared" si="12"/>
        <v>7724101.2618037229</v>
      </c>
      <c r="T26" s="16">
        <f t="shared" si="13"/>
        <v>16469814842.309706</v>
      </c>
      <c r="U26" s="16">
        <f>SUM(T$22:T26)</f>
        <v>33544449828.150925</v>
      </c>
      <c r="V26" s="42">
        <f t="shared" si="14"/>
        <v>14198735851.893797</v>
      </c>
      <c r="W26" s="43">
        <f>SUM(V$22:V26)</f>
        <v>29593619020.93866</v>
      </c>
      <c r="Y26" s="39"/>
    </row>
    <row r="27" spans="2:27" ht="15" customHeight="1">
      <c r="B27" s="8">
        <v>2032</v>
      </c>
      <c r="C27" s="38">
        <f t="shared" si="4"/>
        <v>192404.21732247397</v>
      </c>
      <c r="D27" s="9">
        <v>1159342</v>
      </c>
      <c r="E27" s="10">
        <f t="shared" si="5"/>
        <v>0.16595984387909174</v>
      </c>
      <c r="F27" s="38">
        <f t="shared" si="6"/>
        <v>235068.87223038953</v>
      </c>
      <c r="G27" s="9">
        <v>1498832</v>
      </c>
      <c r="H27" s="10">
        <f t="shared" si="7"/>
        <v>0.15683470344267372</v>
      </c>
      <c r="I27" s="11">
        <v>2251.0299826087598</v>
      </c>
      <c r="J27" s="12">
        <v>0.03</v>
      </c>
      <c r="K27" s="41">
        <f t="shared" si="8"/>
        <v>1.1947478609735802</v>
      </c>
      <c r="L27" s="14" t="str">
        <f t="shared" si="2"/>
        <v>62M / 65H</v>
      </c>
      <c r="M27" s="38">
        <f t="shared" si="9"/>
        <v>22023216.940946098</v>
      </c>
      <c r="N27" s="16">
        <f t="shared" si="10"/>
        <v>49574921647.566841</v>
      </c>
      <c r="O27" s="16">
        <f>SUM(N$22:N27)</f>
        <v>132702611254.02756</v>
      </c>
      <c r="P27" s="42">
        <f t="shared" si="11"/>
        <v>41494045117.744812</v>
      </c>
      <c r="Q27" s="43">
        <f>SUM(P$22:P27)</f>
        <v>114966010345.15761</v>
      </c>
      <c r="R27" s="14" t="str">
        <f t="shared" si="3"/>
        <v>58M / 63H</v>
      </c>
      <c r="S27" s="38">
        <f t="shared" si="12"/>
        <v>10248731.116667625</v>
      </c>
      <c r="T27" s="16">
        <f t="shared" si="13"/>
        <v>23070201027.314178</v>
      </c>
      <c r="U27" s="16">
        <f>SUM(T$22:T27)</f>
        <v>56614650855.465103</v>
      </c>
      <c r="V27" s="42">
        <f t="shared" si="14"/>
        <v>19309681800.572262</v>
      </c>
      <c r="W27" s="43">
        <f>SUM(V$22:V27)</f>
        <v>48903300821.510925</v>
      </c>
      <c r="Y27" s="39"/>
    </row>
    <row r="28" spans="2:27" ht="15" customHeight="1">
      <c r="B28" s="8">
        <v>2033</v>
      </c>
      <c r="C28" s="38">
        <f t="shared" si="4"/>
        <v>195333.74048662771</v>
      </c>
      <c r="D28" s="9">
        <v>1176994</v>
      </c>
      <c r="E28" s="10">
        <f t="shared" si="5"/>
        <v>0.16595984387909174</v>
      </c>
      <c r="F28" s="38">
        <f t="shared" si="6"/>
        <v>243047.05359451837</v>
      </c>
      <c r="G28" s="9">
        <v>1549702</v>
      </c>
      <c r="H28" s="10">
        <f t="shared" si="7"/>
        <v>0.15683470344267372</v>
      </c>
      <c r="I28" s="11">
        <v>2361.7806577531101</v>
      </c>
      <c r="J28" s="12">
        <v>0.03</v>
      </c>
      <c r="K28" s="41">
        <f t="shared" si="8"/>
        <v>1.2305902968027878</v>
      </c>
      <c r="L28" s="14" t="str">
        <f t="shared" si="2"/>
        <v>62M / 65H</v>
      </c>
      <c r="M28" s="38">
        <f t="shared" si="9"/>
        <v>25139114.312577959</v>
      </c>
      <c r="N28" s="16">
        <f t="shared" si="10"/>
        <v>59373073936.490997</v>
      </c>
      <c r="O28" s="16">
        <f>SUM(N$22:N28)</f>
        <v>192075685190.51855</v>
      </c>
      <c r="P28" s="42">
        <f t="shared" si="11"/>
        <v>48247637000.510185</v>
      </c>
      <c r="Q28" s="43">
        <f>SUM(P$22:P28)</f>
        <v>163213647345.66779</v>
      </c>
      <c r="R28" s="14" t="str">
        <f t="shared" si="3"/>
        <v>59M / 64H</v>
      </c>
      <c r="S28" s="38">
        <f t="shared" si="12"/>
        <v>13334106.737813408</v>
      </c>
      <c r="T28" s="16">
        <f t="shared" si="13"/>
        <v>31492235381.783127</v>
      </c>
      <c r="U28" s="16">
        <f>SUM(T$22:T28)</f>
        <v>88106886237.24823</v>
      </c>
      <c r="V28" s="42">
        <f t="shared" si="14"/>
        <v>25591161789.267723</v>
      </c>
      <c r="W28" s="43">
        <f>SUM(V$22:V28)</f>
        <v>74494462610.778656</v>
      </c>
      <c r="Y28" s="39"/>
    </row>
    <row r="29" spans="2:27" ht="15" customHeight="1">
      <c r="B29" s="8">
        <v>2034</v>
      </c>
      <c r="C29" s="38">
        <f t="shared" si="4"/>
        <v>198579.91503290273</v>
      </c>
      <c r="D29" s="9">
        <v>1196554</v>
      </c>
      <c r="E29" s="10">
        <f t="shared" si="5"/>
        <v>0.16595984387909174</v>
      </c>
      <c r="F29" s="38">
        <f t="shared" si="6"/>
        <v>250194.79520391821</v>
      </c>
      <c r="G29" s="9">
        <v>1595277</v>
      </c>
      <c r="H29" s="10">
        <f t="shared" si="7"/>
        <v>0.15683470344267372</v>
      </c>
      <c r="I29" s="11">
        <v>2476.7993757856798</v>
      </c>
      <c r="J29" s="12">
        <v>0.03</v>
      </c>
      <c r="K29" s="41">
        <f t="shared" si="8"/>
        <v>1.2675080057068715</v>
      </c>
      <c r="L29" s="14" t="str">
        <f t="shared" si="2"/>
        <v>62M / 65H</v>
      </c>
      <c r="M29" s="38">
        <f t="shared" si="9"/>
        <v>26885931.841605373</v>
      </c>
      <c r="N29" s="16">
        <f t="shared" si="10"/>
        <v>66591059202.704521</v>
      </c>
      <c r="O29" s="16">
        <f>SUM(N$22:N29)</f>
        <v>258666744393.22308</v>
      </c>
      <c r="P29" s="42">
        <f t="shared" si="11"/>
        <v>52536992983.77813</v>
      </c>
      <c r="Q29" s="43">
        <f>SUM(P$22:P29)</f>
        <v>215750640329.44592</v>
      </c>
      <c r="R29" s="14" t="str">
        <f t="shared" si="3"/>
        <v>59M / 64H</v>
      </c>
      <c r="S29" s="38">
        <f t="shared" si="12"/>
        <v>16075067.104908438</v>
      </c>
      <c r="T29" s="16">
        <f t="shared" si="13"/>
        <v>39814716171.150131</v>
      </c>
      <c r="U29" s="16">
        <f>SUM(T$22:T29)</f>
        <v>127921602408.39836</v>
      </c>
      <c r="V29" s="42">
        <f t="shared" si="14"/>
        <v>31411806467.404537</v>
      </c>
      <c r="W29" s="43">
        <f>SUM(V$22:V29)</f>
        <v>105906269078.1832</v>
      </c>
      <c r="Y29" s="39"/>
    </row>
    <row r="30" spans="2:27" ht="15" customHeight="1">
      <c r="B30" s="8">
        <v>2035</v>
      </c>
      <c r="C30" s="38">
        <f t="shared" si="4"/>
        <v>203288.85964312809</v>
      </c>
      <c r="D30" s="9">
        <v>1224928</v>
      </c>
      <c r="E30" s="10">
        <f t="shared" si="5"/>
        <v>0.16595984387909174</v>
      </c>
      <c r="F30" s="38">
        <f t="shared" si="6"/>
        <v>255651.38820609573</v>
      </c>
      <c r="G30" s="9">
        <v>1630069</v>
      </c>
      <c r="H30" s="10">
        <f t="shared" si="7"/>
        <v>0.15683470344267372</v>
      </c>
      <c r="I30" s="11">
        <v>2596.4287856361302</v>
      </c>
      <c r="J30" s="12">
        <v>0.03</v>
      </c>
      <c r="K30" s="41">
        <f t="shared" si="8"/>
        <v>1.3055332458780777</v>
      </c>
      <c r="L30" s="14" t="str">
        <f t="shared" si="2"/>
        <v>62M / 65H</v>
      </c>
      <c r="M30" s="38">
        <f t="shared" si="9"/>
        <v>27470758.330619201</v>
      </c>
      <c r="N30" s="16">
        <f t="shared" si="10"/>
        <v>71325867692.873215</v>
      </c>
      <c r="O30" s="16">
        <f>SUM(N$22:N30)</f>
        <v>329992612086.09631</v>
      </c>
      <c r="P30" s="42">
        <f t="shared" si="11"/>
        <v>54633513101.308075</v>
      </c>
      <c r="Q30" s="43">
        <f>SUM(P$22:P30)</f>
        <v>270384153430.754</v>
      </c>
      <c r="R30" s="14" t="str">
        <f t="shared" si="3"/>
        <v>60M / 65H</v>
      </c>
      <c r="S30" s="38">
        <f t="shared" si="12"/>
        <v>19400085.381743044</v>
      </c>
      <c r="T30" s="16">
        <f t="shared" si="13"/>
        <v>50370940128.956329</v>
      </c>
      <c r="U30" s="16">
        <f>SUM(T$22:T30)</f>
        <v>178292542537.35468</v>
      </c>
      <c r="V30" s="42">
        <f t="shared" si="14"/>
        <v>38582656005.115944</v>
      </c>
      <c r="W30" s="43">
        <f>SUM(V$22:V30)</f>
        <v>144488925083.29913</v>
      </c>
      <c r="Y30" s="39"/>
    </row>
    <row r="31" spans="2:27" ht="15" customHeight="1">
      <c r="B31" s="8">
        <v>2036</v>
      </c>
      <c r="C31" s="38">
        <f t="shared" si="4"/>
        <v>209615.41485164294</v>
      </c>
      <c r="D31" s="9">
        <v>1263049</v>
      </c>
      <c r="E31" s="10">
        <f t="shared" si="5"/>
        <v>0.16595984387909174</v>
      </c>
      <c r="F31" s="38">
        <f t="shared" si="6"/>
        <v>258603.01732488684</v>
      </c>
      <c r="G31" s="9">
        <v>1648889</v>
      </c>
      <c r="H31" s="10">
        <f t="shared" si="7"/>
        <v>0.15683470344267372</v>
      </c>
      <c r="I31" s="11">
        <v>2720.27843871098</v>
      </c>
      <c r="J31" s="12">
        <v>0.03</v>
      </c>
      <c r="K31" s="41">
        <f t="shared" si="8"/>
        <v>1.34469924325442</v>
      </c>
      <c r="L31" s="14" t="str">
        <f t="shared" si="2"/>
        <v>62M / 65H</v>
      </c>
      <c r="M31" s="38">
        <f t="shared" si="9"/>
        <v>28128863.010847777</v>
      </c>
      <c r="N31" s="16">
        <f t="shared" si="10"/>
        <v>76518339553.864029</v>
      </c>
      <c r="O31" s="16">
        <f>SUM(N$22:N31)</f>
        <v>406510951639.96033</v>
      </c>
      <c r="P31" s="42">
        <f t="shared" si="11"/>
        <v>56903683063.489754</v>
      </c>
      <c r="Q31" s="43">
        <f>SUM(P$22:P31)</f>
        <v>327287836494.24377</v>
      </c>
      <c r="R31" s="14" t="str">
        <f t="shared" si="3"/>
        <v>60M / 65H</v>
      </c>
      <c r="S31" s="38">
        <f t="shared" si="12"/>
        <v>22363564.890652996</v>
      </c>
      <c r="T31" s="16">
        <f t="shared" si="13"/>
        <v>60835123384.757217</v>
      </c>
      <c r="U31" s="16">
        <f>SUM(T$22:T31)</f>
        <v>239127665922.11188</v>
      </c>
      <c r="V31" s="42">
        <f t="shared" si="14"/>
        <v>45240691321.819298</v>
      </c>
      <c r="W31" s="43">
        <f>SUM(V$22:V31)</f>
        <v>189729616405.11844</v>
      </c>
      <c r="Y31" s="39"/>
    </row>
    <row r="32" spans="2:27" ht="15" customHeight="1">
      <c r="B32" s="8">
        <v>2037</v>
      </c>
      <c r="C32" s="38">
        <f t="shared" si="4"/>
        <v>216931.75456905269</v>
      </c>
      <c r="D32" s="9">
        <v>1307134</v>
      </c>
      <c r="E32" s="10">
        <f t="shared" si="5"/>
        <v>0.16595984387909174</v>
      </c>
      <c r="F32" s="38">
        <f t="shared" si="6"/>
        <v>259555.4744788942</v>
      </c>
      <c r="G32" s="9">
        <v>1654962</v>
      </c>
      <c r="H32" s="10">
        <f t="shared" si="7"/>
        <v>0.15683470344267372</v>
      </c>
      <c r="I32" s="11">
        <v>2848.6755810181298</v>
      </c>
      <c r="J32" s="12">
        <v>0.03</v>
      </c>
      <c r="K32" s="41">
        <f t="shared" si="8"/>
        <v>1.3850402205520527</v>
      </c>
      <c r="L32" s="14" t="str">
        <f t="shared" si="2"/>
        <v>62M / 65H</v>
      </c>
      <c r="M32" s="38">
        <f t="shared" si="9"/>
        <v>28838866.068911891</v>
      </c>
      <c r="N32" s="16">
        <f t="shared" si="10"/>
        <v>82152573554.761612</v>
      </c>
      <c r="O32" s="16">
        <f>SUM(N$22:N32)</f>
        <v>488663525194.72192</v>
      </c>
      <c r="P32" s="42">
        <f t="shared" si="11"/>
        <v>59314215093.347282</v>
      </c>
      <c r="Q32" s="43">
        <f>SUM(P$22:P32)</f>
        <v>386602051587.59106</v>
      </c>
      <c r="R32" s="14" t="str">
        <f t="shared" si="3"/>
        <v>61M / 65H</v>
      </c>
      <c r="S32" s="38">
        <f t="shared" si="12"/>
        <v>24564785.544937622</v>
      </c>
      <c r="T32" s="16">
        <f t="shared" si="13"/>
        <v>69977104734.810944</v>
      </c>
      <c r="U32" s="16">
        <f>SUM(T$22:T32)</f>
        <v>309104770656.92285</v>
      </c>
      <c r="V32" s="42">
        <f t="shared" si="14"/>
        <v>50523518159.580452</v>
      </c>
      <c r="W32" s="43">
        <f>SUM(V$22:V32)</f>
        <v>240253134564.69888</v>
      </c>
      <c r="Y32" s="39"/>
    </row>
    <row r="33" spans="2:25" ht="15" customHeight="1">
      <c r="B33" s="8">
        <v>2038</v>
      </c>
      <c r="C33" s="38">
        <f t="shared" si="4"/>
        <v>224518.11095245375</v>
      </c>
      <c r="D33" s="9">
        <v>1352846</v>
      </c>
      <c r="E33" s="10">
        <f t="shared" si="5"/>
        <v>0.16595984387909174</v>
      </c>
      <c r="F33" s="38">
        <f t="shared" si="6"/>
        <v>260004.02173074023</v>
      </c>
      <c r="G33" s="9">
        <v>1657822</v>
      </c>
      <c r="H33" s="10">
        <f t="shared" si="7"/>
        <v>0.15683470344267372</v>
      </c>
      <c r="I33" s="11">
        <v>2980.8541279773799</v>
      </c>
      <c r="J33" s="12">
        <v>0.03</v>
      </c>
      <c r="K33" s="41">
        <f t="shared" si="8"/>
        <v>1.4265914271686142</v>
      </c>
      <c r="L33" s="14" t="str">
        <f t="shared" si="2"/>
        <v>62M / 65H</v>
      </c>
      <c r="M33" s="38">
        <f t="shared" si="9"/>
        <v>29562000.115712974</v>
      </c>
      <c r="N33" s="16">
        <f t="shared" si="10"/>
        <v>88120010076.190796</v>
      </c>
      <c r="O33" s="16">
        <f>SUM(N$22:N33)</f>
        <v>576783535270.91272</v>
      </c>
      <c r="P33" s="42">
        <f t="shared" si="11"/>
        <v>61769619807.042038</v>
      </c>
      <c r="Q33" s="43">
        <f>SUM(P$22:P33)</f>
        <v>448371671394.63312</v>
      </c>
      <c r="R33" s="14" t="str">
        <f t="shared" si="3"/>
        <v>61M / 65H</v>
      </c>
      <c r="S33" s="38">
        <f t="shared" si="12"/>
        <v>26551405.24573404</v>
      </c>
      <c r="T33" s="16">
        <f t="shared" si="13"/>
        <v>79145865930.346573</v>
      </c>
      <c r="U33" s="16">
        <f>SUM(T$22:T33)</f>
        <v>388250636587.26941</v>
      </c>
      <c r="V33" s="42">
        <f t="shared" si="14"/>
        <v>55479000099.859726</v>
      </c>
      <c r="W33" s="43">
        <f>SUM(V$22:V33)</f>
        <v>295732134664.55859</v>
      </c>
      <c r="Y33" s="39"/>
    </row>
    <row r="34" spans="2:25" ht="15" customHeight="1">
      <c r="B34" s="8">
        <v>2039</v>
      </c>
      <c r="C34" s="38">
        <f t="shared" si="4"/>
        <v>231423.20217673111</v>
      </c>
      <c r="D34" s="9">
        <v>1394453</v>
      </c>
      <c r="E34" s="10">
        <f t="shared" si="5"/>
        <v>0.16595984387909174</v>
      </c>
      <c r="F34" s="38">
        <f t="shared" si="6"/>
        <v>260414.30131494626</v>
      </c>
      <c r="G34" s="9">
        <v>1660438</v>
      </c>
      <c r="H34" s="10">
        <f t="shared" si="7"/>
        <v>0.15683470344267372</v>
      </c>
      <c r="I34" s="11">
        <v>3117.9734178643398</v>
      </c>
      <c r="J34" s="12">
        <v>0.03</v>
      </c>
      <c r="K34" s="41">
        <f t="shared" si="8"/>
        <v>1.4693891699836727</v>
      </c>
      <c r="L34" s="14" t="str">
        <f t="shared" si="2"/>
        <v>62M / 65H</v>
      </c>
      <c r="M34" s="38">
        <f t="shared" si="9"/>
        <v>30262191.21469589</v>
      </c>
      <c r="N34" s="16">
        <f t="shared" si="10"/>
        <v>94356707773.749542</v>
      </c>
      <c r="O34" s="16">
        <f>SUM(N$22:N34)</f>
        <v>671140243044.66223</v>
      </c>
      <c r="P34" s="42">
        <f t="shared" si="11"/>
        <v>64214919846.454292</v>
      </c>
      <c r="Q34" s="43">
        <f>SUM(P$22:P34)</f>
        <v>512586591241.0874</v>
      </c>
      <c r="R34" s="14" t="str">
        <f t="shared" si="3"/>
        <v>62M / 65H</v>
      </c>
      <c r="S34" s="38">
        <f t="shared" si="12"/>
        <v>28861572.517656486</v>
      </c>
      <c r="T34" s="16">
        <f t="shared" si="13"/>
        <v>89989615907.816895</v>
      </c>
      <c r="U34" s="16">
        <f>SUM(T$22:T34)</f>
        <v>478240252495.0863</v>
      </c>
      <c r="V34" s="42">
        <f t="shared" si="14"/>
        <v>61242874077.271729</v>
      </c>
      <c r="W34" s="43">
        <f>SUM(V$22:V34)</f>
        <v>356975008741.83032</v>
      </c>
      <c r="Y34" s="39"/>
    </row>
    <row r="35" spans="2:25" ht="15" customHeight="1">
      <c r="B35" s="8">
        <v>2040</v>
      </c>
      <c r="C35" s="38">
        <f t="shared" si="4"/>
        <v>236972.56743636017</v>
      </c>
      <c r="D35" s="9">
        <v>1427891</v>
      </c>
      <c r="E35" s="10">
        <f t="shared" si="5"/>
        <v>0.16595984387909174</v>
      </c>
      <c r="F35" s="38">
        <f t="shared" si="6"/>
        <v>259758.73225455589</v>
      </c>
      <c r="G35" s="9">
        <v>1656258</v>
      </c>
      <c r="H35" s="10">
        <f t="shared" si="7"/>
        <v>0.15683470344267372</v>
      </c>
      <c r="I35" s="11">
        <v>3259.84120837716</v>
      </c>
      <c r="J35" s="12">
        <v>0.03</v>
      </c>
      <c r="K35" s="41">
        <f t="shared" si="8"/>
        <v>1.5134708450831831</v>
      </c>
      <c r="L35" s="14" t="str">
        <f t="shared" si="2"/>
        <v>62M / 65H</v>
      </c>
      <c r="M35" s="38">
        <f t="shared" si="9"/>
        <v>30905627.184258122</v>
      </c>
      <c r="N35" s="16">
        <f t="shared" si="10"/>
        <v>100747437065.98601</v>
      </c>
      <c r="O35" s="16">
        <f>SUM(N$22:N35)</f>
        <v>771887680110.64819</v>
      </c>
      <c r="P35" s="42">
        <f t="shared" si="11"/>
        <v>66567147555.755356</v>
      </c>
      <c r="Q35" s="43">
        <f>SUM(P$22:P35)</f>
        <v>579153738796.84277</v>
      </c>
      <c r="R35" s="14" t="str">
        <f t="shared" si="3"/>
        <v>62M / 65H</v>
      </c>
      <c r="S35" s="38">
        <f t="shared" si="12"/>
        <v>30905627.184258122</v>
      </c>
      <c r="T35" s="16">
        <f t="shared" si="13"/>
        <v>100747437065.98601</v>
      </c>
      <c r="U35" s="16">
        <f>SUM(T$22:T35)</f>
        <v>578987689561.07227</v>
      </c>
      <c r="V35" s="42">
        <f t="shared" si="14"/>
        <v>66567147555.755356</v>
      </c>
      <c r="W35" s="43">
        <f>SUM(V$22:V35)</f>
        <v>423542156297.58569</v>
      </c>
      <c r="Y35" s="39"/>
    </row>
    <row r="36" spans="2:25" ht="15" customHeight="1">
      <c r="B36" s="8">
        <v>2041</v>
      </c>
      <c r="C36" s="38">
        <f t="shared" si="4"/>
        <v>240439.46857499442</v>
      </c>
      <c r="D36" s="9">
        <v>1448781</v>
      </c>
      <c r="E36" s="10">
        <f t="shared" si="5"/>
        <v>0.16595984387909174</v>
      </c>
      <c r="F36" s="38">
        <f t="shared" si="6"/>
        <v>257874.67696209907</v>
      </c>
      <c r="G36" s="9">
        <v>1644245</v>
      </c>
      <c r="H36" s="10">
        <f t="shared" si="7"/>
        <v>0.15683470344267372</v>
      </c>
      <c r="I36" s="11">
        <v>3406.53406275414</v>
      </c>
      <c r="J36" s="12">
        <v>0.03</v>
      </c>
      <c r="K36" s="41">
        <f t="shared" si="8"/>
        <v>1.5588749704356786</v>
      </c>
      <c r="L36" s="14" t="str">
        <f t="shared" si="2"/>
        <v>62M / 65H</v>
      </c>
      <c r="M36" s="38">
        <f t="shared" si="9"/>
        <v>31455897.732644808</v>
      </c>
      <c r="N36" s="16">
        <f t="shared" si="10"/>
        <v>107155587100.76526</v>
      </c>
      <c r="O36" s="16">
        <f>SUM(N$22:N36)</f>
        <v>879043267211.41345</v>
      </c>
      <c r="P36" s="42">
        <f t="shared" si="11"/>
        <v>68739051644.928986</v>
      </c>
      <c r="Q36" s="43">
        <f>SUM(P$22:P36)</f>
        <v>647892790441.77173</v>
      </c>
      <c r="R36" s="14" t="str">
        <f t="shared" si="3"/>
        <v>62M / 65H</v>
      </c>
      <c r="S36" s="38">
        <f t="shared" si="12"/>
        <v>31455897.732644808</v>
      </c>
      <c r="T36" s="16">
        <f t="shared" si="13"/>
        <v>107155587100.76526</v>
      </c>
      <c r="U36" s="16">
        <f>SUM(T$22:T36)</f>
        <v>686143276661.83752</v>
      </c>
      <c r="V36" s="42">
        <f t="shared" si="14"/>
        <v>68739051644.928986</v>
      </c>
      <c r="W36" s="43">
        <f>SUM(V$22:V36)</f>
        <v>492281207942.51465</v>
      </c>
      <c r="Y36" s="39"/>
    </row>
    <row r="37" spans="2:25" ht="15" customHeight="1">
      <c r="B37" s="8">
        <v>2042</v>
      </c>
      <c r="C37" s="38">
        <f t="shared" si="4"/>
        <v>242206.4430327751</v>
      </c>
      <c r="D37" s="9">
        <v>1459428</v>
      </c>
      <c r="E37" s="10">
        <f t="shared" si="5"/>
        <v>0.16595984387909174</v>
      </c>
      <c r="F37" s="38">
        <f t="shared" si="6"/>
        <v>255152.18334503769</v>
      </c>
      <c r="G37" s="9">
        <v>1626886</v>
      </c>
      <c r="H37" s="10">
        <f t="shared" si="7"/>
        <v>0.15683470344267372</v>
      </c>
      <c r="I37" s="11">
        <v>3557.7841751404198</v>
      </c>
      <c r="J37" s="12">
        <v>0.03</v>
      </c>
      <c r="K37" s="41">
        <f t="shared" si="8"/>
        <v>1.6056412195487491</v>
      </c>
      <c r="L37" s="14" t="str">
        <f t="shared" ref="L37:L55" si="15">IF($B37&lt;$Z$18,$AA$14&amp;"M / "&amp;$Z$14&amp;"H",$AA$15&amp;"M / "&amp;$Z$15&amp;"H")</f>
        <v>62M / 65H</v>
      </c>
      <c r="M37" s="38">
        <f t="shared" si="9"/>
        <v>31874920.480810873</v>
      </c>
      <c r="N37" s="16">
        <f t="shared" si="10"/>
        <v>113404087670.48819</v>
      </c>
      <c r="O37" s="16">
        <f>SUM(N$22:N37)</f>
        <v>992447354881.90161</v>
      </c>
      <c r="P37" s="42">
        <f t="shared" si="11"/>
        <v>70628535372.528229</v>
      </c>
      <c r="Q37" s="43">
        <f>SUM(P$22:P37)</f>
        <v>718521325814.29993</v>
      </c>
      <c r="R37" s="14" t="str">
        <f t="shared" ref="R37:R55" si="16">IF($B37&lt;$Z$18,$AA$14&amp;"M / "&amp;$Z$14&amp;"H",MIN($AA$15,$AA$14+1+INT(($B37-$Z$18)/$Z$19))&amp;"M / "&amp;MIN($Z$15,$Z$14+1+INT(($B37-$Z$18)/$Z$19))&amp;"H")</f>
        <v>62M / 65H</v>
      </c>
      <c r="S37" s="38">
        <f t="shared" si="12"/>
        <v>31874920.480810873</v>
      </c>
      <c r="T37" s="16">
        <f t="shared" si="13"/>
        <v>113404087670.48819</v>
      </c>
      <c r="U37" s="16">
        <f>SUM(T$22:T37)</f>
        <v>799547364332.32568</v>
      </c>
      <c r="V37" s="42">
        <f t="shared" si="14"/>
        <v>70628535372.528229</v>
      </c>
      <c r="W37" s="43">
        <f>SUM(V$22:V37)</f>
        <v>562909743315.04285</v>
      </c>
      <c r="Y37" s="39"/>
    </row>
    <row r="38" spans="2:25" ht="15" customHeight="1">
      <c r="B38" s="8">
        <v>2043</v>
      </c>
      <c r="C38" s="38">
        <f t="shared" si="4"/>
        <v>243586.06721494198</v>
      </c>
      <c r="D38" s="9">
        <v>1467741</v>
      </c>
      <c r="E38" s="10">
        <f t="shared" si="5"/>
        <v>0.16595984387909174</v>
      </c>
      <c r="F38" s="38">
        <f t="shared" si="6"/>
        <v>251654.29895415573</v>
      </c>
      <c r="G38" s="9">
        <v>1604583</v>
      </c>
      <c r="H38" s="10">
        <f t="shared" si="7"/>
        <v>0.15683470344267372</v>
      </c>
      <c r="I38" s="11">
        <v>3713.9709004290798</v>
      </c>
      <c r="J38" s="12">
        <v>0.03</v>
      </c>
      <c r="K38" s="41">
        <f t="shared" si="8"/>
        <v>1.6538104561352116</v>
      </c>
      <c r="L38" s="14" t="str">
        <f t="shared" si="15"/>
        <v>62M / 65H</v>
      </c>
      <c r="M38" s="38">
        <f t="shared" si="9"/>
        <v>32145366.258561555</v>
      </c>
      <c r="N38" s="16">
        <f t="shared" si="10"/>
        <v>119386954867.93242</v>
      </c>
      <c r="O38" s="16">
        <f>SUM(N$22:N38)</f>
        <v>1111834309749.834</v>
      </c>
      <c r="P38" s="42">
        <f t="shared" si="11"/>
        <v>72189019258.547745</v>
      </c>
      <c r="Q38" s="43">
        <f>SUM(P$22:P38)</f>
        <v>790710345072.84766</v>
      </c>
      <c r="R38" s="14" t="str">
        <f t="shared" si="16"/>
        <v>62M / 65H</v>
      </c>
      <c r="S38" s="38">
        <f t="shared" si="12"/>
        <v>32145366.258561555</v>
      </c>
      <c r="T38" s="16">
        <f t="shared" si="13"/>
        <v>119386954867.93242</v>
      </c>
      <c r="U38" s="16">
        <f>SUM(T$22:T38)</f>
        <v>918934319200.25806</v>
      </c>
      <c r="V38" s="42">
        <f t="shared" si="14"/>
        <v>72189019258.547745</v>
      </c>
      <c r="W38" s="43">
        <f>SUM(V$22:V38)</f>
        <v>635098762573.59058</v>
      </c>
      <c r="Y38" s="39"/>
    </row>
    <row r="39" spans="2:25" ht="15" customHeight="1">
      <c r="B39" s="8">
        <v>2044</v>
      </c>
      <c r="C39" s="38">
        <f t="shared" si="4"/>
        <v>244892.83502564597</v>
      </c>
      <c r="D39" s="9">
        <v>1475615</v>
      </c>
      <c r="E39" s="10">
        <f t="shared" si="5"/>
        <v>0.16595984387909174</v>
      </c>
      <c r="F39" s="38">
        <f t="shared" si="6"/>
        <v>248316.22912608186</v>
      </c>
      <c r="G39" s="9">
        <v>1583299</v>
      </c>
      <c r="H39" s="10">
        <f t="shared" si="7"/>
        <v>0.15683470344267372</v>
      </c>
      <c r="I39" s="11">
        <v>3875.5286345977502</v>
      </c>
      <c r="J39" s="12">
        <v>0.03</v>
      </c>
      <c r="K39" s="41">
        <f t="shared" si="8"/>
        <v>1.7034247698192679</v>
      </c>
      <c r="L39" s="14" t="str">
        <f t="shared" si="15"/>
        <v>62M / 65H</v>
      </c>
      <c r="M39" s="38">
        <f t="shared" si="9"/>
        <v>32279389.225483067</v>
      </c>
      <c r="N39" s="16">
        <f t="shared" si="10"/>
        <v>125099697250.68571</v>
      </c>
      <c r="O39" s="16">
        <f>SUM(N$22:N39)</f>
        <v>1236934007000.5198</v>
      </c>
      <c r="P39" s="42">
        <f t="shared" si="11"/>
        <v>73440106934.665924</v>
      </c>
      <c r="Q39" s="43">
        <f>SUM(P$22:P39)</f>
        <v>864150452007.51355</v>
      </c>
      <c r="R39" s="14" t="str">
        <f t="shared" si="16"/>
        <v>62M / 65H</v>
      </c>
      <c r="S39" s="38">
        <f t="shared" si="12"/>
        <v>32279389.225483067</v>
      </c>
      <c r="T39" s="16">
        <f t="shared" si="13"/>
        <v>125099697250.68571</v>
      </c>
      <c r="U39" s="16">
        <f>SUM(T$22:T39)</f>
        <v>1044034016450.9437</v>
      </c>
      <c r="V39" s="42">
        <f t="shared" si="14"/>
        <v>73440106934.665924</v>
      </c>
      <c r="W39" s="43">
        <f>SUM(V$22:V39)</f>
        <v>708538869508.25647</v>
      </c>
      <c r="Y39" s="39"/>
    </row>
    <row r="40" spans="2:25" ht="15" customHeight="1">
      <c r="B40" s="8">
        <v>2045</v>
      </c>
      <c r="C40" s="38">
        <f t="shared" si="4"/>
        <v>245117.04677472662</v>
      </c>
      <c r="D40" s="9">
        <v>1476966</v>
      </c>
      <c r="E40" s="10">
        <f t="shared" si="5"/>
        <v>0.16595984387909174</v>
      </c>
      <c r="F40" s="38">
        <f t="shared" si="6"/>
        <v>246159.90878844855</v>
      </c>
      <c r="G40" s="9">
        <v>1569550</v>
      </c>
      <c r="H40" s="10">
        <f t="shared" si="7"/>
        <v>0.15683470344267372</v>
      </c>
      <c r="I40" s="11">
        <v>4042.5639187489101</v>
      </c>
      <c r="J40" s="12">
        <v>0.03</v>
      </c>
      <c r="K40" s="41">
        <f t="shared" si="8"/>
        <v>1.754527512913846</v>
      </c>
      <c r="L40" s="14" t="str">
        <f t="shared" si="15"/>
        <v>62M / 65H</v>
      </c>
      <c r="M40" s="38">
        <f t="shared" si="9"/>
        <v>32296464.283178844</v>
      </c>
      <c r="N40" s="16">
        <f t="shared" si="10"/>
        <v>130560521214.34167</v>
      </c>
      <c r="O40" s="16">
        <f>SUM(N$22:N40)</f>
        <v>1367494528214.8613</v>
      </c>
      <c r="P40" s="42">
        <f t="shared" si="11"/>
        <v>74413493235.858246</v>
      </c>
      <c r="Q40" s="43">
        <f>SUM(P$22:P40)</f>
        <v>938563945243.37183</v>
      </c>
      <c r="R40" s="14" t="str">
        <f t="shared" si="16"/>
        <v>62M / 65H</v>
      </c>
      <c r="S40" s="38">
        <f t="shared" si="12"/>
        <v>32296464.283178844</v>
      </c>
      <c r="T40" s="16">
        <f t="shared" si="13"/>
        <v>130560521214.34167</v>
      </c>
      <c r="U40" s="16">
        <f>SUM(T$22:T40)</f>
        <v>1174594537665.2854</v>
      </c>
      <c r="V40" s="42">
        <f t="shared" si="14"/>
        <v>74413493235.858246</v>
      </c>
      <c r="W40" s="43">
        <f>SUM(V$22:V40)</f>
        <v>782952362744.11475</v>
      </c>
      <c r="Y40" s="39"/>
    </row>
    <row r="41" spans="2:25" ht="15" customHeight="1">
      <c r="B41" s="8">
        <v>2046</v>
      </c>
      <c r="C41" s="38">
        <f t="shared" si="4"/>
        <v>244020.71604606134</v>
      </c>
      <c r="D41" s="9">
        <v>1470360</v>
      </c>
      <c r="E41" s="10">
        <f t="shared" si="5"/>
        <v>0.16595984387909174</v>
      </c>
      <c r="F41" s="38">
        <f t="shared" si="6"/>
        <v>245733.4752297879</v>
      </c>
      <c r="G41" s="9">
        <v>1566831</v>
      </c>
      <c r="H41" s="10">
        <f t="shared" si="7"/>
        <v>0.15683470344267372</v>
      </c>
      <c r="I41" s="11">
        <v>4214.7771416876203</v>
      </c>
      <c r="J41" s="12">
        <v>0.03</v>
      </c>
      <c r="K41" s="41">
        <f t="shared" si="8"/>
        <v>1.8071633383012615</v>
      </c>
      <c r="L41" s="14" t="str">
        <f t="shared" si="15"/>
        <v>62M / 65H</v>
      </c>
      <c r="M41" s="38">
        <f t="shared" si="9"/>
        <v>32216576.942524072</v>
      </c>
      <c r="N41" s="16">
        <f t="shared" si="10"/>
        <v>135785692080.7709</v>
      </c>
      <c r="O41" s="16">
        <f>SUM(N$22:N41)</f>
        <v>1503280220295.6323</v>
      </c>
      <c r="P41" s="42">
        <f t="shared" si="11"/>
        <v>75137476067.000031</v>
      </c>
      <c r="Q41" s="43">
        <f>SUM(P$22:P41)</f>
        <v>1013701421310.3718</v>
      </c>
      <c r="R41" s="14" t="str">
        <f t="shared" si="16"/>
        <v>62M / 65H</v>
      </c>
      <c r="S41" s="38">
        <f t="shared" si="12"/>
        <v>32216576.942524072</v>
      </c>
      <c r="T41" s="16">
        <f t="shared" si="13"/>
        <v>135785692080.7709</v>
      </c>
      <c r="U41" s="16">
        <f>SUM(T$22:T41)</f>
        <v>1310380229746.0564</v>
      </c>
      <c r="V41" s="42">
        <f t="shared" si="14"/>
        <v>75137476067.000031</v>
      </c>
      <c r="W41" s="43">
        <f>SUM(V$22:V41)</f>
        <v>858089838811.11475</v>
      </c>
      <c r="Y41" s="39"/>
    </row>
    <row r="42" spans="2:25" ht="15" customHeight="1">
      <c r="B42" s="8">
        <v>2047</v>
      </c>
      <c r="C42" s="38">
        <f t="shared" si="4"/>
        <v>242007.9550594957</v>
      </c>
      <c r="D42" s="9">
        <v>1458232</v>
      </c>
      <c r="E42" s="10">
        <f t="shared" si="5"/>
        <v>0.16595984387909174</v>
      </c>
      <c r="F42" s="38">
        <f t="shared" si="6"/>
        <v>246539.91927489013</v>
      </c>
      <c r="G42" s="9">
        <v>1571973</v>
      </c>
      <c r="H42" s="10">
        <f t="shared" si="7"/>
        <v>0.15683470344267372</v>
      </c>
      <c r="I42" s="11">
        <v>4392.2192593526597</v>
      </c>
      <c r="J42" s="12">
        <v>0.03</v>
      </c>
      <c r="K42" s="41">
        <f t="shared" si="8"/>
        <v>1.8613782384502995</v>
      </c>
      <c r="L42" s="14" t="str">
        <f t="shared" si="15"/>
        <v>62M / 65H</v>
      </c>
      <c r="M42" s="38">
        <f t="shared" si="9"/>
        <v>32072254.837581191</v>
      </c>
      <c r="N42" s="16">
        <f t="shared" si="10"/>
        <v>140868375388.49063</v>
      </c>
      <c r="O42" s="16">
        <f>SUM(N$22:N42)</f>
        <v>1644148595684.123</v>
      </c>
      <c r="P42" s="42">
        <f t="shared" si="11"/>
        <v>75679607980.037064</v>
      </c>
      <c r="Q42" s="43">
        <f>SUM(P$22:P42)</f>
        <v>1089381029290.4089</v>
      </c>
      <c r="R42" s="14" t="str">
        <f t="shared" si="16"/>
        <v>62M / 65H</v>
      </c>
      <c r="S42" s="38">
        <f t="shared" si="12"/>
        <v>32072254.837581191</v>
      </c>
      <c r="T42" s="16">
        <f t="shared" si="13"/>
        <v>140868375388.49063</v>
      </c>
      <c r="U42" s="16">
        <f>SUM(T$22:T42)</f>
        <v>1451248605134.5471</v>
      </c>
      <c r="V42" s="42">
        <f t="shared" si="14"/>
        <v>75679607980.037064</v>
      </c>
      <c r="W42" s="43">
        <f>SUM(V$22:V42)</f>
        <v>933769446791.15186</v>
      </c>
      <c r="Y42" s="39"/>
    </row>
    <row r="43" spans="2:25" ht="15" customHeight="1">
      <c r="B43" s="8">
        <v>2048</v>
      </c>
      <c r="C43" s="38">
        <f t="shared" si="4"/>
        <v>239297.00100973074</v>
      </c>
      <c r="D43" s="9">
        <v>1441897</v>
      </c>
      <c r="E43" s="10">
        <f t="shared" si="5"/>
        <v>0.16595984387909174</v>
      </c>
      <c r="F43" s="38">
        <f t="shared" si="6"/>
        <v>247454.57926536782</v>
      </c>
      <c r="G43" s="9">
        <v>1577805</v>
      </c>
      <c r="H43" s="10">
        <f t="shared" si="7"/>
        <v>0.15683470344267372</v>
      </c>
      <c r="I43" s="11">
        <v>4575.3748024676697</v>
      </c>
      <c r="J43" s="12">
        <v>0.03</v>
      </c>
      <c r="K43" s="41">
        <f t="shared" si="8"/>
        <v>1.9172195856038086</v>
      </c>
      <c r="L43" s="14" t="str">
        <f t="shared" si="15"/>
        <v>62M / 65H</v>
      </c>
      <c r="M43" s="38">
        <f t="shared" si="9"/>
        <v>31898823.156095114</v>
      </c>
      <c r="N43" s="16">
        <f t="shared" si="10"/>
        <v>145949071696.76981</v>
      </c>
      <c r="O43" s="16">
        <f>SUM(N$22:N43)</f>
        <v>1790097667380.8928</v>
      </c>
      <c r="P43" s="42">
        <f t="shared" si="11"/>
        <v>76125381147.097275</v>
      </c>
      <c r="Q43" s="43">
        <f>SUM(P$22:P43)</f>
        <v>1165506410437.5061</v>
      </c>
      <c r="R43" s="14" t="str">
        <f t="shared" si="16"/>
        <v>62M / 65H</v>
      </c>
      <c r="S43" s="38">
        <f t="shared" si="12"/>
        <v>31898823.156095114</v>
      </c>
      <c r="T43" s="16">
        <f t="shared" si="13"/>
        <v>145949071696.76981</v>
      </c>
      <c r="U43" s="16">
        <f>SUM(T$22:T43)</f>
        <v>1597197676831.3169</v>
      </c>
      <c r="V43" s="42">
        <f t="shared" si="14"/>
        <v>76125381147.097275</v>
      </c>
      <c r="W43" s="43">
        <f>SUM(V$22:V43)</f>
        <v>1009894827938.2491</v>
      </c>
      <c r="Y43" s="39"/>
    </row>
    <row r="44" spans="2:25" ht="15" customHeight="1">
      <c r="B44" s="8">
        <v>2049</v>
      </c>
      <c r="C44" s="38">
        <f t="shared" si="4"/>
        <v>236788.51796949827</v>
      </c>
      <c r="D44" s="9">
        <v>1426782</v>
      </c>
      <c r="E44" s="10">
        <f t="shared" si="5"/>
        <v>0.16595984387909174</v>
      </c>
      <c r="F44" s="38">
        <f t="shared" si="6"/>
        <v>247865.01568427728</v>
      </c>
      <c r="G44" s="9">
        <v>1580422</v>
      </c>
      <c r="H44" s="10">
        <f t="shared" si="7"/>
        <v>0.15683470344267372</v>
      </c>
      <c r="I44" s="11">
        <v>4764.7953192898303</v>
      </c>
      <c r="J44" s="12">
        <v>0.03</v>
      </c>
      <c r="K44" s="41">
        <f t="shared" si="8"/>
        <v>1.9747361731719228</v>
      </c>
      <c r="L44" s="14" t="str">
        <f t="shared" si="15"/>
        <v>62M / 65H</v>
      </c>
      <c r="M44" s="38">
        <f t="shared" si="9"/>
        <v>31715670.174839646</v>
      </c>
      <c r="N44" s="16">
        <f t="shared" si="10"/>
        <v>151118676797.216</v>
      </c>
      <c r="O44" s="16">
        <f>SUM(N$22:N44)</f>
        <v>1941216344178.1089</v>
      </c>
      <c r="P44" s="42">
        <f t="shared" si="11"/>
        <v>76526008309.495544</v>
      </c>
      <c r="Q44" s="43">
        <f>SUM(P$22:P44)</f>
        <v>1242032418747.0017</v>
      </c>
      <c r="R44" s="14" t="str">
        <f t="shared" si="16"/>
        <v>62M / 65H</v>
      </c>
      <c r="S44" s="38">
        <f t="shared" si="12"/>
        <v>31715670.174839646</v>
      </c>
      <c r="T44" s="16">
        <f t="shared" si="13"/>
        <v>151118676797.216</v>
      </c>
      <c r="U44" s="16">
        <f>SUM(T$22:T44)</f>
        <v>1748316353628.533</v>
      </c>
      <c r="V44" s="42">
        <f t="shared" si="14"/>
        <v>76526008309.495544</v>
      </c>
      <c r="W44" s="43">
        <f>SUM(V$22:V44)</f>
        <v>1086420836247.7446</v>
      </c>
      <c r="Y44" s="39"/>
    </row>
    <row r="45" spans="2:25" ht="15" customHeight="1">
      <c r="B45" s="8">
        <v>2050</v>
      </c>
      <c r="C45" s="38">
        <f t="shared" si="4"/>
        <v>235371.88474214636</v>
      </c>
      <c r="D45" s="9">
        <v>1418246</v>
      </c>
      <c r="E45" s="10">
        <f t="shared" si="5"/>
        <v>0.16595984387909174</v>
      </c>
      <c r="F45" s="38">
        <f t="shared" si="6"/>
        <v>248103.40443351015</v>
      </c>
      <c r="G45" s="9">
        <v>1581942</v>
      </c>
      <c r="H45" s="10">
        <f t="shared" si="7"/>
        <v>0.15683470344267372</v>
      </c>
      <c r="I45" s="11">
        <v>4960.6284069126395</v>
      </c>
      <c r="J45" s="12">
        <v>0.03</v>
      </c>
      <c r="K45" s="41">
        <f t="shared" si="8"/>
        <v>2.0339782583670805</v>
      </c>
      <c r="L45" s="14" t="str">
        <f t="shared" si="15"/>
        <v>62M / 65H</v>
      </c>
      <c r="M45" s="38">
        <f t="shared" si="9"/>
        <v>31541521.016009253</v>
      </c>
      <c r="N45" s="16">
        <f t="shared" si="10"/>
        <v>156465765149.24753</v>
      </c>
      <c r="O45" s="16">
        <f>SUM(N$22:N45)</f>
        <v>2097682109327.3564</v>
      </c>
      <c r="P45" s="42">
        <f t="shared" si="11"/>
        <v>76925977210.229111</v>
      </c>
      <c r="Q45" s="43">
        <f>SUM(P$22:P45)</f>
        <v>1318958395957.2307</v>
      </c>
      <c r="R45" s="14" t="str">
        <f t="shared" si="16"/>
        <v>62M / 65H</v>
      </c>
      <c r="S45" s="38">
        <f t="shared" si="12"/>
        <v>31541521.016009253</v>
      </c>
      <c r="T45" s="16">
        <f t="shared" si="13"/>
        <v>156465765149.24753</v>
      </c>
      <c r="U45" s="16">
        <f>SUM(T$22:T45)</f>
        <v>1904782118777.7805</v>
      </c>
      <c r="V45" s="42">
        <f t="shared" si="14"/>
        <v>76925977210.229111</v>
      </c>
      <c r="W45" s="43">
        <f>SUM(V$22:V45)</f>
        <v>1163346813457.9736</v>
      </c>
      <c r="Y45" s="39"/>
    </row>
    <row r="46" spans="2:25" ht="15" customHeight="1">
      <c r="B46" s="8">
        <v>2051</v>
      </c>
      <c r="C46" s="38">
        <f t="shared" si="4"/>
        <v>235542.15954196628</v>
      </c>
      <c r="D46" s="9">
        <v>1419272</v>
      </c>
      <c r="E46" s="10">
        <f t="shared" si="5"/>
        <v>0.16595984387909174</v>
      </c>
      <c r="F46" s="38">
        <f t="shared" si="6"/>
        <v>247972.44745613553</v>
      </c>
      <c r="G46" s="9">
        <v>1581107</v>
      </c>
      <c r="H46" s="10">
        <f t="shared" si="7"/>
        <v>0.15683470344267372</v>
      </c>
      <c r="I46" s="11">
        <v>5163.0220459146803</v>
      </c>
      <c r="J46" s="12">
        <v>0.03</v>
      </c>
      <c r="K46" s="41">
        <f t="shared" si="8"/>
        <v>2.0949976061180928</v>
      </c>
      <c r="L46" s="14" t="str">
        <f t="shared" si="15"/>
        <v>62M / 65H</v>
      </c>
      <c r="M46" s="38">
        <f t="shared" si="9"/>
        <v>31402047.531544559</v>
      </c>
      <c r="N46" s="16">
        <f t="shared" si="10"/>
        <v>162129463692.22522</v>
      </c>
      <c r="O46" s="16">
        <f>SUM(N$22:N46)</f>
        <v>2259811573019.5815</v>
      </c>
      <c r="P46" s="42">
        <f t="shared" si="11"/>
        <v>77388853915.036957</v>
      </c>
      <c r="Q46" s="43">
        <f>SUM(P$22:P46)</f>
        <v>1396347249872.2676</v>
      </c>
      <c r="R46" s="14" t="str">
        <f t="shared" si="16"/>
        <v>62M / 65H</v>
      </c>
      <c r="S46" s="38">
        <f t="shared" si="12"/>
        <v>31402047.531544559</v>
      </c>
      <c r="T46" s="16">
        <f t="shared" si="13"/>
        <v>162129463692.22522</v>
      </c>
      <c r="U46" s="16">
        <f>SUM(T$22:T46)</f>
        <v>2066911582470.0059</v>
      </c>
      <c r="V46" s="42">
        <f t="shared" si="14"/>
        <v>77388853915.036957</v>
      </c>
      <c r="W46" s="43">
        <f>SUM(V$22:V46)</f>
        <v>1240735667373.0105</v>
      </c>
      <c r="Y46" s="39"/>
    </row>
    <row r="47" spans="2:25" ht="15" customHeight="1">
      <c r="B47" s="8">
        <v>2052</v>
      </c>
      <c r="C47" s="38">
        <f t="shared" si="4"/>
        <v>236872.65961034497</v>
      </c>
      <c r="D47" s="9">
        <v>1427289</v>
      </c>
      <c r="E47" s="10">
        <f t="shared" si="5"/>
        <v>0.16595984387909174</v>
      </c>
      <c r="F47" s="38">
        <f t="shared" si="6"/>
        <v>247439.99363794766</v>
      </c>
      <c r="G47" s="9">
        <v>1577712</v>
      </c>
      <c r="H47" s="10">
        <f t="shared" si="7"/>
        <v>0.15683470344267372</v>
      </c>
      <c r="I47" s="11">
        <v>5371.60813656963</v>
      </c>
      <c r="J47" s="12">
        <v>0.03</v>
      </c>
      <c r="K47" s="41">
        <f t="shared" si="8"/>
        <v>2.1578475343016357</v>
      </c>
      <c r="L47" s="14" t="str">
        <f t="shared" si="15"/>
        <v>62M / 65H</v>
      </c>
      <c r="M47" s="38">
        <f t="shared" si="9"/>
        <v>31318029.414001111</v>
      </c>
      <c r="N47" s="16">
        <f t="shared" si="10"/>
        <v>168228181621.57538</v>
      </c>
      <c r="O47" s="16">
        <f>SUM(N$22:N47)</f>
        <v>2428039754641.1567</v>
      </c>
      <c r="P47" s="42">
        <f t="shared" si="11"/>
        <v>77961106587.644348</v>
      </c>
      <c r="Q47" s="43">
        <f>SUM(P$22:P47)</f>
        <v>1474308356459.9119</v>
      </c>
      <c r="R47" s="14" t="str">
        <f t="shared" si="16"/>
        <v>62M / 65H</v>
      </c>
      <c r="S47" s="38">
        <f t="shared" si="12"/>
        <v>31318029.414001111</v>
      </c>
      <c r="T47" s="16">
        <f t="shared" si="13"/>
        <v>168228181621.57538</v>
      </c>
      <c r="U47" s="16">
        <f>SUM(T$22:T47)</f>
        <v>2235139764091.5811</v>
      </c>
      <c r="V47" s="42">
        <f t="shared" si="14"/>
        <v>77961106587.644348</v>
      </c>
      <c r="W47" s="43">
        <f>SUM(V$22:V47)</f>
        <v>1318696773960.6548</v>
      </c>
      <c r="Y47" s="39"/>
    </row>
    <row r="48" spans="2:25" ht="15" customHeight="1">
      <c r="B48" s="8">
        <v>2053</v>
      </c>
      <c r="C48" s="38">
        <f t="shared" si="4"/>
        <v>238261.90946345686</v>
      </c>
      <c r="D48" s="9">
        <v>1435660</v>
      </c>
      <c r="E48" s="10">
        <f t="shared" si="5"/>
        <v>0.16595984387909174</v>
      </c>
      <c r="F48" s="38">
        <f t="shared" si="6"/>
        <v>246987.52551851553</v>
      </c>
      <c r="G48" s="9">
        <v>1574827</v>
      </c>
      <c r="H48" s="10">
        <f t="shared" si="7"/>
        <v>0.15683470344267372</v>
      </c>
      <c r="I48" s="11">
        <v>5586.4724620324196</v>
      </c>
      <c r="J48" s="12">
        <v>0.03</v>
      </c>
      <c r="K48" s="41">
        <f t="shared" si="8"/>
        <v>2.2225829603306848</v>
      </c>
      <c r="L48" s="14" t="str">
        <f t="shared" si="15"/>
        <v>62M / 65H</v>
      </c>
      <c r="M48" s="38">
        <f t="shared" si="9"/>
        <v>31291694.858819921</v>
      </c>
      <c r="N48" s="16">
        <f t="shared" si="10"/>
        <v>174810191619.11893</v>
      </c>
      <c r="O48" s="16">
        <f>SUM(N$22:N48)</f>
        <v>2602849946260.2759</v>
      </c>
      <c r="P48" s="42">
        <f t="shared" si="11"/>
        <v>78651818509.897141</v>
      </c>
      <c r="Q48" s="43">
        <f>SUM(P$22:P48)</f>
        <v>1552960174969.8091</v>
      </c>
      <c r="R48" s="14" t="str">
        <f t="shared" si="16"/>
        <v>62M / 65H</v>
      </c>
      <c r="S48" s="38">
        <f t="shared" si="12"/>
        <v>31291694.858819921</v>
      </c>
      <c r="T48" s="16">
        <f t="shared" si="13"/>
        <v>174810191619.11893</v>
      </c>
      <c r="U48" s="16">
        <f>SUM(T$22:T48)</f>
        <v>2409949955710.7002</v>
      </c>
      <c r="V48" s="42">
        <f t="shared" si="14"/>
        <v>78651818509.897141</v>
      </c>
      <c r="W48" s="43">
        <f>SUM(V$22:V48)</f>
        <v>1397348592470.552</v>
      </c>
      <c r="Y48" s="39"/>
    </row>
    <row r="49" spans="2:25" ht="15" customHeight="1">
      <c r="B49" s="8">
        <v>2054</v>
      </c>
      <c r="C49" s="38">
        <f t="shared" si="4"/>
        <v>239229.1234335842</v>
      </c>
      <c r="D49" s="9">
        <v>1441488</v>
      </c>
      <c r="E49" s="10">
        <f t="shared" si="5"/>
        <v>0.16595984387909174</v>
      </c>
      <c r="F49" s="38">
        <f t="shared" si="6"/>
        <v>246296.51181514713</v>
      </c>
      <c r="G49" s="9">
        <v>1570421</v>
      </c>
      <c r="H49" s="10">
        <f t="shared" si="7"/>
        <v>0.15683470344267372</v>
      </c>
      <c r="I49" s="11">
        <v>5808.8140660213103</v>
      </c>
      <c r="J49" s="12">
        <v>0.03</v>
      </c>
      <c r="K49" s="41">
        <f t="shared" si="8"/>
        <v>2.2892604491406052</v>
      </c>
      <c r="L49" s="14" t="str">
        <f t="shared" si="15"/>
        <v>62M / 65H</v>
      </c>
      <c r="M49" s="38">
        <f t="shared" si="9"/>
        <v>31307235.335923046</v>
      </c>
      <c r="N49" s="16">
        <f t="shared" si="10"/>
        <v>181857908987.54919</v>
      </c>
      <c r="O49" s="16">
        <f>SUM(N$22:N49)</f>
        <v>2784707855247.8252</v>
      </c>
      <c r="P49" s="42">
        <f t="shared" si="11"/>
        <v>79439588909.955246</v>
      </c>
      <c r="Q49" s="43">
        <f>SUM(P$22:P49)</f>
        <v>1632399763879.7644</v>
      </c>
      <c r="R49" s="14" t="str">
        <f t="shared" si="16"/>
        <v>62M / 65H</v>
      </c>
      <c r="S49" s="38">
        <f t="shared" si="12"/>
        <v>31307235.335923046</v>
      </c>
      <c r="T49" s="16">
        <f t="shared" si="13"/>
        <v>181857908987.54919</v>
      </c>
      <c r="U49" s="16">
        <f>SUM(T$22:T49)</f>
        <v>2591807864698.2495</v>
      </c>
      <c r="V49" s="42">
        <f t="shared" si="14"/>
        <v>79439588909.955246</v>
      </c>
      <c r="W49" s="43">
        <f>SUM(V$22:V49)</f>
        <v>1476788181380.5073</v>
      </c>
      <c r="Y49" s="39"/>
    </row>
    <row r="50" spans="2:25" ht="15" customHeight="1">
      <c r="B50" s="8">
        <v>2055</v>
      </c>
      <c r="C50" s="38">
        <f t="shared" si="4"/>
        <v>240288.7770367522</v>
      </c>
      <c r="D50" s="9">
        <v>1447873</v>
      </c>
      <c r="E50" s="10">
        <f t="shared" si="5"/>
        <v>0.16595984387909174</v>
      </c>
      <c r="F50" s="38">
        <f t="shared" si="6"/>
        <v>243837.02999575911</v>
      </c>
      <c r="G50" s="9">
        <v>1554739</v>
      </c>
      <c r="H50" s="10">
        <f t="shared" si="7"/>
        <v>0.15683470344267372</v>
      </c>
      <c r="I50" s="11">
        <v>6038.2622216291502</v>
      </c>
      <c r="J50" s="12">
        <v>0.03</v>
      </c>
      <c r="K50" s="41">
        <f t="shared" si="8"/>
        <v>2.3579382626148235</v>
      </c>
      <c r="L50" s="14" t="str">
        <f t="shared" si="15"/>
        <v>62M / 65H</v>
      </c>
      <c r="M50" s="38">
        <f t="shared" si="9"/>
        <v>31343746.64232716</v>
      </c>
      <c r="N50" s="16">
        <f t="shared" si="10"/>
        <v>189261761234.67963</v>
      </c>
      <c r="O50" s="16">
        <f>SUM(N$22:N50)</f>
        <v>2973969616482.5049</v>
      </c>
      <c r="P50" s="42">
        <f t="shared" si="11"/>
        <v>80265783135.814072</v>
      </c>
      <c r="Q50" s="43">
        <f>SUM(P$22:P50)</f>
        <v>1712665547015.5784</v>
      </c>
      <c r="R50" s="14" t="str">
        <f t="shared" si="16"/>
        <v>62M / 65H</v>
      </c>
      <c r="S50" s="38">
        <f t="shared" si="12"/>
        <v>31343746.64232716</v>
      </c>
      <c r="T50" s="16">
        <f t="shared" si="13"/>
        <v>189261761234.67963</v>
      </c>
      <c r="U50" s="16">
        <f>SUM(T$22:T50)</f>
        <v>2781069625932.9292</v>
      </c>
      <c r="V50" s="42">
        <f t="shared" si="14"/>
        <v>80265783135.814072</v>
      </c>
      <c r="W50" s="43">
        <f>SUM(V$22:V50)</f>
        <v>1557053964516.3213</v>
      </c>
      <c r="Y50" s="39"/>
    </row>
    <row r="51" spans="2:25" ht="15" customHeight="1">
      <c r="B51" s="8">
        <v>2056</v>
      </c>
      <c r="C51" s="38">
        <f t="shared" si="4"/>
        <v>241363.53298571319</v>
      </c>
      <c r="D51" s="9">
        <v>1454349</v>
      </c>
      <c r="E51" s="10">
        <f t="shared" si="5"/>
        <v>0.16595984387909174</v>
      </c>
      <c r="F51" s="38">
        <f t="shared" si="6"/>
        <v>238874.62314412947</v>
      </c>
      <c r="G51" s="9">
        <v>1523098</v>
      </c>
      <c r="H51" s="10">
        <f t="shared" si="7"/>
        <v>0.15683470344267372</v>
      </c>
      <c r="I51" s="11">
        <v>6274.9621007170099</v>
      </c>
      <c r="J51" s="12">
        <v>0.03</v>
      </c>
      <c r="K51" s="41">
        <f t="shared" si="8"/>
        <v>2.4286764104932681</v>
      </c>
      <c r="L51" s="14" t="str">
        <f t="shared" si="15"/>
        <v>62M / 65H</v>
      </c>
      <c r="M51" s="38">
        <f t="shared" si="9"/>
        <v>31378041.458910652</v>
      </c>
      <c r="N51" s="16">
        <f t="shared" si="10"/>
        <v>196896020949.39142</v>
      </c>
      <c r="O51" s="16">
        <f>SUM(N$22:N51)</f>
        <v>3170865637431.8965</v>
      </c>
      <c r="P51" s="42">
        <f t="shared" si="11"/>
        <v>81071327616.428543</v>
      </c>
      <c r="Q51" s="43">
        <f>SUM(P$22:P51)</f>
        <v>1793736874632.0068</v>
      </c>
      <c r="R51" s="14" t="str">
        <f t="shared" si="16"/>
        <v>62M / 65H</v>
      </c>
      <c r="S51" s="38">
        <f t="shared" si="12"/>
        <v>31378041.458910652</v>
      </c>
      <c r="T51" s="16">
        <f t="shared" si="13"/>
        <v>196896020949.39142</v>
      </c>
      <c r="U51" s="16">
        <f>SUM(T$22:T51)</f>
        <v>2977965646882.3208</v>
      </c>
      <c r="V51" s="42">
        <f t="shared" si="14"/>
        <v>81071327616.428543</v>
      </c>
      <c r="W51" s="43">
        <f>SUM(V$22:V51)</f>
        <v>1638125292132.7498</v>
      </c>
      <c r="Y51" s="39"/>
    </row>
    <row r="52" spans="2:25" ht="15" customHeight="1">
      <c r="B52" s="8">
        <v>2057</v>
      </c>
      <c r="C52" s="38">
        <f t="shared" si="4"/>
        <v>242316.97228879857</v>
      </c>
      <c r="D52" s="9">
        <v>1460094</v>
      </c>
      <c r="E52" s="10">
        <f t="shared" si="5"/>
        <v>0.16595984387909174</v>
      </c>
      <c r="F52" s="38">
        <f t="shared" si="6"/>
        <v>234153.74173580154</v>
      </c>
      <c r="G52" s="9">
        <v>1492997</v>
      </c>
      <c r="H52" s="10">
        <f t="shared" si="7"/>
        <v>0.15683470344267372</v>
      </c>
      <c r="I52" s="11">
        <v>6518.4306302248297</v>
      </c>
      <c r="J52" s="12">
        <v>0.03</v>
      </c>
      <c r="K52" s="41">
        <f t="shared" si="8"/>
        <v>2.5015367028080662</v>
      </c>
      <c r="L52" s="14" t="str">
        <f t="shared" si="15"/>
        <v>62M / 65H</v>
      </c>
      <c r="M52" s="38">
        <f t="shared" si="9"/>
        <v>31372535.794144031</v>
      </c>
      <c r="N52" s="16">
        <f t="shared" si="10"/>
        <v>204499698268.37329</v>
      </c>
      <c r="O52" s="16">
        <f>SUM(N$22:N52)</f>
        <v>3375365335700.2695</v>
      </c>
      <c r="P52" s="42">
        <f t="shared" si="11"/>
        <v>81749629353.355042</v>
      </c>
      <c r="Q52" s="43">
        <f>SUM(P$22:P52)</f>
        <v>1875486503985.3618</v>
      </c>
      <c r="R52" s="14" t="str">
        <f t="shared" si="16"/>
        <v>62M / 65H</v>
      </c>
      <c r="S52" s="38">
        <f t="shared" si="12"/>
        <v>31372535.794144031</v>
      </c>
      <c r="T52" s="16">
        <f t="shared" si="13"/>
        <v>204499698268.37329</v>
      </c>
      <c r="U52" s="16">
        <f>SUM(T$22:T52)</f>
        <v>3182465345150.6943</v>
      </c>
      <c r="V52" s="42">
        <f t="shared" si="14"/>
        <v>81749629353.355042</v>
      </c>
      <c r="W52" s="43">
        <f>SUM(V$22:V52)</f>
        <v>1719874921486.1047</v>
      </c>
    </row>
    <row r="53" spans="2:25" ht="15" customHeight="1">
      <c r="B53" s="8">
        <v>2058</v>
      </c>
      <c r="C53" s="38">
        <f t="shared" si="4"/>
        <v>243404.50714573826</v>
      </c>
      <c r="D53" s="9">
        <v>1466647</v>
      </c>
      <c r="E53" s="10">
        <f t="shared" si="5"/>
        <v>0.16595984387909174</v>
      </c>
      <c r="F53" s="38">
        <f t="shared" si="6"/>
        <v>230221.26838167993</v>
      </c>
      <c r="G53" s="9">
        <v>1467923</v>
      </c>
      <c r="H53" s="10">
        <f t="shared" si="7"/>
        <v>0.15683470344267372</v>
      </c>
      <c r="I53" s="11">
        <v>6770.0420525515101</v>
      </c>
      <c r="J53" s="12">
        <v>0.03</v>
      </c>
      <c r="K53" s="41">
        <f t="shared" si="8"/>
        <v>2.5765828038923084</v>
      </c>
      <c r="L53" s="14" t="str">
        <f t="shared" si="15"/>
        <v>62M / 65H</v>
      </c>
      <c r="M53" s="38">
        <f t="shared" si="9"/>
        <v>31299312.732648708</v>
      </c>
      <c r="N53" s="16">
        <f t="shared" si="10"/>
        <v>211897663415.99268</v>
      </c>
      <c r="O53" s="16">
        <f>SUM(N$22:N53)</f>
        <v>3587262999116.2622</v>
      </c>
      <c r="P53" s="42">
        <f t="shared" si="11"/>
        <v>82239803469.886551</v>
      </c>
      <c r="Q53" s="43">
        <f>SUM(P$22:P53)</f>
        <v>1957726307455.2483</v>
      </c>
      <c r="R53" s="14" t="str">
        <f t="shared" si="16"/>
        <v>62M / 65H</v>
      </c>
      <c r="S53" s="38">
        <f t="shared" si="12"/>
        <v>31299312.732648708</v>
      </c>
      <c r="T53" s="16">
        <f t="shared" si="13"/>
        <v>211897663415.99268</v>
      </c>
      <c r="U53" s="16">
        <f>SUM(T$22:T53)</f>
        <v>3394363008566.687</v>
      </c>
      <c r="V53" s="42">
        <f t="shared" si="14"/>
        <v>82239803469.886551</v>
      </c>
      <c r="W53" s="43">
        <f>SUM(V$22:V53)</f>
        <v>1802114724955.9912</v>
      </c>
    </row>
    <row r="54" spans="2:25" ht="15" customHeight="1">
      <c r="B54" s="8">
        <v>2059</v>
      </c>
      <c r="C54" s="38">
        <f t="shared" si="4"/>
        <v>244178.54385759035</v>
      </c>
      <c r="D54" s="9">
        <v>1471311</v>
      </c>
      <c r="E54" s="10">
        <f t="shared" si="5"/>
        <v>0.16595984387909174</v>
      </c>
      <c r="F54" s="38">
        <f t="shared" si="6"/>
        <v>227289.40043552261</v>
      </c>
      <c r="G54" s="9">
        <v>1449229</v>
      </c>
      <c r="H54" s="10">
        <f t="shared" si="7"/>
        <v>0.15683470344267372</v>
      </c>
      <c r="I54" s="11">
        <v>7030.0116673694902</v>
      </c>
      <c r="J54" s="12">
        <v>0.03</v>
      </c>
      <c r="K54" s="41">
        <f t="shared" si="8"/>
        <v>2.6538802880090779</v>
      </c>
      <c r="L54" s="14" t="str">
        <f t="shared" si="15"/>
        <v>62M / 65H</v>
      </c>
      <c r="M54" s="38">
        <f t="shared" si="9"/>
        <v>31170123.279379942</v>
      </c>
      <c r="N54" s="16">
        <f t="shared" si="10"/>
        <v>219126330327.38635</v>
      </c>
      <c r="O54" s="16">
        <f>SUM(N$22:N54)</f>
        <v>3806389329443.6484</v>
      </c>
      <c r="P54" s="42">
        <f t="shared" si="11"/>
        <v>82568279857.029037</v>
      </c>
      <c r="Q54" s="43">
        <f>SUM(P$22:P54)</f>
        <v>2040294587312.2773</v>
      </c>
      <c r="R54" s="14" t="str">
        <f t="shared" si="16"/>
        <v>62M / 65H</v>
      </c>
      <c r="S54" s="38">
        <f t="shared" si="12"/>
        <v>31170123.279379942</v>
      </c>
      <c r="T54" s="16">
        <f t="shared" si="13"/>
        <v>219126330327.38635</v>
      </c>
      <c r="U54" s="16">
        <f>SUM(T$22:T54)</f>
        <v>3613489338894.0732</v>
      </c>
      <c r="V54" s="42">
        <f t="shared" si="14"/>
        <v>82568279857.029037</v>
      </c>
      <c r="W54" s="43">
        <f>SUM(V$22:V54)</f>
        <v>1884683004813.0203</v>
      </c>
    </row>
    <row r="55" spans="2:25" ht="15" customHeight="1">
      <c r="B55" s="22">
        <v>2060</v>
      </c>
      <c r="C55" s="44">
        <f t="shared" si="4"/>
        <v>243093.33243846497</v>
      </c>
      <c r="D55" s="45">
        <v>1464772</v>
      </c>
      <c r="E55" s="46">
        <f t="shared" si="5"/>
        <v>0.16595984387909174</v>
      </c>
      <c r="F55" s="44">
        <f t="shared" si="6"/>
        <v>225132.60959377894</v>
      </c>
      <c r="G55" s="45">
        <v>1435477</v>
      </c>
      <c r="H55" s="46">
        <f t="shared" si="7"/>
        <v>0.15683470344267372</v>
      </c>
      <c r="I55" s="47">
        <v>7299.2611142297401</v>
      </c>
      <c r="J55" s="48">
        <v>0.03</v>
      </c>
      <c r="K55" s="84">
        <f t="shared" si="8"/>
        <v>2.7334966966493504</v>
      </c>
      <c r="L55" s="49" t="str">
        <f t="shared" si="15"/>
        <v>62M / 65H</v>
      </c>
      <c r="M55" s="44">
        <f t="shared" si="9"/>
        <v>30995844.79552215</v>
      </c>
      <c r="N55" s="50">
        <f t="shared" si="10"/>
        <v>226246764618.65509</v>
      </c>
      <c r="O55" s="50">
        <f>SUM(N$22:N55)</f>
        <v>4032636094062.3037</v>
      </c>
      <c r="P55" s="51">
        <f t="shared" si="11"/>
        <v>82768259751.688202</v>
      </c>
      <c r="Q55" s="85">
        <f>SUM(P$22:P55)</f>
        <v>2123062847063.9656</v>
      </c>
      <c r="R55" s="49" t="str">
        <f t="shared" si="16"/>
        <v>62M / 65H</v>
      </c>
      <c r="S55" s="44">
        <f t="shared" si="12"/>
        <v>30995844.79552215</v>
      </c>
      <c r="T55" s="50">
        <f t="shared" si="13"/>
        <v>226246764618.65509</v>
      </c>
      <c r="U55" s="50">
        <f>SUM(T$22:T55)</f>
        <v>3839736103512.7285</v>
      </c>
      <c r="V55" s="51">
        <f t="shared" si="14"/>
        <v>82768259751.688202</v>
      </c>
      <c r="W55" s="85">
        <f>SUM(V$22:V55)</f>
        <v>1967451264564.7085</v>
      </c>
    </row>
    <row r="56" spans="2:25" ht="15" customHeight="1">
      <c r="B56" s="24" t="s">
        <v>85</v>
      </c>
    </row>
    <row r="59" spans="2:25" ht="15" customHeight="1" collapsed="1" thickBot="1">
      <c r="B59" s="62" t="s">
        <v>86</v>
      </c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</row>
    <row r="60" spans="2:25" ht="15" hidden="1" customHeight="1" outlineLevel="1">
      <c r="B60" s="24" t="s">
        <v>87</v>
      </c>
    </row>
    <row r="61" spans="2:25" ht="15" hidden="1" customHeight="1" outlineLevel="1"/>
    <row r="62" spans="2:25" ht="15" hidden="1" customHeight="1" outlineLevel="1"/>
    <row r="63" spans="2:25" ht="15" hidden="1" customHeight="1" outlineLevel="1">
      <c r="B63" s="62" t="s">
        <v>88</v>
      </c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Q63" s="62" t="s">
        <v>89</v>
      </c>
      <c r="R63" s="62"/>
    </row>
    <row r="64" spans="2:25" ht="15" hidden="1" customHeight="1" outlineLevel="1">
      <c r="B64" s="5" t="s">
        <v>90</v>
      </c>
      <c r="C64" s="5">
        <v>0</v>
      </c>
      <c r="D64" s="5">
        <v>1</v>
      </c>
      <c r="E64" s="5">
        <v>2</v>
      </c>
      <c r="F64" s="5">
        <v>3</v>
      </c>
      <c r="G64" s="5">
        <v>4</v>
      </c>
      <c r="H64" s="5">
        <v>5</v>
      </c>
      <c r="I64" s="5">
        <v>6</v>
      </c>
      <c r="J64" s="5">
        <v>7</v>
      </c>
      <c r="K64" s="5">
        <v>8</v>
      </c>
      <c r="L64" s="5">
        <v>9</v>
      </c>
      <c r="M64" s="5">
        <v>10</v>
      </c>
      <c r="N64" s="5">
        <v>11</v>
      </c>
      <c r="O64" s="5">
        <v>12</v>
      </c>
      <c r="Q64" s="5" t="s">
        <v>91</v>
      </c>
      <c r="R64" s="5" t="s">
        <v>92</v>
      </c>
    </row>
    <row r="65" spans="2:18" ht="15" hidden="1" customHeight="1" outlineLevel="1">
      <c r="B65" s="52">
        <v>0</v>
      </c>
      <c r="C65" s="34">
        <f t="shared" ref="C65:O74" si="17">INDEX($R$65:$R$101,$B65+13)-INDEX($R$65:$R$101,$B65-C$64+13)</f>
        <v>0</v>
      </c>
      <c r="D65" s="34">
        <f t="shared" si="17"/>
        <v>0</v>
      </c>
      <c r="E65" s="34">
        <f t="shared" si="17"/>
        <v>0</v>
      </c>
      <c r="F65" s="34">
        <f t="shared" si="17"/>
        <v>0</v>
      </c>
      <c r="G65" s="34">
        <f t="shared" si="17"/>
        <v>0</v>
      </c>
      <c r="H65" s="34">
        <f t="shared" si="17"/>
        <v>0</v>
      </c>
      <c r="I65" s="34">
        <f t="shared" si="17"/>
        <v>0</v>
      </c>
      <c r="J65" s="34">
        <f t="shared" si="17"/>
        <v>0</v>
      </c>
      <c r="K65" s="34">
        <f t="shared" si="17"/>
        <v>0</v>
      </c>
      <c r="L65" s="34">
        <f t="shared" si="17"/>
        <v>0</v>
      </c>
      <c r="M65" s="34">
        <f t="shared" si="17"/>
        <v>0</v>
      </c>
      <c r="N65" s="34">
        <f t="shared" si="17"/>
        <v>0</v>
      </c>
      <c r="O65" s="34">
        <f t="shared" si="17"/>
        <v>0</v>
      </c>
      <c r="Q65" s="52">
        <v>-12</v>
      </c>
      <c r="R65" s="34">
        <f t="shared" ref="R65:R101" si="18">IF(Q65&lt;=0,0,IF(Q65&lt;=12,Q65*(Q65+1)/2,78+12*(Q65-12)))</f>
        <v>0</v>
      </c>
    </row>
    <row r="66" spans="2:18" ht="15" hidden="1" customHeight="1" outlineLevel="1">
      <c r="B66" s="52">
        <v>1</v>
      </c>
      <c r="C66" s="34">
        <f t="shared" si="17"/>
        <v>0</v>
      </c>
      <c r="D66" s="34">
        <f t="shared" si="17"/>
        <v>1</v>
      </c>
      <c r="E66" s="34">
        <f t="shared" si="17"/>
        <v>1</v>
      </c>
      <c r="F66" s="34">
        <f t="shared" si="17"/>
        <v>1</v>
      </c>
      <c r="G66" s="34">
        <f t="shared" si="17"/>
        <v>1</v>
      </c>
      <c r="H66" s="34">
        <f t="shared" si="17"/>
        <v>1</v>
      </c>
      <c r="I66" s="34">
        <f t="shared" si="17"/>
        <v>1</v>
      </c>
      <c r="J66" s="34">
        <f t="shared" si="17"/>
        <v>1</v>
      </c>
      <c r="K66" s="34">
        <f t="shared" si="17"/>
        <v>1</v>
      </c>
      <c r="L66" s="34">
        <f t="shared" si="17"/>
        <v>1</v>
      </c>
      <c r="M66" s="34">
        <f t="shared" si="17"/>
        <v>1</v>
      </c>
      <c r="N66" s="34">
        <f t="shared" si="17"/>
        <v>1</v>
      </c>
      <c r="O66" s="34">
        <f t="shared" si="17"/>
        <v>1</v>
      </c>
      <c r="Q66" s="52">
        <v>-11</v>
      </c>
      <c r="R66" s="34">
        <f t="shared" si="18"/>
        <v>0</v>
      </c>
    </row>
    <row r="67" spans="2:18" ht="15" hidden="1" customHeight="1" outlineLevel="1">
      <c r="B67" s="52">
        <v>2</v>
      </c>
      <c r="C67" s="34">
        <f t="shared" si="17"/>
        <v>0</v>
      </c>
      <c r="D67" s="34">
        <f t="shared" si="17"/>
        <v>2</v>
      </c>
      <c r="E67" s="34">
        <f t="shared" si="17"/>
        <v>3</v>
      </c>
      <c r="F67" s="34">
        <f t="shared" si="17"/>
        <v>3</v>
      </c>
      <c r="G67" s="34">
        <f t="shared" si="17"/>
        <v>3</v>
      </c>
      <c r="H67" s="34">
        <f t="shared" si="17"/>
        <v>3</v>
      </c>
      <c r="I67" s="34">
        <f t="shared" si="17"/>
        <v>3</v>
      </c>
      <c r="J67" s="34">
        <f t="shared" si="17"/>
        <v>3</v>
      </c>
      <c r="K67" s="34">
        <f t="shared" si="17"/>
        <v>3</v>
      </c>
      <c r="L67" s="34">
        <f t="shared" si="17"/>
        <v>3</v>
      </c>
      <c r="M67" s="34">
        <f t="shared" si="17"/>
        <v>3</v>
      </c>
      <c r="N67" s="34">
        <f t="shared" si="17"/>
        <v>3</v>
      </c>
      <c r="O67" s="34">
        <f t="shared" si="17"/>
        <v>3</v>
      </c>
      <c r="Q67" s="52">
        <v>-10</v>
      </c>
      <c r="R67" s="34">
        <f t="shared" si="18"/>
        <v>0</v>
      </c>
    </row>
    <row r="68" spans="2:18" ht="15" hidden="1" customHeight="1" outlineLevel="1">
      <c r="B68" s="52">
        <v>3</v>
      </c>
      <c r="C68" s="34">
        <f t="shared" si="17"/>
        <v>0</v>
      </c>
      <c r="D68" s="34">
        <f t="shared" si="17"/>
        <v>3</v>
      </c>
      <c r="E68" s="34">
        <f t="shared" si="17"/>
        <v>5</v>
      </c>
      <c r="F68" s="34">
        <f t="shared" si="17"/>
        <v>6</v>
      </c>
      <c r="G68" s="34">
        <f t="shared" si="17"/>
        <v>6</v>
      </c>
      <c r="H68" s="34">
        <f t="shared" si="17"/>
        <v>6</v>
      </c>
      <c r="I68" s="34">
        <f t="shared" si="17"/>
        <v>6</v>
      </c>
      <c r="J68" s="34">
        <f t="shared" si="17"/>
        <v>6</v>
      </c>
      <c r="K68" s="34">
        <f t="shared" si="17"/>
        <v>6</v>
      </c>
      <c r="L68" s="34">
        <f t="shared" si="17"/>
        <v>6</v>
      </c>
      <c r="M68" s="34">
        <f t="shared" si="17"/>
        <v>6</v>
      </c>
      <c r="N68" s="34">
        <f t="shared" si="17"/>
        <v>6</v>
      </c>
      <c r="O68" s="34">
        <f t="shared" si="17"/>
        <v>6</v>
      </c>
      <c r="Q68" s="52">
        <v>-9</v>
      </c>
      <c r="R68" s="34">
        <f t="shared" si="18"/>
        <v>0</v>
      </c>
    </row>
    <row r="69" spans="2:18" ht="15" hidden="1" customHeight="1" outlineLevel="1">
      <c r="B69" s="52">
        <v>4</v>
      </c>
      <c r="C69" s="34">
        <f t="shared" si="17"/>
        <v>0</v>
      </c>
      <c r="D69" s="34">
        <f t="shared" si="17"/>
        <v>4</v>
      </c>
      <c r="E69" s="34">
        <f t="shared" si="17"/>
        <v>7</v>
      </c>
      <c r="F69" s="34">
        <f t="shared" si="17"/>
        <v>9</v>
      </c>
      <c r="G69" s="34">
        <f t="shared" si="17"/>
        <v>10</v>
      </c>
      <c r="H69" s="34">
        <f t="shared" si="17"/>
        <v>10</v>
      </c>
      <c r="I69" s="34">
        <f t="shared" si="17"/>
        <v>10</v>
      </c>
      <c r="J69" s="34">
        <f t="shared" si="17"/>
        <v>10</v>
      </c>
      <c r="K69" s="34">
        <f t="shared" si="17"/>
        <v>10</v>
      </c>
      <c r="L69" s="34">
        <f t="shared" si="17"/>
        <v>10</v>
      </c>
      <c r="M69" s="34">
        <f t="shared" si="17"/>
        <v>10</v>
      </c>
      <c r="N69" s="34">
        <f t="shared" si="17"/>
        <v>10</v>
      </c>
      <c r="O69" s="34">
        <f t="shared" si="17"/>
        <v>10</v>
      </c>
      <c r="Q69" s="52">
        <v>-8</v>
      </c>
      <c r="R69" s="34">
        <f t="shared" si="18"/>
        <v>0</v>
      </c>
    </row>
    <row r="70" spans="2:18" ht="15" hidden="1" customHeight="1" outlineLevel="1">
      <c r="B70" s="52">
        <v>5</v>
      </c>
      <c r="C70" s="34">
        <f t="shared" si="17"/>
        <v>0</v>
      </c>
      <c r="D70" s="34">
        <f t="shared" si="17"/>
        <v>5</v>
      </c>
      <c r="E70" s="34">
        <f t="shared" si="17"/>
        <v>9</v>
      </c>
      <c r="F70" s="34">
        <f t="shared" si="17"/>
        <v>12</v>
      </c>
      <c r="G70" s="34">
        <f t="shared" si="17"/>
        <v>14</v>
      </c>
      <c r="H70" s="34">
        <f t="shared" si="17"/>
        <v>15</v>
      </c>
      <c r="I70" s="34">
        <f t="shared" si="17"/>
        <v>15</v>
      </c>
      <c r="J70" s="34">
        <f t="shared" si="17"/>
        <v>15</v>
      </c>
      <c r="K70" s="34">
        <f t="shared" si="17"/>
        <v>15</v>
      </c>
      <c r="L70" s="34">
        <f t="shared" si="17"/>
        <v>15</v>
      </c>
      <c r="M70" s="34">
        <f t="shared" si="17"/>
        <v>15</v>
      </c>
      <c r="N70" s="34">
        <f t="shared" si="17"/>
        <v>15</v>
      </c>
      <c r="O70" s="34">
        <f t="shared" si="17"/>
        <v>15</v>
      </c>
      <c r="Q70" s="52">
        <v>-7</v>
      </c>
      <c r="R70" s="34">
        <f t="shared" si="18"/>
        <v>0</v>
      </c>
    </row>
    <row r="71" spans="2:18" ht="15" hidden="1" customHeight="1" outlineLevel="1">
      <c r="B71" s="52">
        <v>6</v>
      </c>
      <c r="C71" s="34">
        <f t="shared" si="17"/>
        <v>0</v>
      </c>
      <c r="D71" s="34">
        <f t="shared" si="17"/>
        <v>6</v>
      </c>
      <c r="E71" s="34">
        <f t="shared" si="17"/>
        <v>11</v>
      </c>
      <c r="F71" s="34">
        <f t="shared" si="17"/>
        <v>15</v>
      </c>
      <c r="G71" s="34">
        <f t="shared" si="17"/>
        <v>18</v>
      </c>
      <c r="H71" s="34">
        <f t="shared" si="17"/>
        <v>20</v>
      </c>
      <c r="I71" s="34">
        <f t="shared" si="17"/>
        <v>21</v>
      </c>
      <c r="J71" s="34">
        <f t="shared" si="17"/>
        <v>21</v>
      </c>
      <c r="K71" s="34">
        <f t="shared" si="17"/>
        <v>21</v>
      </c>
      <c r="L71" s="34">
        <f t="shared" si="17"/>
        <v>21</v>
      </c>
      <c r="M71" s="34">
        <f t="shared" si="17"/>
        <v>21</v>
      </c>
      <c r="N71" s="34">
        <f t="shared" si="17"/>
        <v>21</v>
      </c>
      <c r="O71" s="34">
        <f t="shared" si="17"/>
        <v>21</v>
      </c>
      <c r="Q71" s="52">
        <v>-6</v>
      </c>
      <c r="R71" s="34">
        <f t="shared" si="18"/>
        <v>0</v>
      </c>
    </row>
    <row r="72" spans="2:18" ht="15" hidden="1" customHeight="1" outlineLevel="1">
      <c r="B72" s="52">
        <v>7</v>
      </c>
      <c r="C72" s="34">
        <f t="shared" si="17"/>
        <v>0</v>
      </c>
      <c r="D72" s="34">
        <f t="shared" si="17"/>
        <v>7</v>
      </c>
      <c r="E72" s="34">
        <f t="shared" si="17"/>
        <v>13</v>
      </c>
      <c r="F72" s="34">
        <f t="shared" si="17"/>
        <v>18</v>
      </c>
      <c r="G72" s="34">
        <f t="shared" si="17"/>
        <v>22</v>
      </c>
      <c r="H72" s="34">
        <f t="shared" si="17"/>
        <v>25</v>
      </c>
      <c r="I72" s="34">
        <f t="shared" si="17"/>
        <v>27</v>
      </c>
      <c r="J72" s="34">
        <f t="shared" si="17"/>
        <v>28</v>
      </c>
      <c r="K72" s="34">
        <f t="shared" si="17"/>
        <v>28</v>
      </c>
      <c r="L72" s="34">
        <f t="shared" si="17"/>
        <v>28</v>
      </c>
      <c r="M72" s="34">
        <f t="shared" si="17"/>
        <v>28</v>
      </c>
      <c r="N72" s="34">
        <f t="shared" si="17"/>
        <v>28</v>
      </c>
      <c r="O72" s="34">
        <f t="shared" si="17"/>
        <v>28</v>
      </c>
      <c r="Q72" s="52">
        <v>-5</v>
      </c>
      <c r="R72" s="34">
        <f t="shared" si="18"/>
        <v>0</v>
      </c>
    </row>
    <row r="73" spans="2:18" ht="15" hidden="1" customHeight="1" outlineLevel="1">
      <c r="B73" s="52">
        <v>8</v>
      </c>
      <c r="C73" s="34">
        <f t="shared" si="17"/>
        <v>0</v>
      </c>
      <c r="D73" s="34">
        <f t="shared" si="17"/>
        <v>8</v>
      </c>
      <c r="E73" s="34">
        <f t="shared" si="17"/>
        <v>15</v>
      </c>
      <c r="F73" s="34">
        <f t="shared" si="17"/>
        <v>21</v>
      </c>
      <c r="G73" s="34">
        <f t="shared" si="17"/>
        <v>26</v>
      </c>
      <c r="H73" s="34">
        <f t="shared" si="17"/>
        <v>30</v>
      </c>
      <c r="I73" s="34">
        <f t="shared" si="17"/>
        <v>33</v>
      </c>
      <c r="J73" s="34">
        <f t="shared" si="17"/>
        <v>35</v>
      </c>
      <c r="K73" s="34">
        <f t="shared" si="17"/>
        <v>36</v>
      </c>
      <c r="L73" s="34">
        <f t="shared" si="17"/>
        <v>36</v>
      </c>
      <c r="M73" s="34">
        <f t="shared" si="17"/>
        <v>36</v>
      </c>
      <c r="N73" s="34">
        <f t="shared" si="17"/>
        <v>36</v>
      </c>
      <c r="O73" s="34">
        <f t="shared" si="17"/>
        <v>36</v>
      </c>
      <c r="Q73" s="52">
        <v>-4</v>
      </c>
      <c r="R73" s="34">
        <f t="shared" si="18"/>
        <v>0</v>
      </c>
    </row>
    <row r="74" spans="2:18" ht="15" hidden="1" customHeight="1" outlineLevel="1">
      <c r="B74" s="52">
        <v>9</v>
      </c>
      <c r="C74" s="34">
        <f t="shared" si="17"/>
        <v>0</v>
      </c>
      <c r="D74" s="34">
        <f t="shared" si="17"/>
        <v>9</v>
      </c>
      <c r="E74" s="34">
        <f t="shared" si="17"/>
        <v>17</v>
      </c>
      <c r="F74" s="34">
        <f t="shared" si="17"/>
        <v>24</v>
      </c>
      <c r="G74" s="34">
        <f t="shared" si="17"/>
        <v>30</v>
      </c>
      <c r="H74" s="34">
        <f t="shared" si="17"/>
        <v>35</v>
      </c>
      <c r="I74" s="34">
        <f t="shared" si="17"/>
        <v>39</v>
      </c>
      <c r="J74" s="34">
        <f t="shared" si="17"/>
        <v>42</v>
      </c>
      <c r="K74" s="34">
        <f t="shared" si="17"/>
        <v>44</v>
      </c>
      <c r="L74" s="34">
        <f t="shared" si="17"/>
        <v>45</v>
      </c>
      <c r="M74" s="34">
        <f t="shared" si="17"/>
        <v>45</v>
      </c>
      <c r="N74" s="34">
        <f t="shared" si="17"/>
        <v>45</v>
      </c>
      <c r="O74" s="34">
        <f t="shared" si="17"/>
        <v>45</v>
      </c>
      <c r="Q74" s="52">
        <v>-3</v>
      </c>
      <c r="R74" s="34">
        <f t="shared" si="18"/>
        <v>0</v>
      </c>
    </row>
    <row r="75" spans="2:18" ht="15" hidden="1" customHeight="1" outlineLevel="1">
      <c r="B75" s="52">
        <v>10</v>
      </c>
      <c r="C75" s="34">
        <f t="shared" ref="C75:O89" si="19">INDEX($R$65:$R$101,$B75+13)-INDEX($R$65:$R$101,$B75-C$64+13)</f>
        <v>0</v>
      </c>
      <c r="D75" s="34">
        <f t="shared" si="19"/>
        <v>10</v>
      </c>
      <c r="E75" s="34">
        <f t="shared" si="19"/>
        <v>19</v>
      </c>
      <c r="F75" s="34">
        <f t="shared" si="19"/>
        <v>27</v>
      </c>
      <c r="G75" s="34">
        <f t="shared" si="19"/>
        <v>34</v>
      </c>
      <c r="H75" s="34">
        <f t="shared" si="19"/>
        <v>40</v>
      </c>
      <c r="I75" s="34">
        <f t="shared" si="19"/>
        <v>45</v>
      </c>
      <c r="J75" s="34">
        <f t="shared" si="19"/>
        <v>49</v>
      </c>
      <c r="K75" s="34">
        <f t="shared" si="19"/>
        <v>52</v>
      </c>
      <c r="L75" s="34">
        <f t="shared" si="19"/>
        <v>54</v>
      </c>
      <c r="M75" s="34">
        <f t="shared" si="19"/>
        <v>55</v>
      </c>
      <c r="N75" s="34">
        <f t="shared" si="19"/>
        <v>55</v>
      </c>
      <c r="O75" s="34">
        <f t="shared" si="19"/>
        <v>55</v>
      </c>
      <c r="Q75" s="52">
        <v>-2</v>
      </c>
      <c r="R75" s="34">
        <f t="shared" si="18"/>
        <v>0</v>
      </c>
    </row>
    <row r="76" spans="2:18" ht="15" hidden="1" customHeight="1" outlineLevel="1">
      <c r="B76" s="52">
        <v>11</v>
      </c>
      <c r="C76" s="34">
        <f t="shared" si="19"/>
        <v>0</v>
      </c>
      <c r="D76" s="34">
        <f t="shared" si="19"/>
        <v>11</v>
      </c>
      <c r="E76" s="34">
        <f t="shared" si="19"/>
        <v>21</v>
      </c>
      <c r="F76" s="34">
        <f t="shared" si="19"/>
        <v>30</v>
      </c>
      <c r="G76" s="34">
        <f t="shared" si="19"/>
        <v>38</v>
      </c>
      <c r="H76" s="34">
        <f t="shared" si="19"/>
        <v>45</v>
      </c>
      <c r="I76" s="34">
        <f t="shared" si="19"/>
        <v>51</v>
      </c>
      <c r="J76" s="34">
        <f t="shared" si="19"/>
        <v>56</v>
      </c>
      <c r="K76" s="34">
        <f t="shared" si="19"/>
        <v>60</v>
      </c>
      <c r="L76" s="34">
        <f t="shared" si="19"/>
        <v>63</v>
      </c>
      <c r="M76" s="34">
        <f t="shared" si="19"/>
        <v>65</v>
      </c>
      <c r="N76" s="34">
        <f t="shared" si="19"/>
        <v>66</v>
      </c>
      <c r="O76" s="34">
        <f t="shared" si="19"/>
        <v>66</v>
      </c>
      <c r="Q76" s="52">
        <v>-1</v>
      </c>
      <c r="R76" s="34">
        <f t="shared" si="18"/>
        <v>0</v>
      </c>
    </row>
    <row r="77" spans="2:18" ht="15" hidden="1" customHeight="1" outlineLevel="1">
      <c r="B77" s="52">
        <v>12</v>
      </c>
      <c r="C77" s="34">
        <f t="shared" si="19"/>
        <v>0</v>
      </c>
      <c r="D77" s="34">
        <f t="shared" si="19"/>
        <v>12</v>
      </c>
      <c r="E77" s="34">
        <f t="shared" si="19"/>
        <v>23</v>
      </c>
      <c r="F77" s="34">
        <f t="shared" si="19"/>
        <v>33</v>
      </c>
      <c r="G77" s="34">
        <f t="shared" si="19"/>
        <v>42</v>
      </c>
      <c r="H77" s="34">
        <f t="shared" si="19"/>
        <v>50</v>
      </c>
      <c r="I77" s="34">
        <f t="shared" si="19"/>
        <v>57</v>
      </c>
      <c r="J77" s="34">
        <f t="shared" si="19"/>
        <v>63</v>
      </c>
      <c r="K77" s="34">
        <f t="shared" si="19"/>
        <v>68</v>
      </c>
      <c r="L77" s="34">
        <f t="shared" si="19"/>
        <v>72</v>
      </c>
      <c r="M77" s="34">
        <f t="shared" si="19"/>
        <v>75</v>
      </c>
      <c r="N77" s="34">
        <f t="shared" si="19"/>
        <v>77</v>
      </c>
      <c r="O77" s="34">
        <f t="shared" si="19"/>
        <v>78</v>
      </c>
      <c r="Q77" s="52">
        <v>0</v>
      </c>
      <c r="R77" s="34">
        <f t="shared" si="18"/>
        <v>0</v>
      </c>
    </row>
    <row r="78" spans="2:18" ht="15" hidden="1" customHeight="1" outlineLevel="1">
      <c r="B78" s="52">
        <v>13</v>
      </c>
      <c r="C78" s="34">
        <f t="shared" si="19"/>
        <v>0</v>
      </c>
      <c r="D78" s="34">
        <f t="shared" si="19"/>
        <v>12</v>
      </c>
      <c r="E78" s="34">
        <f t="shared" si="19"/>
        <v>24</v>
      </c>
      <c r="F78" s="34">
        <f t="shared" si="19"/>
        <v>35</v>
      </c>
      <c r="G78" s="34">
        <f t="shared" si="19"/>
        <v>45</v>
      </c>
      <c r="H78" s="34">
        <f t="shared" si="19"/>
        <v>54</v>
      </c>
      <c r="I78" s="34">
        <f t="shared" si="19"/>
        <v>62</v>
      </c>
      <c r="J78" s="34">
        <f t="shared" si="19"/>
        <v>69</v>
      </c>
      <c r="K78" s="34">
        <f t="shared" si="19"/>
        <v>75</v>
      </c>
      <c r="L78" s="34">
        <f t="shared" si="19"/>
        <v>80</v>
      </c>
      <c r="M78" s="34">
        <f t="shared" si="19"/>
        <v>84</v>
      </c>
      <c r="N78" s="34">
        <f t="shared" si="19"/>
        <v>87</v>
      </c>
      <c r="O78" s="34">
        <f t="shared" si="19"/>
        <v>89</v>
      </c>
      <c r="Q78" s="52">
        <v>1</v>
      </c>
      <c r="R78" s="34">
        <f t="shared" si="18"/>
        <v>1</v>
      </c>
    </row>
    <row r="79" spans="2:18" ht="15" hidden="1" customHeight="1" outlineLevel="1">
      <c r="B79" s="52">
        <v>14</v>
      </c>
      <c r="C79" s="34">
        <f t="shared" si="19"/>
        <v>0</v>
      </c>
      <c r="D79" s="34">
        <f t="shared" si="19"/>
        <v>12</v>
      </c>
      <c r="E79" s="34">
        <f t="shared" si="19"/>
        <v>24</v>
      </c>
      <c r="F79" s="34">
        <f t="shared" si="19"/>
        <v>36</v>
      </c>
      <c r="G79" s="34">
        <f t="shared" si="19"/>
        <v>47</v>
      </c>
      <c r="H79" s="34">
        <f t="shared" si="19"/>
        <v>57</v>
      </c>
      <c r="I79" s="34">
        <f t="shared" si="19"/>
        <v>66</v>
      </c>
      <c r="J79" s="34">
        <f t="shared" si="19"/>
        <v>74</v>
      </c>
      <c r="K79" s="34">
        <f t="shared" si="19"/>
        <v>81</v>
      </c>
      <c r="L79" s="34">
        <f t="shared" si="19"/>
        <v>87</v>
      </c>
      <c r="M79" s="34">
        <f t="shared" si="19"/>
        <v>92</v>
      </c>
      <c r="N79" s="34">
        <f t="shared" si="19"/>
        <v>96</v>
      </c>
      <c r="O79" s="34">
        <f t="shared" si="19"/>
        <v>99</v>
      </c>
      <c r="Q79" s="52">
        <v>2</v>
      </c>
      <c r="R79" s="34">
        <f t="shared" si="18"/>
        <v>3</v>
      </c>
    </row>
    <row r="80" spans="2:18" ht="15" hidden="1" customHeight="1" outlineLevel="1">
      <c r="B80" s="52">
        <v>15</v>
      </c>
      <c r="C80" s="34">
        <f t="shared" si="19"/>
        <v>0</v>
      </c>
      <c r="D80" s="34">
        <f t="shared" si="19"/>
        <v>12</v>
      </c>
      <c r="E80" s="34">
        <f t="shared" si="19"/>
        <v>24</v>
      </c>
      <c r="F80" s="34">
        <f t="shared" si="19"/>
        <v>36</v>
      </c>
      <c r="G80" s="34">
        <f t="shared" si="19"/>
        <v>48</v>
      </c>
      <c r="H80" s="34">
        <f t="shared" si="19"/>
        <v>59</v>
      </c>
      <c r="I80" s="34">
        <f t="shared" si="19"/>
        <v>69</v>
      </c>
      <c r="J80" s="34">
        <f t="shared" si="19"/>
        <v>78</v>
      </c>
      <c r="K80" s="34">
        <f t="shared" si="19"/>
        <v>86</v>
      </c>
      <c r="L80" s="34">
        <f t="shared" si="19"/>
        <v>93</v>
      </c>
      <c r="M80" s="34">
        <f t="shared" si="19"/>
        <v>99</v>
      </c>
      <c r="N80" s="34">
        <f t="shared" si="19"/>
        <v>104</v>
      </c>
      <c r="O80" s="34">
        <f t="shared" si="19"/>
        <v>108</v>
      </c>
      <c r="Q80" s="52">
        <v>3</v>
      </c>
      <c r="R80" s="34">
        <f t="shared" si="18"/>
        <v>6</v>
      </c>
    </row>
    <row r="81" spans="2:18" ht="15" hidden="1" customHeight="1" outlineLevel="1">
      <c r="B81" s="52">
        <v>16</v>
      </c>
      <c r="C81" s="34">
        <f t="shared" si="19"/>
        <v>0</v>
      </c>
      <c r="D81" s="34">
        <f t="shared" si="19"/>
        <v>12</v>
      </c>
      <c r="E81" s="34">
        <f t="shared" si="19"/>
        <v>24</v>
      </c>
      <c r="F81" s="34">
        <f t="shared" si="19"/>
        <v>36</v>
      </c>
      <c r="G81" s="34">
        <f t="shared" si="19"/>
        <v>48</v>
      </c>
      <c r="H81" s="34">
        <f t="shared" si="19"/>
        <v>60</v>
      </c>
      <c r="I81" s="34">
        <f t="shared" si="19"/>
        <v>71</v>
      </c>
      <c r="J81" s="34">
        <f t="shared" si="19"/>
        <v>81</v>
      </c>
      <c r="K81" s="34">
        <f t="shared" si="19"/>
        <v>90</v>
      </c>
      <c r="L81" s="34">
        <f t="shared" si="19"/>
        <v>98</v>
      </c>
      <c r="M81" s="34">
        <f t="shared" si="19"/>
        <v>105</v>
      </c>
      <c r="N81" s="34">
        <f t="shared" si="19"/>
        <v>111</v>
      </c>
      <c r="O81" s="34">
        <f t="shared" si="19"/>
        <v>116</v>
      </c>
      <c r="Q81" s="52">
        <v>4</v>
      </c>
      <c r="R81" s="34">
        <f t="shared" si="18"/>
        <v>10</v>
      </c>
    </row>
    <row r="82" spans="2:18" ht="15" hidden="1" customHeight="1" outlineLevel="1">
      <c r="B82" s="52">
        <v>17</v>
      </c>
      <c r="C82" s="34">
        <f t="shared" si="19"/>
        <v>0</v>
      </c>
      <c r="D82" s="34">
        <f t="shared" si="19"/>
        <v>12</v>
      </c>
      <c r="E82" s="34">
        <f t="shared" si="19"/>
        <v>24</v>
      </c>
      <c r="F82" s="34">
        <f t="shared" si="19"/>
        <v>36</v>
      </c>
      <c r="G82" s="34">
        <f t="shared" si="19"/>
        <v>48</v>
      </c>
      <c r="H82" s="34">
        <f t="shared" si="19"/>
        <v>60</v>
      </c>
      <c r="I82" s="34">
        <f t="shared" si="19"/>
        <v>72</v>
      </c>
      <c r="J82" s="34">
        <f t="shared" si="19"/>
        <v>83</v>
      </c>
      <c r="K82" s="34">
        <f t="shared" si="19"/>
        <v>93</v>
      </c>
      <c r="L82" s="34">
        <f t="shared" si="19"/>
        <v>102</v>
      </c>
      <c r="M82" s="34">
        <f t="shared" si="19"/>
        <v>110</v>
      </c>
      <c r="N82" s="34">
        <f t="shared" si="19"/>
        <v>117</v>
      </c>
      <c r="O82" s="34">
        <f t="shared" si="19"/>
        <v>123</v>
      </c>
      <c r="Q82" s="52">
        <v>5</v>
      </c>
      <c r="R82" s="34">
        <f t="shared" si="18"/>
        <v>15</v>
      </c>
    </row>
    <row r="83" spans="2:18" ht="15" hidden="1" customHeight="1" outlineLevel="1">
      <c r="B83" s="52">
        <v>18</v>
      </c>
      <c r="C83" s="34">
        <f t="shared" si="19"/>
        <v>0</v>
      </c>
      <c r="D83" s="34">
        <f t="shared" si="19"/>
        <v>12</v>
      </c>
      <c r="E83" s="34">
        <f t="shared" si="19"/>
        <v>24</v>
      </c>
      <c r="F83" s="34">
        <f t="shared" si="19"/>
        <v>36</v>
      </c>
      <c r="G83" s="34">
        <f t="shared" si="19"/>
        <v>48</v>
      </c>
      <c r="H83" s="34">
        <f t="shared" si="19"/>
        <v>60</v>
      </c>
      <c r="I83" s="34">
        <f t="shared" si="19"/>
        <v>72</v>
      </c>
      <c r="J83" s="34">
        <f t="shared" si="19"/>
        <v>84</v>
      </c>
      <c r="K83" s="34">
        <f t="shared" si="19"/>
        <v>95</v>
      </c>
      <c r="L83" s="34">
        <f t="shared" si="19"/>
        <v>105</v>
      </c>
      <c r="M83" s="34">
        <f t="shared" si="19"/>
        <v>114</v>
      </c>
      <c r="N83" s="34">
        <f t="shared" si="19"/>
        <v>122</v>
      </c>
      <c r="O83" s="34">
        <f t="shared" si="19"/>
        <v>129</v>
      </c>
      <c r="Q83" s="52">
        <v>6</v>
      </c>
      <c r="R83" s="34">
        <f t="shared" si="18"/>
        <v>21</v>
      </c>
    </row>
    <row r="84" spans="2:18" ht="15" hidden="1" customHeight="1" outlineLevel="1">
      <c r="B84" s="52">
        <v>19</v>
      </c>
      <c r="C84" s="34">
        <f t="shared" si="19"/>
        <v>0</v>
      </c>
      <c r="D84" s="34">
        <f t="shared" si="19"/>
        <v>12</v>
      </c>
      <c r="E84" s="34">
        <f t="shared" si="19"/>
        <v>24</v>
      </c>
      <c r="F84" s="34">
        <f t="shared" si="19"/>
        <v>36</v>
      </c>
      <c r="G84" s="34">
        <f t="shared" si="19"/>
        <v>48</v>
      </c>
      <c r="H84" s="34">
        <f t="shared" si="19"/>
        <v>60</v>
      </c>
      <c r="I84" s="34">
        <f t="shared" si="19"/>
        <v>72</v>
      </c>
      <c r="J84" s="34">
        <f t="shared" si="19"/>
        <v>84</v>
      </c>
      <c r="K84" s="34">
        <f t="shared" si="19"/>
        <v>96</v>
      </c>
      <c r="L84" s="34">
        <f t="shared" si="19"/>
        <v>107</v>
      </c>
      <c r="M84" s="34">
        <f t="shared" si="19"/>
        <v>117</v>
      </c>
      <c r="N84" s="34">
        <f t="shared" si="19"/>
        <v>126</v>
      </c>
      <c r="O84" s="34">
        <f t="shared" si="19"/>
        <v>134</v>
      </c>
      <c r="Q84" s="52">
        <v>7</v>
      </c>
      <c r="R84" s="34">
        <f t="shared" si="18"/>
        <v>28</v>
      </c>
    </row>
    <row r="85" spans="2:18" ht="15" hidden="1" customHeight="1" outlineLevel="1">
      <c r="B85" s="52">
        <v>20</v>
      </c>
      <c r="C85" s="34">
        <f t="shared" si="19"/>
        <v>0</v>
      </c>
      <c r="D85" s="34">
        <f t="shared" si="19"/>
        <v>12</v>
      </c>
      <c r="E85" s="34">
        <f t="shared" si="19"/>
        <v>24</v>
      </c>
      <c r="F85" s="34">
        <f t="shared" si="19"/>
        <v>36</v>
      </c>
      <c r="G85" s="34">
        <f t="shared" si="19"/>
        <v>48</v>
      </c>
      <c r="H85" s="34">
        <f t="shared" si="19"/>
        <v>60</v>
      </c>
      <c r="I85" s="34">
        <f t="shared" si="19"/>
        <v>72</v>
      </c>
      <c r="J85" s="34">
        <f t="shared" si="19"/>
        <v>84</v>
      </c>
      <c r="K85" s="34">
        <f t="shared" si="19"/>
        <v>96</v>
      </c>
      <c r="L85" s="34">
        <f t="shared" si="19"/>
        <v>108</v>
      </c>
      <c r="M85" s="34">
        <f t="shared" si="19"/>
        <v>119</v>
      </c>
      <c r="N85" s="34">
        <f t="shared" si="19"/>
        <v>129</v>
      </c>
      <c r="O85" s="34">
        <f t="shared" si="19"/>
        <v>138</v>
      </c>
      <c r="Q85" s="52">
        <v>8</v>
      </c>
      <c r="R85" s="34">
        <f t="shared" si="18"/>
        <v>36</v>
      </c>
    </row>
    <row r="86" spans="2:18" ht="15" hidden="1" customHeight="1" outlineLevel="1">
      <c r="B86" s="52">
        <v>21</v>
      </c>
      <c r="C86" s="34">
        <f t="shared" si="19"/>
        <v>0</v>
      </c>
      <c r="D86" s="34">
        <f t="shared" si="19"/>
        <v>12</v>
      </c>
      <c r="E86" s="34">
        <f t="shared" si="19"/>
        <v>24</v>
      </c>
      <c r="F86" s="34">
        <f t="shared" si="19"/>
        <v>36</v>
      </c>
      <c r="G86" s="34">
        <f t="shared" si="19"/>
        <v>48</v>
      </c>
      <c r="H86" s="34">
        <f t="shared" si="19"/>
        <v>60</v>
      </c>
      <c r="I86" s="34">
        <f t="shared" si="19"/>
        <v>72</v>
      </c>
      <c r="J86" s="34">
        <f t="shared" si="19"/>
        <v>84</v>
      </c>
      <c r="K86" s="34">
        <f t="shared" si="19"/>
        <v>96</v>
      </c>
      <c r="L86" s="34">
        <f t="shared" si="19"/>
        <v>108</v>
      </c>
      <c r="M86" s="34">
        <f t="shared" si="19"/>
        <v>120</v>
      </c>
      <c r="N86" s="34">
        <f t="shared" si="19"/>
        <v>131</v>
      </c>
      <c r="O86" s="34">
        <f t="shared" si="19"/>
        <v>141</v>
      </c>
      <c r="Q86" s="52">
        <v>9</v>
      </c>
      <c r="R86" s="34">
        <f t="shared" si="18"/>
        <v>45</v>
      </c>
    </row>
    <row r="87" spans="2:18" ht="15" hidden="1" customHeight="1" outlineLevel="1">
      <c r="B87" s="52">
        <v>22</v>
      </c>
      <c r="C87" s="34">
        <f t="shared" si="19"/>
        <v>0</v>
      </c>
      <c r="D87" s="34">
        <f t="shared" si="19"/>
        <v>12</v>
      </c>
      <c r="E87" s="34">
        <f t="shared" si="19"/>
        <v>24</v>
      </c>
      <c r="F87" s="34">
        <f t="shared" si="19"/>
        <v>36</v>
      </c>
      <c r="G87" s="34">
        <f t="shared" si="19"/>
        <v>48</v>
      </c>
      <c r="H87" s="34">
        <f t="shared" si="19"/>
        <v>60</v>
      </c>
      <c r="I87" s="34">
        <f t="shared" si="19"/>
        <v>72</v>
      </c>
      <c r="J87" s="34">
        <f t="shared" si="19"/>
        <v>84</v>
      </c>
      <c r="K87" s="34">
        <f t="shared" si="19"/>
        <v>96</v>
      </c>
      <c r="L87" s="34">
        <f t="shared" si="19"/>
        <v>108</v>
      </c>
      <c r="M87" s="34">
        <f t="shared" si="19"/>
        <v>120</v>
      </c>
      <c r="N87" s="34">
        <f t="shared" si="19"/>
        <v>132</v>
      </c>
      <c r="O87" s="34">
        <f t="shared" si="19"/>
        <v>143</v>
      </c>
      <c r="Q87" s="52">
        <v>10</v>
      </c>
      <c r="R87" s="34">
        <f t="shared" si="18"/>
        <v>55</v>
      </c>
    </row>
    <row r="88" spans="2:18" ht="15" hidden="1" customHeight="1" outlineLevel="1">
      <c r="B88" s="52">
        <v>23</v>
      </c>
      <c r="C88" s="34">
        <f t="shared" si="19"/>
        <v>0</v>
      </c>
      <c r="D88" s="34">
        <f t="shared" si="19"/>
        <v>12</v>
      </c>
      <c r="E88" s="34">
        <f t="shared" si="19"/>
        <v>24</v>
      </c>
      <c r="F88" s="34">
        <f t="shared" si="19"/>
        <v>36</v>
      </c>
      <c r="G88" s="34">
        <f t="shared" si="19"/>
        <v>48</v>
      </c>
      <c r="H88" s="34">
        <f t="shared" si="19"/>
        <v>60</v>
      </c>
      <c r="I88" s="34">
        <f t="shared" si="19"/>
        <v>72</v>
      </c>
      <c r="J88" s="34">
        <f t="shared" si="19"/>
        <v>84</v>
      </c>
      <c r="K88" s="34">
        <f t="shared" si="19"/>
        <v>96</v>
      </c>
      <c r="L88" s="34">
        <f t="shared" si="19"/>
        <v>108</v>
      </c>
      <c r="M88" s="34">
        <f t="shared" si="19"/>
        <v>120</v>
      </c>
      <c r="N88" s="34">
        <f t="shared" si="19"/>
        <v>132</v>
      </c>
      <c r="O88" s="34">
        <f t="shared" si="19"/>
        <v>144</v>
      </c>
      <c r="Q88" s="52">
        <v>11</v>
      </c>
      <c r="R88" s="34">
        <f t="shared" si="18"/>
        <v>66</v>
      </c>
    </row>
    <row r="89" spans="2:18" ht="15" hidden="1" customHeight="1" outlineLevel="1">
      <c r="B89" s="52">
        <v>24</v>
      </c>
      <c r="C89" s="34">
        <f t="shared" si="19"/>
        <v>0</v>
      </c>
      <c r="D89" s="34">
        <f t="shared" si="19"/>
        <v>12</v>
      </c>
      <c r="E89" s="34">
        <f t="shared" si="19"/>
        <v>24</v>
      </c>
      <c r="F89" s="34">
        <f t="shared" si="19"/>
        <v>36</v>
      </c>
      <c r="G89" s="34">
        <f t="shared" si="19"/>
        <v>48</v>
      </c>
      <c r="H89" s="34">
        <f t="shared" si="19"/>
        <v>60</v>
      </c>
      <c r="I89" s="34">
        <f t="shared" si="19"/>
        <v>72</v>
      </c>
      <c r="J89" s="34">
        <f t="shared" si="19"/>
        <v>84</v>
      </c>
      <c r="K89" s="34">
        <f t="shared" si="19"/>
        <v>96</v>
      </c>
      <c r="L89" s="34">
        <f t="shared" si="19"/>
        <v>108</v>
      </c>
      <c r="M89" s="34">
        <f t="shared" si="19"/>
        <v>120</v>
      </c>
      <c r="N89" s="34">
        <f t="shared" si="19"/>
        <v>132</v>
      </c>
      <c r="O89" s="34">
        <f t="shared" si="19"/>
        <v>144</v>
      </c>
      <c r="Q89" s="52">
        <v>12</v>
      </c>
      <c r="R89" s="34">
        <f t="shared" si="18"/>
        <v>78</v>
      </c>
    </row>
    <row r="90" spans="2:18" ht="15" hidden="1" customHeight="1" outlineLevel="1">
      <c r="B90" s="24" t="s">
        <v>93</v>
      </c>
      <c r="Q90" s="52">
        <v>13</v>
      </c>
      <c r="R90" s="34">
        <f t="shared" si="18"/>
        <v>90</v>
      </c>
    </row>
    <row r="91" spans="2:18" ht="15" hidden="1" customHeight="1" outlineLevel="1">
      <c r="B91" s="36" t="s">
        <v>94</v>
      </c>
      <c r="Q91" s="52">
        <v>14</v>
      </c>
      <c r="R91" s="34">
        <f t="shared" si="18"/>
        <v>102</v>
      </c>
    </row>
    <row r="92" spans="2:18" ht="15" hidden="1" customHeight="1" outlineLevel="1">
      <c r="B92" s="36" t="s">
        <v>95</v>
      </c>
      <c r="Q92" s="52">
        <v>15</v>
      </c>
      <c r="R92" s="34">
        <f t="shared" si="18"/>
        <v>114</v>
      </c>
    </row>
    <row r="93" spans="2:18" ht="15" hidden="1" customHeight="1" outlineLevel="1">
      <c r="B93" s="36" t="s">
        <v>96</v>
      </c>
      <c r="Q93" s="52">
        <v>16</v>
      </c>
      <c r="R93" s="34">
        <f t="shared" si="18"/>
        <v>126</v>
      </c>
    </row>
    <row r="94" spans="2:18" ht="15" hidden="1" customHeight="1" outlineLevel="1">
      <c r="B94" s="36" t="s">
        <v>97</v>
      </c>
      <c r="Q94" s="52">
        <v>17</v>
      </c>
      <c r="R94" s="34">
        <f t="shared" si="18"/>
        <v>138</v>
      </c>
    </row>
    <row r="95" spans="2:18" ht="15" hidden="1" customHeight="1" outlineLevel="1">
      <c r="B95" s="36" t="s">
        <v>98</v>
      </c>
      <c r="Q95" s="52">
        <v>18</v>
      </c>
      <c r="R95" s="34">
        <f t="shared" si="18"/>
        <v>150</v>
      </c>
    </row>
    <row r="96" spans="2:18" ht="15" hidden="1" customHeight="1" outlineLevel="1">
      <c r="B96" s="36"/>
      <c r="Q96" s="52">
        <v>19</v>
      </c>
      <c r="R96" s="34">
        <f t="shared" si="18"/>
        <v>162</v>
      </c>
    </row>
    <row r="97" spans="2:21" ht="15" hidden="1" customHeight="1" outlineLevel="1">
      <c r="B97" s="36"/>
      <c r="Q97" s="52">
        <v>20</v>
      </c>
      <c r="R97" s="34">
        <f t="shared" si="18"/>
        <v>174</v>
      </c>
    </row>
    <row r="98" spans="2:21" ht="15" hidden="1" customHeight="1" outlineLevel="1">
      <c r="B98" s="36"/>
      <c r="Q98" s="52">
        <v>21</v>
      </c>
      <c r="R98" s="34">
        <f t="shared" si="18"/>
        <v>186</v>
      </c>
    </row>
    <row r="99" spans="2:21" ht="15" hidden="1" customHeight="1" outlineLevel="1">
      <c r="B99" s="36"/>
      <c r="Q99" s="52">
        <v>22</v>
      </c>
      <c r="R99" s="34">
        <f t="shared" si="18"/>
        <v>198</v>
      </c>
    </row>
    <row r="100" spans="2:21" ht="15" hidden="1" customHeight="1" outlineLevel="1">
      <c r="B100" s="36"/>
      <c r="Q100" s="52">
        <v>23</v>
      </c>
      <c r="R100" s="34">
        <f t="shared" si="18"/>
        <v>210</v>
      </c>
    </row>
    <row r="101" spans="2:21" ht="15" hidden="1" customHeight="1" outlineLevel="1">
      <c r="B101" s="36"/>
      <c r="Q101" s="52">
        <v>24</v>
      </c>
      <c r="R101" s="34">
        <f t="shared" si="18"/>
        <v>222</v>
      </c>
    </row>
    <row r="102" spans="2:21" ht="15" hidden="1" customHeight="1" outlineLevel="1">
      <c r="Q102" s="24" t="s">
        <v>99</v>
      </c>
    </row>
    <row r="103" spans="2:21" ht="15" hidden="1" customHeight="1" outlineLevel="1">
      <c r="Q103" s="36" t="s">
        <v>100</v>
      </c>
    </row>
    <row r="104" spans="2:21" ht="15" hidden="1" customHeight="1" outlineLevel="1">
      <c r="Q104" s="36" t="s">
        <v>101</v>
      </c>
    </row>
    <row r="105" spans="2:21" ht="15" hidden="1" customHeight="1" outlineLevel="1">
      <c r="Q105" s="36"/>
    </row>
    <row r="106" spans="2:21" ht="15" hidden="1" customHeight="1" outlineLevel="1">
      <c r="Q106" s="36"/>
    </row>
    <row r="107" spans="2:21" ht="15" hidden="1" customHeight="1" outlineLevel="1">
      <c r="B107" s="62" t="s">
        <v>102</v>
      </c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</row>
    <row r="108" spans="2:21" hidden="1" outlineLevel="1">
      <c r="B108" s="4" t="s">
        <v>103</v>
      </c>
      <c r="C108" s="52" t="str">
        <f>IF(MAX(MAX($K$110:$K$245),MAX($I$110:$I$245)+1)&lt;=$U$109,"OK","Ampliar k")</f>
        <v>OK</v>
      </c>
    </row>
    <row r="109" spans="2:21" ht="42" hidden="1" customHeight="1" outlineLevel="1">
      <c r="B109" s="53" t="s">
        <v>104</v>
      </c>
      <c r="C109" s="54" t="s">
        <v>105</v>
      </c>
      <c r="D109" s="54" t="s">
        <v>106</v>
      </c>
      <c r="E109" s="54" t="s">
        <v>107</v>
      </c>
      <c r="F109" s="54" t="s">
        <v>108</v>
      </c>
      <c r="G109" s="54" t="s">
        <v>109</v>
      </c>
      <c r="H109" s="54" t="s">
        <v>110</v>
      </c>
      <c r="I109" s="54" t="s">
        <v>111</v>
      </c>
      <c r="J109" s="54" t="s">
        <v>112</v>
      </c>
      <c r="K109" s="54" t="s">
        <v>113</v>
      </c>
      <c r="L109" s="54" t="s">
        <v>114</v>
      </c>
      <c r="M109" s="54" t="s">
        <v>115</v>
      </c>
      <c r="N109" s="54">
        <v>0</v>
      </c>
      <c r="O109" s="54">
        <v>1</v>
      </c>
      <c r="P109" s="54">
        <v>2</v>
      </c>
      <c r="Q109" s="54">
        <v>3</v>
      </c>
      <c r="R109" s="54">
        <v>4</v>
      </c>
      <c r="S109" s="54">
        <v>5</v>
      </c>
      <c r="T109" s="54">
        <v>6</v>
      </c>
      <c r="U109" s="55">
        <v>7</v>
      </c>
    </row>
    <row r="110" spans="2:21" hidden="1" outlineLevel="1">
      <c r="B110" s="14" t="s">
        <v>39</v>
      </c>
      <c r="C110" s="15" t="s">
        <v>65</v>
      </c>
      <c r="D110" s="52">
        <v>2027</v>
      </c>
      <c r="E110" s="34">
        <f t="shared" ref="E110:E141" si="20">IF($C110="Homens",INDEX($C$22:$C$55,MATCH($D110,$B$22:$B$55,0)),INDEX($F$22:$F$55,MATCH($D110,$B$22:$B$55,0)))</f>
        <v>180313.87673603828</v>
      </c>
      <c r="F110" s="34">
        <f t="shared" ref="F110:F141" si="21">IF($C110="Homens",$Z$14,$AA$14)</f>
        <v>60</v>
      </c>
      <c r="G110" s="34">
        <f t="shared" ref="G110:G141" si="22">IF($C110="Homens",$Z$15,$AA$15)</f>
        <v>65</v>
      </c>
      <c r="H110" s="34">
        <f t="shared" ref="H110:H141" si="23">IF($C110="Homens",$Z$17,$AA$17)</f>
        <v>9</v>
      </c>
      <c r="I110" s="34">
        <f t="shared" ref="I110:I141" si="24">INT(H110/12)</f>
        <v>0</v>
      </c>
      <c r="J110" s="34">
        <f t="shared" ref="J110:J141" si="25">MOD(H110,12)</f>
        <v>9</v>
      </c>
      <c r="K110" s="34">
        <f t="shared" ref="K110:K141" si="26">IF($D110&lt;$Z$18,0,IF(OR($B110="Sem Transição",$Z$19&lt;=1),$G110-$F110,MIN($G110-$F110,INT(($D110-$Z$18)/($Z$19-1))+1)))</f>
        <v>5</v>
      </c>
      <c r="L110" s="34">
        <f t="shared" ref="L110:L141" si="27">MAX($H110,12*(IF(($D110+MAX($K110,$I110))&lt;$Z$18,$F110,IF($B110="Sem Transição",$G110,MIN($G110,$F110+1+INT((($D110+MAX($K110,$I110))-$Z$18)/$Z$19))))-$F110))</f>
        <v>60</v>
      </c>
      <c r="M110" s="34">
        <f t="shared" ref="M110:M141" si="28">MAX($H110,12*(IF(($D110+MAX($K110,$I110+1))&lt;$Z$18,$F110,IF($B110="Sem Transição",$G110,MIN($G110,$F110+1+INT((($D110+MAX($K110,$I110+1))-$Z$18)/$Z$19))))-$F110))</f>
        <v>60</v>
      </c>
      <c r="N110" s="56">
        <f t="shared" ref="N110:U119" si="29">$Z$20/144*(INDEX($C$65:$O$89,MIN(MAX(12*(N$109+1)-$H110,0),24)+1,13)-INDEX($C$65:$O$89,MIN(MAX(12*(N$109+1)-$L110,0),24)+1,13-$J110)-INDEX($C$65:$O$89,MIN(MAX(12*(N$109+1)-$M110-12+$J110,0),24)+1,$J110+1))</f>
        <v>0.54166666666666663</v>
      </c>
      <c r="O110" s="56">
        <f t="shared" si="29"/>
        <v>9.75</v>
      </c>
      <c r="P110" s="56">
        <f t="shared" si="29"/>
        <v>13</v>
      </c>
      <c r="Q110" s="56">
        <f t="shared" si="29"/>
        <v>13</v>
      </c>
      <c r="R110" s="56">
        <f t="shared" si="29"/>
        <v>13</v>
      </c>
      <c r="S110" s="56">
        <f t="shared" si="29"/>
        <v>5.958333333333333</v>
      </c>
      <c r="T110" s="56">
        <f t="shared" si="29"/>
        <v>0</v>
      </c>
      <c r="U110" s="41">
        <f t="shared" si="29"/>
        <v>0</v>
      </c>
    </row>
    <row r="111" spans="2:21" hidden="1" outlineLevel="1">
      <c r="B111" s="14" t="s">
        <v>39</v>
      </c>
      <c r="C111" s="15" t="s">
        <v>65</v>
      </c>
      <c r="D111" s="52">
        <v>2028</v>
      </c>
      <c r="E111" s="34">
        <f t="shared" si="20"/>
        <v>181823.44747596249</v>
      </c>
      <c r="F111" s="34">
        <f t="shared" si="21"/>
        <v>60</v>
      </c>
      <c r="G111" s="34">
        <f t="shared" si="22"/>
        <v>65</v>
      </c>
      <c r="H111" s="34">
        <f t="shared" si="23"/>
        <v>9</v>
      </c>
      <c r="I111" s="34">
        <f t="shared" si="24"/>
        <v>0</v>
      </c>
      <c r="J111" s="34">
        <f t="shared" si="25"/>
        <v>9</v>
      </c>
      <c r="K111" s="34">
        <f t="shared" si="26"/>
        <v>5</v>
      </c>
      <c r="L111" s="34">
        <f t="shared" si="27"/>
        <v>60</v>
      </c>
      <c r="M111" s="34">
        <f t="shared" si="28"/>
        <v>60</v>
      </c>
      <c r="N111" s="56">
        <f t="shared" si="29"/>
        <v>0.54166666666666663</v>
      </c>
      <c r="O111" s="56">
        <f t="shared" si="29"/>
        <v>9.75</v>
      </c>
      <c r="P111" s="56">
        <f t="shared" si="29"/>
        <v>13</v>
      </c>
      <c r="Q111" s="56">
        <f t="shared" si="29"/>
        <v>13</v>
      </c>
      <c r="R111" s="56">
        <f t="shared" si="29"/>
        <v>13</v>
      </c>
      <c r="S111" s="56">
        <f t="shared" si="29"/>
        <v>5.958333333333333</v>
      </c>
      <c r="T111" s="56">
        <f t="shared" si="29"/>
        <v>0</v>
      </c>
      <c r="U111" s="41">
        <f t="shared" si="29"/>
        <v>0</v>
      </c>
    </row>
    <row r="112" spans="2:21" hidden="1" outlineLevel="1">
      <c r="B112" s="14" t="s">
        <v>39</v>
      </c>
      <c r="C112" s="15" t="s">
        <v>65</v>
      </c>
      <c r="D112" s="52">
        <v>2029</v>
      </c>
      <c r="E112" s="34">
        <f t="shared" si="20"/>
        <v>183806.0037709421</v>
      </c>
      <c r="F112" s="34">
        <f t="shared" si="21"/>
        <v>60</v>
      </c>
      <c r="G112" s="34">
        <f t="shared" si="22"/>
        <v>65</v>
      </c>
      <c r="H112" s="34">
        <f t="shared" si="23"/>
        <v>9</v>
      </c>
      <c r="I112" s="34">
        <f t="shared" si="24"/>
        <v>0</v>
      </c>
      <c r="J112" s="34">
        <f t="shared" si="25"/>
        <v>9</v>
      </c>
      <c r="K112" s="34">
        <f t="shared" si="26"/>
        <v>5</v>
      </c>
      <c r="L112" s="34">
        <f t="shared" si="27"/>
        <v>60</v>
      </c>
      <c r="M112" s="34">
        <f t="shared" si="28"/>
        <v>60</v>
      </c>
      <c r="N112" s="56">
        <f t="shared" si="29"/>
        <v>0.54166666666666663</v>
      </c>
      <c r="O112" s="56">
        <f t="shared" si="29"/>
        <v>9.75</v>
      </c>
      <c r="P112" s="56">
        <f t="shared" si="29"/>
        <v>13</v>
      </c>
      <c r="Q112" s="56">
        <f t="shared" si="29"/>
        <v>13</v>
      </c>
      <c r="R112" s="56">
        <f t="shared" si="29"/>
        <v>13</v>
      </c>
      <c r="S112" s="56">
        <f t="shared" si="29"/>
        <v>5.958333333333333</v>
      </c>
      <c r="T112" s="56">
        <f t="shared" si="29"/>
        <v>0</v>
      </c>
      <c r="U112" s="41">
        <f t="shared" si="29"/>
        <v>0</v>
      </c>
    </row>
    <row r="113" spans="2:21" hidden="1" outlineLevel="1">
      <c r="B113" s="14" t="s">
        <v>39</v>
      </c>
      <c r="C113" s="15" t="s">
        <v>65</v>
      </c>
      <c r="D113" s="52">
        <v>2030</v>
      </c>
      <c r="E113" s="34">
        <f t="shared" si="20"/>
        <v>186296.89506772341</v>
      </c>
      <c r="F113" s="34">
        <f t="shared" si="21"/>
        <v>60</v>
      </c>
      <c r="G113" s="34">
        <f t="shared" si="22"/>
        <v>65</v>
      </c>
      <c r="H113" s="34">
        <f t="shared" si="23"/>
        <v>9</v>
      </c>
      <c r="I113" s="34">
        <f t="shared" si="24"/>
        <v>0</v>
      </c>
      <c r="J113" s="34">
        <f t="shared" si="25"/>
        <v>9</v>
      </c>
      <c r="K113" s="34">
        <f t="shared" si="26"/>
        <v>5</v>
      </c>
      <c r="L113" s="34">
        <f t="shared" si="27"/>
        <v>60</v>
      </c>
      <c r="M113" s="34">
        <f t="shared" si="28"/>
        <v>60</v>
      </c>
      <c r="N113" s="56">
        <f t="shared" si="29"/>
        <v>0.54166666666666663</v>
      </c>
      <c r="O113" s="56">
        <f t="shared" si="29"/>
        <v>9.75</v>
      </c>
      <c r="P113" s="56">
        <f t="shared" si="29"/>
        <v>13</v>
      </c>
      <c r="Q113" s="56">
        <f t="shared" si="29"/>
        <v>13</v>
      </c>
      <c r="R113" s="56">
        <f t="shared" si="29"/>
        <v>13</v>
      </c>
      <c r="S113" s="56">
        <f t="shared" si="29"/>
        <v>5.958333333333333</v>
      </c>
      <c r="T113" s="56">
        <f t="shared" si="29"/>
        <v>0</v>
      </c>
      <c r="U113" s="41">
        <f t="shared" si="29"/>
        <v>0</v>
      </c>
    </row>
    <row r="114" spans="2:21" hidden="1" outlineLevel="1">
      <c r="B114" s="14" t="s">
        <v>39</v>
      </c>
      <c r="C114" s="15" t="s">
        <v>65</v>
      </c>
      <c r="D114" s="52">
        <v>2031</v>
      </c>
      <c r="E114" s="34">
        <f t="shared" si="20"/>
        <v>189167.33652745618</v>
      </c>
      <c r="F114" s="34">
        <f t="shared" si="21"/>
        <v>60</v>
      </c>
      <c r="G114" s="34">
        <f t="shared" si="22"/>
        <v>65</v>
      </c>
      <c r="H114" s="34">
        <f t="shared" si="23"/>
        <v>9</v>
      </c>
      <c r="I114" s="34">
        <f t="shared" si="24"/>
        <v>0</v>
      </c>
      <c r="J114" s="34">
        <f t="shared" si="25"/>
        <v>9</v>
      </c>
      <c r="K114" s="34">
        <f t="shared" si="26"/>
        <v>5</v>
      </c>
      <c r="L114" s="34">
        <f t="shared" si="27"/>
        <v>60</v>
      </c>
      <c r="M114" s="34">
        <f t="shared" si="28"/>
        <v>60</v>
      </c>
      <c r="N114" s="56">
        <f t="shared" si="29"/>
        <v>0.54166666666666663</v>
      </c>
      <c r="O114" s="56">
        <f t="shared" si="29"/>
        <v>9.75</v>
      </c>
      <c r="P114" s="56">
        <f t="shared" si="29"/>
        <v>13</v>
      </c>
      <c r="Q114" s="56">
        <f t="shared" si="29"/>
        <v>13</v>
      </c>
      <c r="R114" s="56">
        <f t="shared" si="29"/>
        <v>13</v>
      </c>
      <c r="S114" s="56">
        <f t="shared" si="29"/>
        <v>5.958333333333333</v>
      </c>
      <c r="T114" s="56">
        <f t="shared" si="29"/>
        <v>0</v>
      </c>
      <c r="U114" s="41">
        <f t="shared" si="29"/>
        <v>0</v>
      </c>
    </row>
    <row r="115" spans="2:21" hidden="1" outlineLevel="1">
      <c r="B115" s="14" t="s">
        <v>39</v>
      </c>
      <c r="C115" s="15" t="s">
        <v>65</v>
      </c>
      <c r="D115" s="52">
        <v>2032</v>
      </c>
      <c r="E115" s="34">
        <f t="shared" si="20"/>
        <v>192404.21732247397</v>
      </c>
      <c r="F115" s="34">
        <f t="shared" si="21"/>
        <v>60</v>
      </c>
      <c r="G115" s="34">
        <f t="shared" si="22"/>
        <v>65</v>
      </c>
      <c r="H115" s="34">
        <f t="shared" si="23"/>
        <v>9</v>
      </c>
      <c r="I115" s="34">
        <f t="shared" si="24"/>
        <v>0</v>
      </c>
      <c r="J115" s="34">
        <f t="shared" si="25"/>
        <v>9</v>
      </c>
      <c r="K115" s="34">
        <f t="shared" si="26"/>
        <v>5</v>
      </c>
      <c r="L115" s="34">
        <f t="shared" si="27"/>
        <v>60</v>
      </c>
      <c r="M115" s="34">
        <f t="shared" si="28"/>
        <v>60</v>
      </c>
      <c r="N115" s="56">
        <f t="shared" si="29"/>
        <v>0.54166666666666663</v>
      </c>
      <c r="O115" s="56">
        <f t="shared" si="29"/>
        <v>9.75</v>
      </c>
      <c r="P115" s="56">
        <f t="shared" si="29"/>
        <v>13</v>
      </c>
      <c r="Q115" s="56">
        <f t="shared" si="29"/>
        <v>13</v>
      </c>
      <c r="R115" s="56">
        <f t="shared" si="29"/>
        <v>13</v>
      </c>
      <c r="S115" s="56">
        <f t="shared" si="29"/>
        <v>5.958333333333333</v>
      </c>
      <c r="T115" s="56">
        <f t="shared" si="29"/>
        <v>0</v>
      </c>
      <c r="U115" s="41">
        <f t="shared" si="29"/>
        <v>0</v>
      </c>
    </row>
    <row r="116" spans="2:21" hidden="1" outlineLevel="1">
      <c r="B116" s="14" t="s">
        <v>39</v>
      </c>
      <c r="C116" s="15" t="s">
        <v>65</v>
      </c>
      <c r="D116" s="52">
        <v>2033</v>
      </c>
      <c r="E116" s="34">
        <f t="shared" si="20"/>
        <v>195333.74048662771</v>
      </c>
      <c r="F116" s="34">
        <f t="shared" si="21"/>
        <v>60</v>
      </c>
      <c r="G116" s="34">
        <f t="shared" si="22"/>
        <v>65</v>
      </c>
      <c r="H116" s="34">
        <f t="shared" si="23"/>
        <v>9</v>
      </c>
      <c r="I116" s="34">
        <f t="shared" si="24"/>
        <v>0</v>
      </c>
      <c r="J116" s="34">
        <f t="shared" si="25"/>
        <v>9</v>
      </c>
      <c r="K116" s="34">
        <f t="shared" si="26"/>
        <v>5</v>
      </c>
      <c r="L116" s="34">
        <f t="shared" si="27"/>
        <v>60</v>
      </c>
      <c r="M116" s="34">
        <f t="shared" si="28"/>
        <v>60</v>
      </c>
      <c r="N116" s="56">
        <f t="shared" si="29"/>
        <v>0.54166666666666663</v>
      </c>
      <c r="O116" s="56">
        <f t="shared" si="29"/>
        <v>9.75</v>
      </c>
      <c r="P116" s="56">
        <f t="shared" si="29"/>
        <v>13</v>
      </c>
      <c r="Q116" s="56">
        <f t="shared" si="29"/>
        <v>13</v>
      </c>
      <c r="R116" s="56">
        <f t="shared" si="29"/>
        <v>13</v>
      </c>
      <c r="S116" s="56">
        <f t="shared" si="29"/>
        <v>5.958333333333333</v>
      </c>
      <c r="T116" s="56">
        <f t="shared" si="29"/>
        <v>0</v>
      </c>
      <c r="U116" s="41">
        <f t="shared" si="29"/>
        <v>0</v>
      </c>
    </row>
    <row r="117" spans="2:21" hidden="1" outlineLevel="1">
      <c r="B117" s="14" t="s">
        <v>39</v>
      </c>
      <c r="C117" s="15" t="s">
        <v>65</v>
      </c>
      <c r="D117" s="52">
        <v>2034</v>
      </c>
      <c r="E117" s="34">
        <f t="shared" si="20"/>
        <v>198579.91503290273</v>
      </c>
      <c r="F117" s="34">
        <f t="shared" si="21"/>
        <v>60</v>
      </c>
      <c r="G117" s="34">
        <f t="shared" si="22"/>
        <v>65</v>
      </c>
      <c r="H117" s="34">
        <f t="shared" si="23"/>
        <v>9</v>
      </c>
      <c r="I117" s="34">
        <f t="shared" si="24"/>
        <v>0</v>
      </c>
      <c r="J117" s="34">
        <f t="shared" si="25"/>
        <v>9</v>
      </c>
      <c r="K117" s="34">
        <f t="shared" si="26"/>
        <v>5</v>
      </c>
      <c r="L117" s="34">
        <f t="shared" si="27"/>
        <v>60</v>
      </c>
      <c r="M117" s="34">
        <f t="shared" si="28"/>
        <v>60</v>
      </c>
      <c r="N117" s="56">
        <f t="shared" si="29"/>
        <v>0.54166666666666663</v>
      </c>
      <c r="O117" s="56">
        <f t="shared" si="29"/>
        <v>9.75</v>
      </c>
      <c r="P117" s="56">
        <f t="shared" si="29"/>
        <v>13</v>
      </c>
      <c r="Q117" s="56">
        <f t="shared" si="29"/>
        <v>13</v>
      </c>
      <c r="R117" s="56">
        <f t="shared" si="29"/>
        <v>13</v>
      </c>
      <c r="S117" s="56">
        <f t="shared" si="29"/>
        <v>5.958333333333333</v>
      </c>
      <c r="T117" s="56">
        <f t="shared" si="29"/>
        <v>0</v>
      </c>
      <c r="U117" s="41">
        <f t="shared" si="29"/>
        <v>0</v>
      </c>
    </row>
    <row r="118" spans="2:21" hidden="1" outlineLevel="1">
      <c r="B118" s="14" t="s">
        <v>39</v>
      </c>
      <c r="C118" s="15" t="s">
        <v>65</v>
      </c>
      <c r="D118" s="52">
        <v>2035</v>
      </c>
      <c r="E118" s="34">
        <f t="shared" si="20"/>
        <v>203288.85964312809</v>
      </c>
      <c r="F118" s="34">
        <f t="shared" si="21"/>
        <v>60</v>
      </c>
      <c r="G118" s="34">
        <f t="shared" si="22"/>
        <v>65</v>
      </c>
      <c r="H118" s="34">
        <f t="shared" si="23"/>
        <v>9</v>
      </c>
      <c r="I118" s="34">
        <f t="shared" si="24"/>
        <v>0</v>
      </c>
      <c r="J118" s="34">
        <f t="shared" si="25"/>
        <v>9</v>
      </c>
      <c r="K118" s="34">
        <f t="shared" si="26"/>
        <v>5</v>
      </c>
      <c r="L118" s="34">
        <f t="shared" si="27"/>
        <v>60</v>
      </c>
      <c r="M118" s="34">
        <f t="shared" si="28"/>
        <v>60</v>
      </c>
      <c r="N118" s="56">
        <f t="shared" si="29"/>
        <v>0.54166666666666663</v>
      </c>
      <c r="O118" s="56">
        <f t="shared" si="29"/>
        <v>9.75</v>
      </c>
      <c r="P118" s="56">
        <f t="shared" si="29"/>
        <v>13</v>
      </c>
      <c r="Q118" s="56">
        <f t="shared" si="29"/>
        <v>13</v>
      </c>
      <c r="R118" s="56">
        <f t="shared" si="29"/>
        <v>13</v>
      </c>
      <c r="S118" s="56">
        <f t="shared" si="29"/>
        <v>5.958333333333333</v>
      </c>
      <c r="T118" s="56">
        <f t="shared" si="29"/>
        <v>0</v>
      </c>
      <c r="U118" s="41">
        <f t="shared" si="29"/>
        <v>0</v>
      </c>
    </row>
    <row r="119" spans="2:21" hidden="1" outlineLevel="1">
      <c r="B119" s="14" t="s">
        <v>39</v>
      </c>
      <c r="C119" s="15" t="s">
        <v>65</v>
      </c>
      <c r="D119" s="52">
        <v>2036</v>
      </c>
      <c r="E119" s="34">
        <f t="shared" si="20"/>
        <v>209615.41485164294</v>
      </c>
      <c r="F119" s="34">
        <f t="shared" si="21"/>
        <v>60</v>
      </c>
      <c r="G119" s="34">
        <f t="shared" si="22"/>
        <v>65</v>
      </c>
      <c r="H119" s="34">
        <f t="shared" si="23"/>
        <v>9</v>
      </c>
      <c r="I119" s="34">
        <f t="shared" si="24"/>
        <v>0</v>
      </c>
      <c r="J119" s="34">
        <f t="shared" si="25"/>
        <v>9</v>
      </c>
      <c r="K119" s="34">
        <f t="shared" si="26"/>
        <v>5</v>
      </c>
      <c r="L119" s="34">
        <f t="shared" si="27"/>
        <v>60</v>
      </c>
      <c r="M119" s="34">
        <f t="shared" si="28"/>
        <v>60</v>
      </c>
      <c r="N119" s="56">
        <f t="shared" si="29"/>
        <v>0.54166666666666663</v>
      </c>
      <c r="O119" s="56">
        <f t="shared" si="29"/>
        <v>9.75</v>
      </c>
      <c r="P119" s="56">
        <f t="shared" si="29"/>
        <v>13</v>
      </c>
      <c r="Q119" s="56">
        <f t="shared" si="29"/>
        <v>13</v>
      </c>
      <c r="R119" s="56">
        <f t="shared" si="29"/>
        <v>13</v>
      </c>
      <c r="S119" s="56">
        <f t="shared" si="29"/>
        <v>5.958333333333333</v>
      </c>
      <c r="T119" s="56">
        <f t="shared" si="29"/>
        <v>0</v>
      </c>
      <c r="U119" s="41">
        <f t="shared" si="29"/>
        <v>0</v>
      </c>
    </row>
    <row r="120" spans="2:21" hidden="1" outlineLevel="1">
      <c r="B120" s="14" t="s">
        <v>39</v>
      </c>
      <c r="C120" s="15" t="s">
        <v>65</v>
      </c>
      <c r="D120" s="52">
        <v>2037</v>
      </c>
      <c r="E120" s="34">
        <f t="shared" si="20"/>
        <v>216931.75456905269</v>
      </c>
      <c r="F120" s="34">
        <f t="shared" si="21"/>
        <v>60</v>
      </c>
      <c r="G120" s="34">
        <f t="shared" si="22"/>
        <v>65</v>
      </c>
      <c r="H120" s="34">
        <f t="shared" si="23"/>
        <v>9</v>
      </c>
      <c r="I120" s="34">
        <f t="shared" si="24"/>
        <v>0</v>
      </c>
      <c r="J120" s="34">
        <f t="shared" si="25"/>
        <v>9</v>
      </c>
      <c r="K120" s="34">
        <f t="shared" si="26"/>
        <v>5</v>
      </c>
      <c r="L120" s="34">
        <f t="shared" si="27"/>
        <v>60</v>
      </c>
      <c r="M120" s="34">
        <f t="shared" si="28"/>
        <v>60</v>
      </c>
      <c r="N120" s="56">
        <f t="shared" ref="N120:U129" si="30">$Z$20/144*(INDEX($C$65:$O$89,MIN(MAX(12*(N$109+1)-$H120,0),24)+1,13)-INDEX($C$65:$O$89,MIN(MAX(12*(N$109+1)-$L120,0),24)+1,13-$J120)-INDEX($C$65:$O$89,MIN(MAX(12*(N$109+1)-$M120-12+$J120,0),24)+1,$J120+1))</f>
        <v>0.54166666666666663</v>
      </c>
      <c r="O120" s="56">
        <f t="shared" si="30"/>
        <v>9.75</v>
      </c>
      <c r="P120" s="56">
        <f t="shared" si="30"/>
        <v>13</v>
      </c>
      <c r="Q120" s="56">
        <f t="shared" si="30"/>
        <v>13</v>
      </c>
      <c r="R120" s="56">
        <f t="shared" si="30"/>
        <v>13</v>
      </c>
      <c r="S120" s="56">
        <f t="shared" si="30"/>
        <v>5.958333333333333</v>
      </c>
      <c r="T120" s="56">
        <f t="shared" si="30"/>
        <v>0</v>
      </c>
      <c r="U120" s="41">
        <f t="shared" si="30"/>
        <v>0</v>
      </c>
    </row>
    <row r="121" spans="2:21" hidden="1" outlineLevel="1">
      <c r="B121" s="14" t="s">
        <v>39</v>
      </c>
      <c r="C121" s="15" t="s">
        <v>65</v>
      </c>
      <c r="D121" s="52">
        <v>2038</v>
      </c>
      <c r="E121" s="34">
        <f t="shared" si="20"/>
        <v>224518.11095245375</v>
      </c>
      <c r="F121" s="34">
        <f t="shared" si="21"/>
        <v>60</v>
      </c>
      <c r="G121" s="34">
        <f t="shared" si="22"/>
        <v>65</v>
      </c>
      <c r="H121" s="34">
        <f t="shared" si="23"/>
        <v>9</v>
      </c>
      <c r="I121" s="34">
        <f t="shared" si="24"/>
        <v>0</v>
      </c>
      <c r="J121" s="34">
        <f t="shared" si="25"/>
        <v>9</v>
      </c>
      <c r="K121" s="34">
        <f t="shared" si="26"/>
        <v>5</v>
      </c>
      <c r="L121" s="34">
        <f t="shared" si="27"/>
        <v>60</v>
      </c>
      <c r="M121" s="34">
        <f t="shared" si="28"/>
        <v>60</v>
      </c>
      <c r="N121" s="56">
        <f t="shared" si="30"/>
        <v>0.54166666666666663</v>
      </c>
      <c r="O121" s="56">
        <f t="shared" si="30"/>
        <v>9.75</v>
      </c>
      <c r="P121" s="56">
        <f t="shared" si="30"/>
        <v>13</v>
      </c>
      <c r="Q121" s="56">
        <f t="shared" si="30"/>
        <v>13</v>
      </c>
      <c r="R121" s="56">
        <f t="shared" si="30"/>
        <v>13</v>
      </c>
      <c r="S121" s="56">
        <f t="shared" si="30"/>
        <v>5.958333333333333</v>
      </c>
      <c r="T121" s="56">
        <f t="shared" si="30"/>
        <v>0</v>
      </c>
      <c r="U121" s="41">
        <f t="shared" si="30"/>
        <v>0</v>
      </c>
    </row>
    <row r="122" spans="2:21" hidden="1" outlineLevel="1">
      <c r="B122" s="14" t="s">
        <v>39</v>
      </c>
      <c r="C122" s="15" t="s">
        <v>65</v>
      </c>
      <c r="D122" s="52">
        <v>2039</v>
      </c>
      <c r="E122" s="34">
        <f t="shared" si="20"/>
        <v>231423.20217673111</v>
      </c>
      <c r="F122" s="34">
        <f t="shared" si="21"/>
        <v>60</v>
      </c>
      <c r="G122" s="34">
        <f t="shared" si="22"/>
        <v>65</v>
      </c>
      <c r="H122" s="34">
        <f t="shared" si="23"/>
        <v>9</v>
      </c>
      <c r="I122" s="34">
        <f t="shared" si="24"/>
        <v>0</v>
      </c>
      <c r="J122" s="34">
        <f t="shared" si="25"/>
        <v>9</v>
      </c>
      <c r="K122" s="34">
        <f t="shared" si="26"/>
        <v>5</v>
      </c>
      <c r="L122" s="34">
        <f t="shared" si="27"/>
        <v>60</v>
      </c>
      <c r="M122" s="34">
        <f t="shared" si="28"/>
        <v>60</v>
      </c>
      <c r="N122" s="56">
        <f t="shared" si="30"/>
        <v>0.54166666666666663</v>
      </c>
      <c r="O122" s="56">
        <f t="shared" si="30"/>
        <v>9.75</v>
      </c>
      <c r="P122" s="56">
        <f t="shared" si="30"/>
        <v>13</v>
      </c>
      <c r="Q122" s="56">
        <f t="shared" si="30"/>
        <v>13</v>
      </c>
      <c r="R122" s="56">
        <f t="shared" si="30"/>
        <v>13</v>
      </c>
      <c r="S122" s="56">
        <f t="shared" si="30"/>
        <v>5.958333333333333</v>
      </c>
      <c r="T122" s="56">
        <f t="shared" si="30"/>
        <v>0</v>
      </c>
      <c r="U122" s="41">
        <f t="shared" si="30"/>
        <v>0</v>
      </c>
    </row>
    <row r="123" spans="2:21" hidden="1" outlineLevel="1">
      <c r="B123" s="14" t="s">
        <v>39</v>
      </c>
      <c r="C123" s="15" t="s">
        <v>65</v>
      </c>
      <c r="D123" s="52">
        <v>2040</v>
      </c>
      <c r="E123" s="34">
        <f t="shared" si="20"/>
        <v>236972.56743636017</v>
      </c>
      <c r="F123" s="34">
        <f t="shared" si="21"/>
        <v>60</v>
      </c>
      <c r="G123" s="34">
        <f t="shared" si="22"/>
        <v>65</v>
      </c>
      <c r="H123" s="34">
        <f t="shared" si="23"/>
        <v>9</v>
      </c>
      <c r="I123" s="34">
        <f t="shared" si="24"/>
        <v>0</v>
      </c>
      <c r="J123" s="34">
        <f t="shared" si="25"/>
        <v>9</v>
      </c>
      <c r="K123" s="34">
        <f t="shared" si="26"/>
        <v>5</v>
      </c>
      <c r="L123" s="34">
        <f t="shared" si="27"/>
        <v>60</v>
      </c>
      <c r="M123" s="34">
        <f t="shared" si="28"/>
        <v>60</v>
      </c>
      <c r="N123" s="56">
        <f t="shared" si="30"/>
        <v>0.54166666666666663</v>
      </c>
      <c r="O123" s="56">
        <f t="shared" si="30"/>
        <v>9.75</v>
      </c>
      <c r="P123" s="56">
        <f t="shared" si="30"/>
        <v>13</v>
      </c>
      <c r="Q123" s="56">
        <f t="shared" si="30"/>
        <v>13</v>
      </c>
      <c r="R123" s="56">
        <f t="shared" si="30"/>
        <v>13</v>
      </c>
      <c r="S123" s="56">
        <f t="shared" si="30"/>
        <v>5.958333333333333</v>
      </c>
      <c r="T123" s="56">
        <f t="shared" si="30"/>
        <v>0</v>
      </c>
      <c r="U123" s="41">
        <f t="shared" si="30"/>
        <v>0</v>
      </c>
    </row>
    <row r="124" spans="2:21" hidden="1" outlineLevel="1">
      <c r="B124" s="14" t="s">
        <v>39</v>
      </c>
      <c r="C124" s="15" t="s">
        <v>65</v>
      </c>
      <c r="D124" s="52">
        <v>2041</v>
      </c>
      <c r="E124" s="34">
        <f t="shared" si="20"/>
        <v>240439.46857499442</v>
      </c>
      <c r="F124" s="34">
        <f t="shared" si="21"/>
        <v>60</v>
      </c>
      <c r="G124" s="34">
        <f t="shared" si="22"/>
        <v>65</v>
      </c>
      <c r="H124" s="34">
        <f t="shared" si="23"/>
        <v>9</v>
      </c>
      <c r="I124" s="34">
        <f t="shared" si="24"/>
        <v>0</v>
      </c>
      <c r="J124" s="34">
        <f t="shared" si="25"/>
        <v>9</v>
      </c>
      <c r="K124" s="34">
        <f t="shared" si="26"/>
        <v>5</v>
      </c>
      <c r="L124" s="34">
        <f t="shared" si="27"/>
        <v>60</v>
      </c>
      <c r="M124" s="34">
        <f t="shared" si="28"/>
        <v>60</v>
      </c>
      <c r="N124" s="56">
        <f t="shared" si="30"/>
        <v>0.54166666666666663</v>
      </c>
      <c r="O124" s="56">
        <f t="shared" si="30"/>
        <v>9.75</v>
      </c>
      <c r="P124" s="56">
        <f t="shared" si="30"/>
        <v>13</v>
      </c>
      <c r="Q124" s="56">
        <f t="shared" si="30"/>
        <v>13</v>
      </c>
      <c r="R124" s="56">
        <f t="shared" si="30"/>
        <v>13</v>
      </c>
      <c r="S124" s="56">
        <f t="shared" si="30"/>
        <v>5.958333333333333</v>
      </c>
      <c r="T124" s="56">
        <f t="shared" si="30"/>
        <v>0</v>
      </c>
      <c r="U124" s="41">
        <f t="shared" si="30"/>
        <v>0</v>
      </c>
    </row>
    <row r="125" spans="2:21" hidden="1" outlineLevel="1">
      <c r="B125" s="14" t="s">
        <v>39</v>
      </c>
      <c r="C125" s="15" t="s">
        <v>65</v>
      </c>
      <c r="D125" s="52">
        <v>2042</v>
      </c>
      <c r="E125" s="34">
        <f t="shared" si="20"/>
        <v>242206.4430327751</v>
      </c>
      <c r="F125" s="34">
        <f t="shared" si="21"/>
        <v>60</v>
      </c>
      <c r="G125" s="34">
        <f t="shared" si="22"/>
        <v>65</v>
      </c>
      <c r="H125" s="34">
        <f t="shared" si="23"/>
        <v>9</v>
      </c>
      <c r="I125" s="34">
        <f t="shared" si="24"/>
        <v>0</v>
      </c>
      <c r="J125" s="34">
        <f t="shared" si="25"/>
        <v>9</v>
      </c>
      <c r="K125" s="34">
        <f t="shared" si="26"/>
        <v>5</v>
      </c>
      <c r="L125" s="34">
        <f t="shared" si="27"/>
        <v>60</v>
      </c>
      <c r="M125" s="34">
        <f t="shared" si="28"/>
        <v>60</v>
      </c>
      <c r="N125" s="56">
        <f t="shared" si="30"/>
        <v>0.54166666666666663</v>
      </c>
      <c r="O125" s="56">
        <f t="shared" si="30"/>
        <v>9.75</v>
      </c>
      <c r="P125" s="56">
        <f t="shared" si="30"/>
        <v>13</v>
      </c>
      <c r="Q125" s="56">
        <f t="shared" si="30"/>
        <v>13</v>
      </c>
      <c r="R125" s="56">
        <f t="shared" si="30"/>
        <v>13</v>
      </c>
      <c r="S125" s="56">
        <f t="shared" si="30"/>
        <v>5.958333333333333</v>
      </c>
      <c r="T125" s="56">
        <f t="shared" si="30"/>
        <v>0</v>
      </c>
      <c r="U125" s="41">
        <f t="shared" si="30"/>
        <v>0</v>
      </c>
    </row>
    <row r="126" spans="2:21" hidden="1" outlineLevel="1">
      <c r="B126" s="14" t="s">
        <v>39</v>
      </c>
      <c r="C126" s="15" t="s">
        <v>65</v>
      </c>
      <c r="D126" s="52">
        <v>2043</v>
      </c>
      <c r="E126" s="34">
        <f t="shared" si="20"/>
        <v>243586.06721494198</v>
      </c>
      <c r="F126" s="34">
        <f t="shared" si="21"/>
        <v>60</v>
      </c>
      <c r="G126" s="34">
        <f t="shared" si="22"/>
        <v>65</v>
      </c>
      <c r="H126" s="34">
        <f t="shared" si="23"/>
        <v>9</v>
      </c>
      <c r="I126" s="34">
        <f t="shared" si="24"/>
        <v>0</v>
      </c>
      <c r="J126" s="34">
        <f t="shared" si="25"/>
        <v>9</v>
      </c>
      <c r="K126" s="34">
        <f t="shared" si="26"/>
        <v>5</v>
      </c>
      <c r="L126" s="34">
        <f t="shared" si="27"/>
        <v>60</v>
      </c>
      <c r="M126" s="34">
        <f t="shared" si="28"/>
        <v>60</v>
      </c>
      <c r="N126" s="56">
        <f t="shared" si="30"/>
        <v>0.54166666666666663</v>
      </c>
      <c r="O126" s="56">
        <f t="shared" si="30"/>
        <v>9.75</v>
      </c>
      <c r="P126" s="56">
        <f t="shared" si="30"/>
        <v>13</v>
      </c>
      <c r="Q126" s="56">
        <f t="shared" si="30"/>
        <v>13</v>
      </c>
      <c r="R126" s="56">
        <f t="shared" si="30"/>
        <v>13</v>
      </c>
      <c r="S126" s="56">
        <f t="shared" si="30"/>
        <v>5.958333333333333</v>
      </c>
      <c r="T126" s="56">
        <f t="shared" si="30"/>
        <v>0</v>
      </c>
      <c r="U126" s="41">
        <f t="shared" si="30"/>
        <v>0</v>
      </c>
    </row>
    <row r="127" spans="2:21" hidden="1" outlineLevel="1">
      <c r="B127" s="14" t="s">
        <v>39</v>
      </c>
      <c r="C127" s="15" t="s">
        <v>65</v>
      </c>
      <c r="D127" s="52">
        <v>2044</v>
      </c>
      <c r="E127" s="34">
        <f t="shared" si="20"/>
        <v>244892.83502564597</v>
      </c>
      <c r="F127" s="34">
        <f t="shared" si="21"/>
        <v>60</v>
      </c>
      <c r="G127" s="34">
        <f t="shared" si="22"/>
        <v>65</v>
      </c>
      <c r="H127" s="34">
        <f t="shared" si="23"/>
        <v>9</v>
      </c>
      <c r="I127" s="34">
        <f t="shared" si="24"/>
        <v>0</v>
      </c>
      <c r="J127" s="34">
        <f t="shared" si="25"/>
        <v>9</v>
      </c>
      <c r="K127" s="34">
        <f t="shared" si="26"/>
        <v>5</v>
      </c>
      <c r="L127" s="34">
        <f t="shared" si="27"/>
        <v>60</v>
      </c>
      <c r="M127" s="34">
        <f t="shared" si="28"/>
        <v>60</v>
      </c>
      <c r="N127" s="56">
        <f t="shared" si="30"/>
        <v>0.54166666666666663</v>
      </c>
      <c r="O127" s="56">
        <f t="shared" si="30"/>
        <v>9.75</v>
      </c>
      <c r="P127" s="56">
        <f t="shared" si="30"/>
        <v>13</v>
      </c>
      <c r="Q127" s="56">
        <f t="shared" si="30"/>
        <v>13</v>
      </c>
      <c r="R127" s="56">
        <f t="shared" si="30"/>
        <v>13</v>
      </c>
      <c r="S127" s="56">
        <f t="shared" si="30"/>
        <v>5.958333333333333</v>
      </c>
      <c r="T127" s="56">
        <f t="shared" si="30"/>
        <v>0</v>
      </c>
      <c r="U127" s="41">
        <f t="shared" si="30"/>
        <v>0</v>
      </c>
    </row>
    <row r="128" spans="2:21" hidden="1" outlineLevel="1">
      <c r="B128" s="14" t="s">
        <v>39</v>
      </c>
      <c r="C128" s="15" t="s">
        <v>65</v>
      </c>
      <c r="D128" s="52">
        <v>2045</v>
      </c>
      <c r="E128" s="34">
        <f t="shared" si="20"/>
        <v>245117.04677472662</v>
      </c>
      <c r="F128" s="34">
        <f t="shared" si="21"/>
        <v>60</v>
      </c>
      <c r="G128" s="34">
        <f t="shared" si="22"/>
        <v>65</v>
      </c>
      <c r="H128" s="34">
        <f t="shared" si="23"/>
        <v>9</v>
      </c>
      <c r="I128" s="34">
        <f t="shared" si="24"/>
        <v>0</v>
      </c>
      <c r="J128" s="34">
        <f t="shared" si="25"/>
        <v>9</v>
      </c>
      <c r="K128" s="34">
        <f t="shared" si="26"/>
        <v>5</v>
      </c>
      <c r="L128" s="34">
        <f t="shared" si="27"/>
        <v>60</v>
      </c>
      <c r="M128" s="34">
        <f t="shared" si="28"/>
        <v>60</v>
      </c>
      <c r="N128" s="56">
        <f t="shared" si="30"/>
        <v>0.54166666666666663</v>
      </c>
      <c r="O128" s="56">
        <f t="shared" si="30"/>
        <v>9.75</v>
      </c>
      <c r="P128" s="56">
        <f t="shared" si="30"/>
        <v>13</v>
      </c>
      <c r="Q128" s="56">
        <f t="shared" si="30"/>
        <v>13</v>
      </c>
      <c r="R128" s="56">
        <f t="shared" si="30"/>
        <v>13</v>
      </c>
      <c r="S128" s="56">
        <f t="shared" si="30"/>
        <v>5.958333333333333</v>
      </c>
      <c r="T128" s="56">
        <f t="shared" si="30"/>
        <v>0</v>
      </c>
      <c r="U128" s="41">
        <f t="shared" si="30"/>
        <v>0</v>
      </c>
    </row>
    <row r="129" spans="2:21" hidden="1" outlineLevel="1">
      <c r="B129" s="14" t="s">
        <v>39</v>
      </c>
      <c r="C129" s="15" t="s">
        <v>65</v>
      </c>
      <c r="D129" s="52">
        <v>2046</v>
      </c>
      <c r="E129" s="34">
        <f t="shared" si="20"/>
        <v>244020.71604606134</v>
      </c>
      <c r="F129" s="34">
        <f t="shared" si="21"/>
        <v>60</v>
      </c>
      <c r="G129" s="34">
        <f t="shared" si="22"/>
        <v>65</v>
      </c>
      <c r="H129" s="34">
        <f t="shared" si="23"/>
        <v>9</v>
      </c>
      <c r="I129" s="34">
        <f t="shared" si="24"/>
        <v>0</v>
      </c>
      <c r="J129" s="34">
        <f t="shared" si="25"/>
        <v>9</v>
      </c>
      <c r="K129" s="34">
        <f t="shared" si="26"/>
        <v>5</v>
      </c>
      <c r="L129" s="34">
        <f t="shared" si="27"/>
        <v>60</v>
      </c>
      <c r="M129" s="34">
        <f t="shared" si="28"/>
        <v>60</v>
      </c>
      <c r="N129" s="56">
        <f t="shared" si="30"/>
        <v>0.54166666666666663</v>
      </c>
      <c r="O129" s="56">
        <f t="shared" si="30"/>
        <v>9.75</v>
      </c>
      <c r="P129" s="56">
        <f t="shared" si="30"/>
        <v>13</v>
      </c>
      <c r="Q129" s="56">
        <f t="shared" si="30"/>
        <v>13</v>
      </c>
      <c r="R129" s="56">
        <f t="shared" si="30"/>
        <v>13</v>
      </c>
      <c r="S129" s="56">
        <f t="shared" si="30"/>
        <v>5.958333333333333</v>
      </c>
      <c r="T129" s="56">
        <f t="shared" si="30"/>
        <v>0</v>
      </c>
      <c r="U129" s="41">
        <f t="shared" si="30"/>
        <v>0</v>
      </c>
    </row>
    <row r="130" spans="2:21" hidden="1" outlineLevel="1">
      <c r="B130" s="14" t="s">
        <v>39</v>
      </c>
      <c r="C130" s="15" t="s">
        <v>65</v>
      </c>
      <c r="D130" s="52">
        <v>2047</v>
      </c>
      <c r="E130" s="34">
        <f t="shared" si="20"/>
        <v>242007.9550594957</v>
      </c>
      <c r="F130" s="34">
        <f t="shared" si="21"/>
        <v>60</v>
      </c>
      <c r="G130" s="34">
        <f t="shared" si="22"/>
        <v>65</v>
      </c>
      <c r="H130" s="34">
        <f t="shared" si="23"/>
        <v>9</v>
      </c>
      <c r="I130" s="34">
        <f t="shared" si="24"/>
        <v>0</v>
      </c>
      <c r="J130" s="34">
        <f t="shared" si="25"/>
        <v>9</v>
      </c>
      <c r="K130" s="34">
        <f t="shared" si="26"/>
        <v>5</v>
      </c>
      <c r="L130" s="34">
        <f t="shared" si="27"/>
        <v>60</v>
      </c>
      <c r="M130" s="34">
        <f t="shared" si="28"/>
        <v>60</v>
      </c>
      <c r="N130" s="56">
        <f t="shared" ref="N130:U139" si="31">$Z$20/144*(INDEX($C$65:$O$89,MIN(MAX(12*(N$109+1)-$H130,0),24)+1,13)-INDEX($C$65:$O$89,MIN(MAX(12*(N$109+1)-$L130,0),24)+1,13-$J130)-INDEX($C$65:$O$89,MIN(MAX(12*(N$109+1)-$M130-12+$J130,0),24)+1,$J130+1))</f>
        <v>0.54166666666666663</v>
      </c>
      <c r="O130" s="56">
        <f t="shared" si="31"/>
        <v>9.75</v>
      </c>
      <c r="P130" s="56">
        <f t="shared" si="31"/>
        <v>13</v>
      </c>
      <c r="Q130" s="56">
        <f t="shared" si="31"/>
        <v>13</v>
      </c>
      <c r="R130" s="56">
        <f t="shared" si="31"/>
        <v>13</v>
      </c>
      <c r="S130" s="56">
        <f t="shared" si="31"/>
        <v>5.958333333333333</v>
      </c>
      <c r="T130" s="56">
        <f t="shared" si="31"/>
        <v>0</v>
      </c>
      <c r="U130" s="41">
        <f t="shared" si="31"/>
        <v>0</v>
      </c>
    </row>
    <row r="131" spans="2:21" hidden="1" outlineLevel="1">
      <c r="B131" s="14" t="s">
        <v>39</v>
      </c>
      <c r="C131" s="15" t="s">
        <v>65</v>
      </c>
      <c r="D131" s="52">
        <v>2048</v>
      </c>
      <c r="E131" s="34">
        <f t="shared" si="20"/>
        <v>239297.00100973074</v>
      </c>
      <c r="F131" s="34">
        <f t="shared" si="21"/>
        <v>60</v>
      </c>
      <c r="G131" s="34">
        <f t="shared" si="22"/>
        <v>65</v>
      </c>
      <c r="H131" s="34">
        <f t="shared" si="23"/>
        <v>9</v>
      </c>
      <c r="I131" s="34">
        <f t="shared" si="24"/>
        <v>0</v>
      </c>
      <c r="J131" s="34">
        <f t="shared" si="25"/>
        <v>9</v>
      </c>
      <c r="K131" s="34">
        <f t="shared" si="26"/>
        <v>5</v>
      </c>
      <c r="L131" s="34">
        <f t="shared" si="27"/>
        <v>60</v>
      </c>
      <c r="M131" s="34">
        <f t="shared" si="28"/>
        <v>60</v>
      </c>
      <c r="N131" s="56">
        <f t="shared" si="31"/>
        <v>0.54166666666666663</v>
      </c>
      <c r="O131" s="56">
        <f t="shared" si="31"/>
        <v>9.75</v>
      </c>
      <c r="P131" s="56">
        <f t="shared" si="31"/>
        <v>13</v>
      </c>
      <c r="Q131" s="56">
        <f t="shared" si="31"/>
        <v>13</v>
      </c>
      <c r="R131" s="56">
        <f t="shared" si="31"/>
        <v>13</v>
      </c>
      <c r="S131" s="56">
        <f t="shared" si="31"/>
        <v>5.958333333333333</v>
      </c>
      <c r="T131" s="56">
        <f t="shared" si="31"/>
        <v>0</v>
      </c>
      <c r="U131" s="41">
        <f t="shared" si="31"/>
        <v>0</v>
      </c>
    </row>
    <row r="132" spans="2:21" hidden="1" outlineLevel="1">
      <c r="B132" s="14" t="s">
        <v>39</v>
      </c>
      <c r="C132" s="15" t="s">
        <v>65</v>
      </c>
      <c r="D132" s="52">
        <v>2049</v>
      </c>
      <c r="E132" s="34">
        <f t="shared" si="20"/>
        <v>236788.51796949827</v>
      </c>
      <c r="F132" s="34">
        <f t="shared" si="21"/>
        <v>60</v>
      </c>
      <c r="G132" s="34">
        <f t="shared" si="22"/>
        <v>65</v>
      </c>
      <c r="H132" s="34">
        <f t="shared" si="23"/>
        <v>9</v>
      </c>
      <c r="I132" s="34">
        <f t="shared" si="24"/>
        <v>0</v>
      </c>
      <c r="J132" s="34">
        <f t="shared" si="25"/>
        <v>9</v>
      </c>
      <c r="K132" s="34">
        <f t="shared" si="26"/>
        <v>5</v>
      </c>
      <c r="L132" s="34">
        <f t="shared" si="27"/>
        <v>60</v>
      </c>
      <c r="M132" s="34">
        <f t="shared" si="28"/>
        <v>60</v>
      </c>
      <c r="N132" s="56">
        <f t="shared" si="31"/>
        <v>0.54166666666666663</v>
      </c>
      <c r="O132" s="56">
        <f t="shared" si="31"/>
        <v>9.75</v>
      </c>
      <c r="P132" s="56">
        <f t="shared" si="31"/>
        <v>13</v>
      </c>
      <c r="Q132" s="56">
        <f t="shared" si="31"/>
        <v>13</v>
      </c>
      <c r="R132" s="56">
        <f t="shared" si="31"/>
        <v>13</v>
      </c>
      <c r="S132" s="56">
        <f t="shared" si="31"/>
        <v>5.958333333333333</v>
      </c>
      <c r="T132" s="56">
        <f t="shared" si="31"/>
        <v>0</v>
      </c>
      <c r="U132" s="41">
        <f t="shared" si="31"/>
        <v>0</v>
      </c>
    </row>
    <row r="133" spans="2:21" hidden="1" outlineLevel="1">
      <c r="B133" s="14" t="s">
        <v>39</v>
      </c>
      <c r="C133" s="15" t="s">
        <v>65</v>
      </c>
      <c r="D133" s="52">
        <v>2050</v>
      </c>
      <c r="E133" s="34">
        <f t="shared" si="20"/>
        <v>235371.88474214636</v>
      </c>
      <c r="F133" s="34">
        <f t="shared" si="21"/>
        <v>60</v>
      </c>
      <c r="G133" s="34">
        <f t="shared" si="22"/>
        <v>65</v>
      </c>
      <c r="H133" s="34">
        <f t="shared" si="23"/>
        <v>9</v>
      </c>
      <c r="I133" s="34">
        <f t="shared" si="24"/>
        <v>0</v>
      </c>
      <c r="J133" s="34">
        <f t="shared" si="25"/>
        <v>9</v>
      </c>
      <c r="K133" s="34">
        <f t="shared" si="26"/>
        <v>5</v>
      </c>
      <c r="L133" s="34">
        <f t="shared" si="27"/>
        <v>60</v>
      </c>
      <c r="M133" s="34">
        <f t="shared" si="28"/>
        <v>60</v>
      </c>
      <c r="N133" s="56">
        <f t="shared" si="31"/>
        <v>0.54166666666666663</v>
      </c>
      <c r="O133" s="56">
        <f t="shared" si="31"/>
        <v>9.75</v>
      </c>
      <c r="P133" s="56">
        <f t="shared" si="31"/>
        <v>13</v>
      </c>
      <c r="Q133" s="56">
        <f t="shared" si="31"/>
        <v>13</v>
      </c>
      <c r="R133" s="56">
        <f t="shared" si="31"/>
        <v>13</v>
      </c>
      <c r="S133" s="56">
        <f t="shared" si="31"/>
        <v>5.958333333333333</v>
      </c>
      <c r="T133" s="56">
        <f t="shared" si="31"/>
        <v>0</v>
      </c>
      <c r="U133" s="41">
        <f t="shared" si="31"/>
        <v>0</v>
      </c>
    </row>
    <row r="134" spans="2:21" hidden="1" outlineLevel="1">
      <c r="B134" s="14" t="s">
        <v>39</v>
      </c>
      <c r="C134" s="15" t="s">
        <v>65</v>
      </c>
      <c r="D134" s="52">
        <v>2051</v>
      </c>
      <c r="E134" s="34">
        <f t="shared" si="20"/>
        <v>235542.15954196628</v>
      </c>
      <c r="F134" s="34">
        <f t="shared" si="21"/>
        <v>60</v>
      </c>
      <c r="G134" s="34">
        <f t="shared" si="22"/>
        <v>65</v>
      </c>
      <c r="H134" s="34">
        <f t="shared" si="23"/>
        <v>9</v>
      </c>
      <c r="I134" s="34">
        <f t="shared" si="24"/>
        <v>0</v>
      </c>
      <c r="J134" s="34">
        <f t="shared" si="25"/>
        <v>9</v>
      </c>
      <c r="K134" s="34">
        <f t="shared" si="26"/>
        <v>5</v>
      </c>
      <c r="L134" s="34">
        <f t="shared" si="27"/>
        <v>60</v>
      </c>
      <c r="M134" s="34">
        <f t="shared" si="28"/>
        <v>60</v>
      </c>
      <c r="N134" s="56">
        <f t="shared" si="31"/>
        <v>0.54166666666666663</v>
      </c>
      <c r="O134" s="56">
        <f t="shared" si="31"/>
        <v>9.75</v>
      </c>
      <c r="P134" s="56">
        <f t="shared" si="31"/>
        <v>13</v>
      </c>
      <c r="Q134" s="56">
        <f t="shared" si="31"/>
        <v>13</v>
      </c>
      <c r="R134" s="56">
        <f t="shared" si="31"/>
        <v>13</v>
      </c>
      <c r="S134" s="56">
        <f t="shared" si="31"/>
        <v>5.958333333333333</v>
      </c>
      <c r="T134" s="56">
        <f t="shared" si="31"/>
        <v>0</v>
      </c>
      <c r="U134" s="41">
        <f t="shared" si="31"/>
        <v>0</v>
      </c>
    </row>
    <row r="135" spans="2:21" hidden="1" outlineLevel="1">
      <c r="B135" s="14" t="s">
        <v>39</v>
      </c>
      <c r="C135" s="15" t="s">
        <v>65</v>
      </c>
      <c r="D135" s="52">
        <v>2052</v>
      </c>
      <c r="E135" s="34">
        <f t="shared" si="20"/>
        <v>236872.65961034497</v>
      </c>
      <c r="F135" s="34">
        <f t="shared" si="21"/>
        <v>60</v>
      </c>
      <c r="G135" s="34">
        <f t="shared" si="22"/>
        <v>65</v>
      </c>
      <c r="H135" s="34">
        <f t="shared" si="23"/>
        <v>9</v>
      </c>
      <c r="I135" s="34">
        <f t="shared" si="24"/>
        <v>0</v>
      </c>
      <c r="J135" s="34">
        <f t="shared" si="25"/>
        <v>9</v>
      </c>
      <c r="K135" s="34">
        <f t="shared" si="26"/>
        <v>5</v>
      </c>
      <c r="L135" s="34">
        <f t="shared" si="27"/>
        <v>60</v>
      </c>
      <c r="M135" s="34">
        <f t="shared" si="28"/>
        <v>60</v>
      </c>
      <c r="N135" s="56">
        <f t="shared" si="31"/>
        <v>0.54166666666666663</v>
      </c>
      <c r="O135" s="56">
        <f t="shared" si="31"/>
        <v>9.75</v>
      </c>
      <c r="P135" s="56">
        <f t="shared" si="31"/>
        <v>13</v>
      </c>
      <c r="Q135" s="56">
        <f t="shared" si="31"/>
        <v>13</v>
      </c>
      <c r="R135" s="56">
        <f t="shared" si="31"/>
        <v>13</v>
      </c>
      <c r="S135" s="56">
        <f t="shared" si="31"/>
        <v>5.958333333333333</v>
      </c>
      <c r="T135" s="56">
        <f t="shared" si="31"/>
        <v>0</v>
      </c>
      <c r="U135" s="41">
        <f t="shared" si="31"/>
        <v>0</v>
      </c>
    </row>
    <row r="136" spans="2:21" hidden="1" outlineLevel="1">
      <c r="B136" s="14" t="s">
        <v>39</v>
      </c>
      <c r="C136" s="15" t="s">
        <v>65</v>
      </c>
      <c r="D136" s="52">
        <v>2053</v>
      </c>
      <c r="E136" s="34">
        <f t="shared" si="20"/>
        <v>238261.90946345686</v>
      </c>
      <c r="F136" s="34">
        <f t="shared" si="21"/>
        <v>60</v>
      </c>
      <c r="G136" s="34">
        <f t="shared" si="22"/>
        <v>65</v>
      </c>
      <c r="H136" s="34">
        <f t="shared" si="23"/>
        <v>9</v>
      </c>
      <c r="I136" s="34">
        <f t="shared" si="24"/>
        <v>0</v>
      </c>
      <c r="J136" s="34">
        <f t="shared" si="25"/>
        <v>9</v>
      </c>
      <c r="K136" s="34">
        <f t="shared" si="26"/>
        <v>5</v>
      </c>
      <c r="L136" s="34">
        <f t="shared" si="27"/>
        <v>60</v>
      </c>
      <c r="M136" s="34">
        <f t="shared" si="28"/>
        <v>60</v>
      </c>
      <c r="N136" s="56">
        <f t="shared" si="31"/>
        <v>0.54166666666666663</v>
      </c>
      <c r="O136" s="56">
        <f t="shared" si="31"/>
        <v>9.75</v>
      </c>
      <c r="P136" s="56">
        <f t="shared" si="31"/>
        <v>13</v>
      </c>
      <c r="Q136" s="56">
        <f t="shared" si="31"/>
        <v>13</v>
      </c>
      <c r="R136" s="56">
        <f t="shared" si="31"/>
        <v>13</v>
      </c>
      <c r="S136" s="56">
        <f t="shared" si="31"/>
        <v>5.958333333333333</v>
      </c>
      <c r="T136" s="56">
        <f t="shared" si="31"/>
        <v>0</v>
      </c>
      <c r="U136" s="41">
        <f t="shared" si="31"/>
        <v>0</v>
      </c>
    </row>
    <row r="137" spans="2:21" hidden="1" outlineLevel="1">
      <c r="B137" s="14" t="s">
        <v>39</v>
      </c>
      <c r="C137" s="15" t="s">
        <v>65</v>
      </c>
      <c r="D137" s="52">
        <v>2054</v>
      </c>
      <c r="E137" s="34">
        <f t="shared" si="20"/>
        <v>239229.1234335842</v>
      </c>
      <c r="F137" s="34">
        <f t="shared" si="21"/>
        <v>60</v>
      </c>
      <c r="G137" s="34">
        <f t="shared" si="22"/>
        <v>65</v>
      </c>
      <c r="H137" s="34">
        <f t="shared" si="23"/>
        <v>9</v>
      </c>
      <c r="I137" s="34">
        <f t="shared" si="24"/>
        <v>0</v>
      </c>
      <c r="J137" s="34">
        <f t="shared" si="25"/>
        <v>9</v>
      </c>
      <c r="K137" s="34">
        <f t="shared" si="26"/>
        <v>5</v>
      </c>
      <c r="L137" s="34">
        <f t="shared" si="27"/>
        <v>60</v>
      </c>
      <c r="M137" s="34">
        <f t="shared" si="28"/>
        <v>60</v>
      </c>
      <c r="N137" s="56">
        <f t="shared" si="31"/>
        <v>0.54166666666666663</v>
      </c>
      <c r="O137" s="56">
        <f t="shared" si="31"/>
        <v>9.75</v>
      </c>
      <c r="P137" s="56">
        <f t="shared" si="31"/>
        <v>13</v>
      </c>
      <c r="Q137" s="56">
        <f t="shared" si="31"/>
        <v>13</v>
      </c>
      <c r="R137" s="56">
        <f t="shared" si="31"/>
        <v>13</v>
      </c>
      <c r="S137" s="56">
        <f t="shared" si="31"/>
        <v>5.958333333333333</v>
      </c>
      <c r="T137" s="56">
        <f t="shared" si="31"/>
        <v>0</v>
      </c>
      <c r="U137" s="41">
        <f t="shared" si="31"/>
        <v>0</v>
      </c>
    </row>
    <row r="138" spans="2:21" hidden="1" outlineLevel="1">
      <c r="B138" s="14" t="s">
        <v>39</v>
      </c>
      <c r="C138" s="15" t="s">
        <v>65</v>
      </c>
      <c r="D138" s="52">
        <v>2055</v>
      </c>
      <c r="E138" s="34">
        <f t="shared" si="20"/>
        <v>240288.7770367522</v>
      </c>
      <c r="F138" s="34">
        <f t="shared" si="21"/>
        <v>60</v>
      </c>
      <c r="G138" s="34">
        <f t="shared" si="22"/>
        <v>65</v>
      </c>
      <c r="H138" s="34">
        <f t="shared" si="23"/>
        <v>9</v>
      </c>
      <c r="I138" s="34">
        <f t="shared" si="24"/>
        <v>0</v>
      </c>
      <c r="J138" s="34">
        <f t="shared" si="25"/>
        <v>9</v>
      </c>
      <c r="K138" s="34">
        <f t="shared" si="26"/>
        <v>5</v>
      </c>
      <c r="L138" s="34">
        <f t="shared" si="27"/>
        <v>60</v>
      </c>
      <c r="M138" s="34">
        <f t="shared" si="28"/>
        <v>60</v>
      </c>
      <c r="N138" s="56">
        <f t="shared" si="31"/>
        <v>0.54166666666666663</v>
      </c>
      <c r="O138" s="56">
        <f t="shared" si="31"/>
        <v>9.75</v>
      </c>
      <c r="P138" s="56">
        <f t="shared" si="31"/>
        <v>13</v>
      </c>
      <c r="Q138" s="56">
        <f t="shared" si="31"/>
        <v>13</v>
      </c>
      <c r="R138" s="56">
        <f t="shared" si="31"/>
        <v>13</v>
      </c>
      <c r="S138" s="56">
        <f t="shared" si="31"/>
        <v>5.958333333333333</v>
      </c>
      <c r="T138" s="56">
        <f t="shared" si="31"/>
        <v>0</v>
      </c>
      <c r="U138" s="41">
        <f t="shared" si="31"/>
        <v>0</v>
      </c>
    </row>
    <row r="139" spans="2:21" hidden="1" outlineLevel="1">
      <c r="B139" s="14" t="s">
        <v>39</v>
      </c>
      <c r="C139" s="15" t="s">
        <v>65</v>
      </c>
      <c r="D139" s="52">
        <v>2056</v>
      </c>
      <c r="E139" s="34">
        <f t="shared" si="20"/>
        <v>241363.53298571319</v>
      </c>
      <c r="F139" s="34">
        <f t="shared" si="21"/>
        <v>60</v>
      </c>
      <c r="G139" s="34">
        <f t="shared" si="22"/>
        <v>65</v>
      </c>
      <c r="H139" s="34">
        <f t="shared" si="23"/>
        <v>9</v>
      </c>
      <c r="I139" s="34">
        <f t="shared" si="24"/>
        <v>0</v>
      </c>
      <c r="J139" s="34">
        <f t="shared" si="25"/>
        <v>9</v>
      </c>
      <c r="K139" s="34">
        <f t="shared" si="26"/>
        <v>5</v>
      </c>
      <c r="L139" s="34">
        <f t="shared" si="27"/>
        <v>60</v>
      </c>
      <c r="M139" s="34">
        <f t="shared" si="28"/>
        <v>60</v>
      </c>
      <c r="N139" s="56">
        <f t="shared" si="31"/>
        <v>0.54166666666666663</v>
      </c>
      <c r="O139" s="56">
        <f t="shared" si="31"/>
        <v>9.75</v>
      </c>
      <c r="P139" s="56">
        <f t="shared" si="31"/>
        <v>13</v>
      </c>
      <c r="Q139" s="56">
        <f t="shared" si="31"/>
        <v>13</v>
      </c>
      <c r="R139" s="56">
        <f t="shared" si="31"/>
        <v>13</v>
      </c>
      <c r="S139" s="56">
        <f t="shared" si="31"/>
        <v>5.958333333333333</v>
      </c>
      <c r="T139" s="56">
        <f t="shared" si="31"/>
        <v>0</v>
      </c>
      <c r="U139" s="41">
        <f t="shared" si="31"/>
        <v>0</v>
      </c>
    </row>
    <row r="140" spans="2:21" hidden="1" outlineLevel="1">
      <c r="B140" s="14" t="s">
        <v>39</v>
      </c>
      <c r="C140" s="15" t="s">
        <v>65</v>
      </c>
      <c r="D140" s="52">
        <v>2057</v>
      </c>
      <c r="E140" s="34">
        <f t="shared" si="20"/>
        <v>242316.97228879857</v>
      </c>
      <c r="F140" s="34">
        <f t="shared" si="21"/>
        <v>60</v>
      </c>
      <c r="G140" s="34">
        <f t="shared" si="22"/>
        <v>65</v>
      </c>
      <c r="H140" s="34">
        <f t="shared" si="23"/>
        <v>9</v>
      </c>
      <c r="I140" s="34">
        <f t="shared" si="24"/>
        <v>0</v>
      </c>
      <c r="J140" s="34">
        <f t="shared" si="25"/>
        <v>9</v>
      </c>
      <c r="K140" s="34">
        <f t="shared" si="26"/>
        <v>5</v>
      </c>
      <c r="L140" s="34">
        <f t="shared" si="27"/>
        <v>60</v>
      </c>
      <c r="M140" s="34">
        <f t="shared" si="28"/>
        <v>60</v>
      </c>
      <c r="N140" s="56">
        <f t="shared" ref="N140:U149" si="32">$Z$20/144*(INDEX($C$65:$O$89,MIN(MAX(12*(N$109+1)-$H140,0),24)+1,13)-INDEX($C$65:$O$89,MIN(MAX(12*(N$109+1)-$L140,0),24)+1,13-$J140)-INDEX($C$65:$O$89,MIN(MAX(12*(N$109+1)-$M140-12+$J140,0),24)+1,$J140+1))</f>
        <v>0.54166666666666663</v>
      </c>
      <c r="O140" s="56">
        <f t="shared" si="32"/>
        <v>9.75</v>
      </c>
      <c r="P140" s="56">
        <f t="shared" si="32"/>
        <v>13</v>
      </c>
      <c r="Q140" s="56">
        <f t="shared" si="32"/>
        <v>13</v>
      </c>
      <c r="R140" s="56">
        <f t="shared" si="32"/>
        <v>13</v>
      </c>
      <c r="S140" s="56">
        <f t="shared" si="32"/>
        <v>5.958333333333333</v>
      </c>
      <c r="T140" s="56">
        <f t="shared" si="32"/>
        <v>0</v>
      </c>
      <c r="U140" s="41">
        <f t="shared" si="32"/>
        <v>0</v>
      </c>
    </row>
    <row r="141" spans="2:21" hidden="1" outlineLevel="1">
      <c r="B141" s="14" t="s">
        <v>39</v>
      </c>
      <c r="C141" s="15" t="s">
        <v>65</v>
      </c>
      <c r="D141" s="52">
        <v>2058</v>
      </c>
      <c r="E141" s="34">
        <f t="shared" si="20"/>
        <v>243404.50714573826</v>
      </c>
      <c r="F141" s="34">
        <f t="shared" si="21"/>
        <v>60</v>
      </c>
      <c r="G141" s="34">
        <f t="shared" si="22"/>
        <v>65</v>
      </c>
      <c r="H141" s="34">
        <f t="shared" si="23"/>
        <v>9</v>
      </c>
      <c r="I141" s="34">
        <f t="shared" si="24"/>
        <v>0</v>
      </c>
      <c r="J141" s="34">
        <f t="shared" si="25"/>
        <v>9</v>
      </c>
      <c r="K141" s="34">
        <f t="shared" si="26"/>
        <v>5</v>
      </c>
      <c r="L141" s="34">
        <f t="shared" si="27"/>
        <v>60</v>
      </c>
      <c r="M141" s="34">
        <f t="shared" si="28"/>
        <v>60</v>
      </c>
      <c r="N141" s="56">
        <f t="shared" si="32"/>
        <v>0.54166666666666663</v>
      </c>
      <c r="O141" s="56">
        <f t="shared" si="32"/>
        <v>9.75</v>
      </c>
      <c r="P141" s="56">
        <f t="shared" si="32"/>
        <v>13</v>
      </c>
      <c r="Q141" s="56">
        <f t="shared" si="32"/>
        <v>13</v>
      </c>
      <c r="R141" s="56">
        <f t="shared" si="32"/>
        <v>13</v>
      </c>
      <c r="S141" s="56">
        <f t="shared" si="32"/>
        <v>5.958333333333333</v>
      </c>
      <c r="T141" s="56">
        <f t="shared" si="32"/>
        <v>0</v>
      </c>
      <c r="U141" s="41">
        <f t="shared" si="32"/>
        <v>0</v>
      </c>
    </row>
    <row r="142" spans="2:21" hidden="1" outlineLevel="1">
      <c r="B142" s="14" t="s">
        <v>39</v>
      </c>
      <c r="C142" s="15" t="s">
        <v>65</v>
      </c>
      <c r="D142" s="52">
        <v>2059</v>
      </c>
      <c r="E142" s="34">
        <f t="shared" ref="E142:E173" si="33">IF($C142="Homens",INDEX($C$22:$C$55,MATCH($D142,$B$22:$B$55,0)),INDEX($F$22:$F$55,MATCH($D142,$B$22:$B$55,0)))</f>
        <v>244178.54385759035</v>
      </c>
      <c r="F142" s="34">
        <f t="shared" ref="F142:F173" si="34">IF($C142="Homens",$Z$14,$AA$14)</f>
        <v>60</v>
      </c>
      <c r="G142" s="34">
        <f t="shared" ref="G142:G173" si="35">IF($C142="Homens",$Z$15,$AA$15)</f>
        <v>65</v>
      </c>
      <c r="H142" s="34">
        <f t="shared" ref="H142:H173" si="36">IF($C142="Homens",$Z$17,$AA$17)</f>
        <v>9</v>
      </c>
      <c r="I142" s="34">
        <f t="shared" ref="I142:I173" si="37">INT(H142/12)</f>
        <v>0</v>
      </c>
      <c r="J142" s="34">
        <f t="shared" ref="J142:J173" si="38">MOD(H142,12)</f>
        <v>9</v>
      </c>
      <c r="K142" s="34">
        <f t="shared" ref="K142:K173" si="39">IF($D142&lt;$Z$18,0,IF(OR($B142="Sem Transição",$Z$19&lt;=1),$G142-$F142,MIN($G142-$F142,INT(($D142-$Z$18)/($Z$19-1))+1)))</f>
        <v>5</v>
      </c>
      <c r="L142" s="34">
        <f t="shared" ref="L142:L173" si="40">MAX($H142,12*(IF(($D142+MAX($K142,$I142))&lt;$Z$18,$F142,IF($B142="Sem Transição",$G142,MIN($G142,$F142+1+INT((($D142+MAX($K142,$I142))-$Z$18)/$Z$19))))-$F142))</f>
        <v>60</v>
      </c>
      <c r="M142" s="34">
        <f t="shared" ref="M142:M173" si="41">MAX($H142,12*(IF(($D142+MAX($K142,$I142+1))&lt;$Z$18,$F142,IF($B142="Sem Transição",$G142,MIN($G142,$F142+1+INT((($D142+MAX($K142,$I142+1))-$Z$18)/$Z$19))))-$F142))</f>
        <v>60</v>
      </c>
      <c r="N142" s="56">
        <f t="shared" si="32"/>
        <v>0.54166666666666663</v>
      </c>
      <c r="O142" s="56">
        <f t="shared" si="32"/>
        <v>9.75</v>
      </c>
      <c r="P142" s="56">
        <f t="shared" si="32"/>
        <v>13</v>
      </c>
      <c r="Q142" s="56">
        <f t="shared" si="32"/>
        <v>13</v>
      </c>
      <c r="R142" s="56">
        <f t="shared" si="32"/>
        <v>13</v>
      </c>
      <c r="S142" s="56">
        <f t="shared" si="32"/>
        <v>5.958333333333333</v>
      </c>
      <c r="T142" s="56">
        <f t="shared" si="32"/>
        <v>0</v>
      </c>
      <c r="U142" s="41">
        <f t="shared" si="32"/>
        <v>0</v>
      </c>
    </row>
    <row r="143" spans="2:21" hidden="1" outlineLevel="1">
      <c r="B143" s="14" t="s">
        <v>39</v>
      </c>
      <c r="C143" s="15" t="s">
        <v>65</v>
      </c>
      <c r="D143" s="52">
        <v>2060</v>
      </c>
      <c r="E143" s="34">
        <f t="shared" si="33"/>
        <v>243093.33243846497</v>
      </c>
      <c r="F143" s="34">
        <f t="shared" si="34"/>
        <v>60</v>
      </c>
      <c r="G143" s="34">
        <f t="shared" si="35"/>
        <v>65</v>
      </c>
      <c r="H143" s="34">
        <f t="shared" si="36"/>
        <v>9</v>
      </c>
      <c r="I143" s="34">
        <f t="shared" si="37"/>
        <v>0</v>
      </c>
      <c r="J143" s="34">
        <f t="shared" si="38"/>
        <v>9</v>
      </c>
      <c r="K143" s="34">
        <f t="shared" si="39"/>
        <v>5</v>
      </c>
      <c r="L143" s="34">
        <f t="shared" si="40"/>
        <v>60</v>
      </c>
      <c r="M143" s="34">
        <f t="shared" si="41"/>
        <v>60</v>
      </c>
      <c r="N143" s="56">
        <f t="shared" si="32"/>
        <v>0.54166666666666663</v>
      </c>
      <c r="O143" s="56">
        <f t="shared" si="32"/>
        <v>9.75</v>
      </c>
      <c r="P143" s="56">
        <f t="shared" si="32"/>
        <v>13</v>
      </c>
      <c r="Q143" s="56">
        <f t="shared" si="32"/>
        <v>13</v>
      </c>
      <c r="R143" s="56">
        <f t="shared" si="32"/>
        <v>13</v>
      </c>
      <c r="S143" s="56">
        <f t="shared" si="32"/>
        <v>5.958333333333333</v>
      </c>
      <c r="T143" s="56">
        <f t="shared" si="32"/>
        <v>0</v>
      </c>
      <c r="U143" s="41">
        <f t="shared" si="32"/>
        <v>0</v>
      </c>
    </row>
    <row r="144" spans="2:21" hidden="1" outlineLevel="1">
      <c r="B144" s="14" t="s">
        <v>39</v>
      </c>
      <c r="C144" s="15" t="s">
        <v>66</v>
      </c>
      <c r="D144" s="52">
        <v>2027</v>
      </c>
      <c r="E144" s="34">
        <f t="shared" si="33"/>
        <v>210859.08323346122</v>
      </c>
      <c r="F144" s="34">
        <f t="shared" si="34"/>
        <v>55</v>
      </c>
      <c r="G144" s="34">
        <f t="shared" si="35"/>
        <v>62</v>
      </c>
      <c r="H144" s="34">
        <f t="shared" si="36"/>
        <v>16</v>
      </c>
      <c r="I144" s="34">
        <f t="shared" si="37"/>
        <v>1</v>
      </c>
      <c r="J144" s="34">
        <f t="shared" si="38"/>
        <v>4</v>
      </c>
      <c r="K144" s="34">
        <f t="shared" si="39"/>
        <v>7</v>
      </c>
      <c r="L144" s="34">
        <f t="shared" si="40"/>
        <v>84</v>
      </c>
      <c r="M144" s="34">
        <f t="shared" si="41"/>
        <v>84</v>
      </c>
      <c r="N144" s="56">
        <f t="shared" si="32"/>
        <v>0</v>
      </c>
      <c r="O144" s="56">
        <f t="shared" si="32"/>
        <v>3.25</v>
      </c>
      <c r="P144" s="56">
        <f t="shared" si="32"/>
        <v>12.458333333333334</v>
      </c>
      <c r="Q144" s="56">
        <f t="shared" si="32"/>
        <v>13</v>
      </c>
      <c r="R144" s="56">
        <f t="shared" si="32"/>
        <v>13</v>
      </c>
      <c r="S144" s="56">
        <f t="shared" si="32"/>
        <v>13</v>
      </c>
      <c r="T144" s="56">
        <f t="shared" si="32"/>
        <v>13</v>
      </c>
      <c r="U144" s="41">
        <f t="shared" si="32"/>
        <v>5.958333333333333</v>
      </c>
    </row>
    <row r="145" spans="2:21" hidden="1" outlineLevel="1">
      <c r="B145" s="14" t="s">
        <v>39</v>
      </c>
      <c r="C145" s="15" t="s">
        <v>66</v>
      </c>
      <c r="D145" s="52">
        <v>2028</v>
      </c>
      <c r="E145" s="34">
        <f t="shared" si="33"/>
        <v>213564.01136373699</v>
      </c>
      <c r="F145" s="34">
        <f t="shared" si="34"/>
        <v>55</v>
      </c>
      <c r="G145" s="34">
        <f t="shared" si="35"/>
        <v>62</v>
      </c>
      <c r="H145" s="34">
        <f t="shared" si="36"/>
        <v>16</v>
      </c>
      <c r="I145" s="34">
        <f t="shared" si="37"/>
        <v>1</v>
      </c>
      <c r="J145" s="34">
        <f t="shared" si="38"/>
        <v>4</v>
      </c>
      <c r="K145" s="34">
        <f t="shared" si="39"/>
        <v>7</v>
      </c>
      <c r="L145" s="34">
        <f t="shared" si="40"/>
        <v>84</v>
      </c>
      <c r="M145" s="34">
        <f t="shared" si="41"/>
        <v>84</v>
      </c>
      <c r="N145" s="56">
        <f t="shared" si="32"/>
        <v>0</v>
      </c>
      <c r="O145" s="56">
        <f t="shared" si="32"/>
        <v>3.25</v>
      </c>
      <c r="P145" s="56">
        <f t="shared" si="32"/>
        <v>12.458333333333334</v>
      </c>
      <c r="Q145" s="56">
        <f t="shared" si="32"/>
        <v>13</v>
      </c>
      <c r="R145" s="56">
        <f t="shared" si="32"/>
        <v>13</v>
      </c>
      <c r="S145" s="56">
        <f t="shared" si="32"/>
        <v>13</v>
      </c>
      <c r="T145" s="56">
        <f t="shared" si="32"/>
        <v>13</v>
      </c>
      <c r="U145" s="41">
        <f t="shared" si="32"/>
        <v>5.958333333333333</v>
      </c>
    </row>
    <row r="146" spans="2:21" hidden="1" outlineLevel="1">
      <c r="B146" s="14" t="s">
        <v>39</v>
      </c>
      <c r="C146" s="15" t="s">
        <v>66</v>
      </c>
      <c r="D146" s="52">
        <v>2029</v>
      </c>
      <c r="E146" s="34">
        <f t="shared" si="33"/>
        <v>216512.66062316272</v>
      </c>
      <c r="F146" s="34">
        <f t="shared" si="34"/>
        <v>55</v>
      </c>
      <c r="G146" s="34">
        <f t="shared" si="35"/>
        <v>62</v>
      </c>
      <c r="H146" s="34">
        <f t="shared" si="36"/>
        <v>16</v>
      </c>
      <c r="I146" s="34">
        <f t="shared" si="37"/>
        <v>1</v>
      </c>
      <c r="J146" s="34">
        <f t="shared" si="38"/>
        <v>4</v>
      </c>
      <c r="K146" s="34">
        <f t="shared" si="39"/>
        <v>7</v>
      </c>
      <c r="L146" s="34">
        <f t="shared" si="40"/>
        <v>84</v>
      </c>
      <c r="M146" s="34">
        <f t="shared" si="41"/>
        <v>84</v>
      </c>
      <c r="N146" s="56">
        <f t="shared" si="32"/>
        <v>0</v>
      </c>
      <c r="O146" s="56">
        <f t="shared" si="32"/>
        <v>3.25</v>
      </c>
      <c r="P146" s="56">
        <f t="shared" si="32"/>
        <v>12.458333333333334</v>
      </c>
      <c r="Q146" s="56">
        <f t="shared" si="32"/>
        <v>13</v>
      </c>
      <c r="R146" s="56">
        <f t="shared" si="32"/>
        <v>13</v>
      </c>
      <c r="S146" s="56">
        <f t="shared" si="32"/>
        <v>13</v>
      </c>
      <c r="T146" s="56">
        <f t="shared" si="32"/>
        <v>13</v>
      </c>
      <c r="U146" s="41">
        <f t="shared" si="32"/>
        <v>5.958333333333333</v>
      </c>
    </row>
    <row r="147" spans="2:21" hidden="1" outlineLevel="1">
      <c r="B147" s="14" t="s">
        <v>39</v>
      </c>
      <c r="C147" s="15" t="s">
        <v>66</v>
      </c>
      <c r="D147" s="52">
        <v>2030</v>
      </c>
      <c r="E147" s="34">
        <f t="shared" si="33"/>
        <v>221038.75332981485</v>
      </c>
      <c r="F147" s="34">
        <f t="shared" si="34"/>
        <v>55</v>
      </c>
      <c r="G147" s="34">
        <f t="shared" si="35"/>
        <v>62</v>
      </c>
      <c r="H147" s="34">
        <f t="shared" si="36"/>
        <v>16</v>
      </c>
      <c r="I147" s="34">
        <f t="shared" si="37"/>
        <v>1</v>
      </c>
      <c r="J147" s="34">
        <f t="shared" si="38"/>
        <v>4</v>
      </c>
      <c r="K147" s="34">
        <f t="shared" si="39"/>
        <v>7</v>
      </c>
      <c r="L147" s="34">
        <f t="shared" si="40"/>
        <v>84</v>
      </c>
      <c r="M147" s="34">
        <f t="shared" si="41"/>
        <v>84</v>
      </c>
      <c r="N147" s="56">
        <f t="shared" si="32"/>
        <v>0</v>
      </c>
      <c r="O147" s="56">
        <f t="shared" si="32"/>
        <v>3.25</v>
      </c>
      <c r="P147" s="56">
        <f t="shared" si="32"/>
        <v>12.458333333333334</v>
      </c>
      <c r="Q147" s="56">
        <f t="shared" si="32"/>
        <v>13</v>
      </c>
      <c r="R147" s="56">
        <f t="shared" si="32"/>
        <v>13</v>
      </c>
      <c r="S147" s="56">
        <f t="shared" si="32"/>
        <v>13</v>
      </c>
      <c r="T147" s="56">
        <f t="shared" si="32"/>
        <v>13</v>
      </c>
      <c r="U147" s="41">
        <f t="shared" si="32"/>
        <v>5.958333333333333</v>
      </c>
    </row>
    <row r="148" spans="2:21" hidden="1" outlineLevel="1">
      <c r="B148" s="14" t="s">
        <v>39</v>
      </c>
      <c r="C148" s="15" t="s">
        <v>66</v>
      </c>
      <c r="D148" s="52">
        <v>2031</v>
      </c>
      <c r="E148" s="34">
        <f t="shared" si="33"/>
        <v>227465.99631159904</v>
      </c>
      <c r="F148" s="34">
        <f t="shared" si="34"/>
        <v>55</v>
      </c>
      <c r="G148" s="34">
        <f t="shared" si="35"/>
        <v>62</v>
      </c>
      <c r="H148" s="34">
        <f t="shared" si="36"/>
        <v>16</v>
      </c>
      <c r="I148" s="34">
        <f t="shared" si="37"/>
        <v>1</v>
      </c>
      <c r="J148" s="34">
        <f t="shared" si="38"/>
        <v>4</v>
      </c>
      <c r="K148" s="34">
        <f t="shared" si="39"/>
        <v>7</v>
      </c>
      <c r="L148" s="34">
        <f t="shared" si="40"/>
        <v>84</v>
      </c>
      <c r="M148" s="34">
        <f t="shared" si="41"/>
        <v>84</v>
      </c>
      <c r="N148" s="56">
        <f t="shared" si="32"/>
        <v>0</v>
      </c>
      <c r="O148" s="56">
        <f t="shared" si="32"/>
        <v>3.25</v>
      </c>
      <c r="P148" s="56">
        <f t="shared" si="32"/>
        <v>12.458333333333334</v>
      </c>
      <c r="Q148" s="56">
        <f t="shared" si="32"/>
        <v>13</v>
      </c>
      <c r="R148" s="56">
        <f t="shared" si="32"/>
        <v>13</v>
      </c>
      <c r="S148" s="56">
        <f t="shared" si="32"/>
        <v>13</v>
      </c>
      <c r="T148" s="56">
        <f t="shared" si="32"/>
        <v>13</v>
      </c>
      <c r="U148" s="41">
        <f t="shared" si="32"/>
        <v>5.958333333333333</v>
      </c>
    </row>
    <row r="149" spans="2:21" hidden="1" outlineLevel="1">
      <c r="B149" s="14" t="s">
        <v>39</v>
      </c>
      <c r="C149" s="15" t="s">
        <v>66</v>
      </c>
      <c r="D149" s="52">
        <v>2032</v>
      </c>
      <c r="E149" s="34">
        <f t="shared" si="33"/>
        <v>235068.87223038953</v>
      </c>
      <c r="F149" s="34">
        <f t="shared" si="34"/>
        <v>55</v>
      </c>
      <c r="G149" s="34">
        <f t="shared" si="35"/>
        <v>62</v>
      </c>
      <c r="H149" s="34">
        <f t="shared" si="36"/>
        <v>16</v>
      </c>
      <c r="I149" s="34">
        <f t="shared" si="37"/>
        <v>1</v>
      </c>
      <c r="J149" s="34">
        <f t="shared" si="38"/>
        <v>4</v>
      </c>
      <c r="K149" s="34">
        <f t="shared" si="39"/>
        <v>7</v>
      </c>
      <c r="L149" s="34">
        <f t="shared" si="40"/>
        <v>84</v>
      </c>
      <c r="M149" s="34">
        <f t="shared" si="41"/>
        <v>84</v>
      </c>
      <c r="N149" s="56">
        <f t="shared" si="32"/>
        <v>0</v>
      </c>
      <c r="O149" s="56">
        <f t="shared" si="32"/>
        <v>3.25</v>
      </c>
      <c r="P149" s="56">
        <f t="shared" si="32"/>
        <v>12.458333333333334</v>
      </c>
      <c r="Q149" s="56">
        <f t="shared" si="32"/>
        <v>13</v>
      </c>
      <c r="R149" s="56">
        <f t="shared" si="32"/>
        <v>13</v>
      </c>
      <c r="S149" s="56">
        <f t="shared" si="32"/>
        <v>13</v>
      </c>
      <c r="T149" s="56">
        <f t="shared" si="32"/>
        <v>13</v>
      </c>
      <c r="U149" s="41">
        <f t="shared" si="32"/>
        <v>5.958333333333333</v>
      </c>
    </row>
    <row r="150" spans="2:21" hidden="1" outlineLevel="1">
      <c r="B150" s="14" t="s">
        <v>39</v>
      </c>
      <c r="C150" s="15" t="s">
        <v>66</v>
      </c>
      <c r="D150" s="52">
        <v>2033</v>
      </c>
      <c r="E150" s="34">
        <f t="shared" si="33"/>
        <v>243047.05359451837</v>
      </c>
      <c r="F150" s="34">
        <f t="shared" si="34"/>
        <v>55</v>
      </c>
      <c r="G150" s="34">
        <f t="shared" si="35"/>
        <v>62</v>
      </c>
      <c r="H150" s="34">
        <f t="shared" si="36"/>
        <v>16</v>
      </c>
      <c r="I150" s="34">
        <f t="shared" si="37"/>
        <v>1</v>
      </c>
      <c r="J150" s="34">
        <f t="shared" si="38"/>
        <v>4</v>
      </c>
      <c r="K150" s="34">
        <f t="shared" si="39"/>
        <v>7</v>
      </c>
      <c r="L150" s="34">
        <f t="shared" si="40"/>
        <v>84</v>
      </c>
      <c r="M150" s="34">
        <f t="shared" si="41"/>
        <v>84</v>
      </c>
      <c r="N150" s="56">
        <f t="shared" ref="N150:U159" si="42">$Z$20/144*(INDEX($C$65:$O$89,MIN(MAX(12*(N$109+1)-$H150,0),24)+1,13)-INDEX($C$65:$O$89,MIN(MAX(12*(N$109+1)-$L150,0),24)+1,13-$J150)-INDEX($C$65:$O$89,MIN(MAX(12*(N$109+1)-$M150-12+$J150,0),24)+1,$J150+1))</f>
        <v>0</v>
      </c>
      <c r="O150" s="56">
        <f t="shared" si="42"/>
        <v>3.25</v>
      </c>
      <c r="P150" s="56">
        <f t="shared" si="42"/>
        <v>12.458333333333334</v>
      </c>
      <c r="Q150" s="56">
        <f t="shared" si="42"/>
        <v>13</v>
      </c>
      <c r="R150" s="56">
        <f t="shared" si="42"/>
        <v>13</v>
      </c>
      <c r="S150" s="56">
        <f t="shared" si="42"/>
        <v>13</v>
      </c>
      <c r="T150" s="56">
        <f t="shared" si="42"/>
        <v>13</v>
      </c>
      <c r="U150" s="41">
        <f t="shared" si="42"/>
        <v>5.958333333333333</v>
      </c>
    </row>
    <row r="151" spans="2:21" hidden="1" outlineLevel="1">
      <c r="B151" s="14" t="s">
        <v>39</v>
      </c>
      <c r="C151" s="15" t="s">
        <v>66</v>
      </c>
      <c r="D151" s="52">
        <v>2034</v>
      </c>
      <c r="E151" s="34">
        <f t="shared" si="33"/>
        <v>250194.79520391821</v>
      </c>
      <c r="F151" s="34">
        <f t="shared" si="34"/>
        <v>55</v>
      </c>
      <c r="G151" s="34">
        <f t="shared" si="35"/>
        <v>62</v>
      </c>
      <c r="H151" s="34">
        <f t="shared" si="36"/>
        <v>16</v>
      </c>
      <c r="I151" s="34">
        <f t="shared" si="37"/>
        <v>1</v>
      </c>
      <c r="J151" s="34">
        <f t="shared" si="38"/>
        <v>4</v>
      </c>
      <c r="K151" s="34">
        <f t="shared" si="39"/>
        <v>7</v>
      </c>
      <c r="L151" s="34">
        <f t="shared" si="40"/>
        <v>84</v>
      </c>
      <c r="M151" s="34">
        <f t="shared" si="41"/>
        <v>84</v>
      </c>
      <c r="N151" s="56">
        <f t="shared" si="42"/>
        <v>0</v>
      </c>
      <c r="O151" s="56">
        <f t="shared" si="42"/>
        <v>3.25</v>
      </c>
      <c r="P151" s="56">
        <f t="shared" si="42"/>
        <v>12.458333333333334</v>
      </c>
      <c r="Q151" s="56">
        <f t="shared" si="42"/>
        <v>13</v>
      </c>
      <c r="R151" s="56">
        <f t="shared" si="42"/>
        <v>13</v>
      </c>
      <c r="S151" s="56">
        <f t="shared" si="42"/>
        <v>13</v>
      </c>
      <c r="T151" s="56">
        <f t="shared" si="42"/>
        <v>13</v>
      </c>
      <c r="U151" s="41">
        <f t="shared" si="42"/>
        <v>5.958333333333333</v>
      </c>
    </row>
    <row r="152" spans="2:21" hidden="1" outlineLevel="1">
      <c r="B152" s="14" t="s">
        <v>39</v>
      </c>
      <c r="C152" s="15" t="s">
        <v>66</v>
      </c>
      <c r="D152" s="52">
        <v>2035</v>
      </c>
      <c r="E152" s="34">
        <f t="shared" si="33"/>
        <v>255651.38820609573</v>
      </c>
      <c r="F152" s="34">
        <f t="shared" si="34"/>
        <v>55</v>
      </c>
      <c r="G152" s="34">
        <f t="shared" si="35"/>
        <v>62</v>
      </c>
      <c r="H152" s="34">
        <f t="shared" si="36"/>
        <v>16</v>
      </c>
      <c r="I152" s="34">
        <f t="shared" si="37"/>
        <v>1</v>
      </c>
      <c r="J152" s="34">
        <f t="shared" si="38"/>
        <v>4</v>
      </c>
      <c r="K152" s="34">
        <f t="shared" si="39"/>
        <v>7</v>
      </c>
      <c r="L152" s="34">
        <f t="shared" si="40"/>
        <v>84</v>
      </c>
      <c r="M152" s="34">
        <f t="shared" si="41"/>
        <v>84</v>
      </c>
      <c r="N152" s="56">
        <f t="shared" si="42"/>
        <v>0</v>
      </c>
      <c r="O152" s="56">
        <f t="shared" si="42"/>
        <v>3.25</v>
      </c>
      <c r="P152" s="56">
        <f t="shared" si="42"/>
        <v>12.458333333333334</v>
      </c>
      <c r="Q152" s="56">
        <f t="shared" si="42"/>
        <v>13</v>
      </c>
      <c r="R152" s="56">
        <f t="shared" si="42"/>
        <v>13</v>
      </c>
      <c r="S152" s="56">
        <f t="shared" si="42"/>
        <v>13</v>
      </c>
      <c r="T152" s="56">
        <f t="shared" si="42"/>
        <v>13</v>
      </c>
      <c r="U152" s="41">
        <f t="shared" si="42"/>
        <v>5.958333333333333</v>
      </c>
    </row>
    <row r="153" spans="2:21" hidden="1" outlineLevel="1">
      <c r="B153" s="14" t="s">
        <v>39</v>
      </c>
      <c r="C153" s="15" t="s">
        <v>66</v>
      </c>
      <c r="D153" s="52">
        <v>2036</v>
      </c>
      <c r="E153" s="34">
        <f t="shared" si="33"/>
        <v>258603.01732488684</v>
      </c>
      <c r="F153" s="34">
        <f t="shared" si="34"/>
        <v>55</v>
      </c>
      <c r="G153" s="34">
        <f t="shared" si="35"/>
        <v>62</v>
      </c>
      <c r="H153" s="34">
        <f t="shared" si="36"/>
        <v>16</v>
      </c>
      <c r="I153" s="34">
        <f t="shared" si="37"/>
        <v>1</v>
      </c>
      <c r="J153" s="34">
        <f t="shared" si="38"/>
        <v>4</v>
      </c>
      <c r="K153" s="34">
        <f t="shared" si="39"/>
        <v>7</v>
      </c>
      <c r="L153" s="34">
        <f t="shared" si="40"/>
        <v>84</v>
      </c>
      <c r="M153" s="34">
        <f t="shared" si="41"/>
        <v>84</v>
      </c>
      <c r="N153" s="56">
        <f t="shared" si="42"/>
        <v>0</v>
      </c>
      <c r="O153" s="56">
        <f t="shared" si="42"/>
        <v>3.25</v>
      </c>
      <c r="P153" s="56">
        <f t="shared" si="42"/>
        <v>12.458333333333334</v>
      </c>
      <c r="Q153" s="56">
        <f t="shared" si="42"/>
        <v>13</v>
      </c>
      <c r="R153" s="56">
        <f t="shared" si="42"/>
        <v>13</v>
      </c>
      <c r="S153" s="56">
        <f t="shared" si="42"/>
        <v>13</v>
      </c>
      <c r="T153" s="56">
        <f t="shared" si="42"/>
        <v>13</v>
      </c>
      <c r="U153" s="41">
        <f t="shared" si="42"/>
        <v>5.958333333333333</v>
      </c>
    </row>
    <row r="154" spans="2:21" hidden="1" outlineLevel="1">
      <c r="B154" s="14" t="s">
        <v>39</v>
      </c>
      <c r="C154" s="15" t="s">
        <v>66</v>
      </c>
      <c r="D154" s="52">
        <v>2037</v>
      </c>
      <c r="E154" s="34">
        <f t="shared" si="33"/>
        <v>259555.4744788942</v>
      </c>
      <c r="F154" s="34">
        <f t="shared" si="34"/>
        <v>55</v>
      </c>
      <c r="G154" s="34">
        <f t="shared" si="35"/>
        <v>62</v>
      </c>
      <c r="H154" s="34">
        <f t="shared" si="36"/>
        <v>16</v>
      </c>
      <c r="I154" s="34">
        <f t="shared" si="37"/>
        <v>1</v>
      </c>
      <c r="J154" s="34">
        <f t="shared" si="38"/>
        <v>4</v>
      </c>
      <c r="K154" s="34">
        <f t="shared" si="39"/>
        <v>7</v>
      </c>
      <c r="L154" s="34">
        <f t="shared" si="40"/>
        <v>84</v>
      </c>
      <c r="M154" s="34">
        <f t="shared" si="41"/>
        <v>84</v>
      </c>
      <c r="N154" s="56">
        <f t="shared" si="42"/>
        <v>0</v>
      </c>
      <c r="O154" s="56">
        <f t="shared" si="42"/>
        <v>3.25</v>
      </c>
      <c r="P154" s="56">
        <f t="shared" si="42"/>
        <v>12.458333333333334</v>
      </c>
      <c r="Q154" s="56">
        <f t="shared" si="42"/>
        <v>13</v>
      </c>
      <c r="R154" s="56">
        <f t="shared" si="42"/>
        <v>13</v>
      </c>
      <c r="S154" s="56">
        <f t="shared" si="42"/>
        <v>13</v>
      </c>
      <c r="T154" s="56">
        <f t="shared" si="42"/>
        <v>13</v>
      </c>
      <c r="U154" s="41">
        <f t="shared" si="42"/>
        <v>5.958333333333333</v>
      </c>
    </row>
    <row r="155" spans="2:21" hidden="1" outlineLevel="1">
      <c r="B155" s="14" t="s">
        <v>39</v>
      </c>
      <c r="C155" s="15" t="s">
        <v>66</v>
      </c>
      <c r="D155" s="52">
        <v>2038</v>
      </c>
      <c r="E155" s="34">
        <f t="shared" si="33"/>
        <v>260004.02173074023</v>
      </c>
      <c r="F155" s="34">
        <f t="shared" si="34"/>
        <v>55</v>
      </c>
      <c r="G155" s="34">
        <f t="shared" si="35"/>
        <v>62</v>
      </c>
      <c r="H155" s="34">
        <f t="shared" si="36"/>
        <v>16</v>
      </c>
      <c r="I155" s="34">
        <f t="shared" si="37"/>
        <v>1</v>
      </c>
      <c r="J155" s="34">
        <f t="shared" si="38"/>
        <v>4</v>
      </c>
      <c r="K155" s="34">
        <f t="shared" si="39"/>
        <v>7</v>
      </c>
      <c r="L155" s="34">
        <f t="shared" si="40"/>
        <v>84</v>
      </c>
      <c r="M155" s="34">
        <f t="shared" si="41"/>
        <v>84</v>
      </c>
      <c r="N155" s="56">
        <f t="shared" si="42"/>
        <v>0</v>
      </c>
      <c r="O155" s="56">
        <f t="shared" si="42"/>
        <v>3.25</v>
      </c>
      <c r="P155" s="56">
        <f t="shared" si="42"/>
        <v>12.458333333333334</v>
      </c>
      <c r="Q155" s="56">
        <f t="shared" si="42"/>
        <v>13</v>
      </c>
      <c r="R155" s="56">
        <f t="shared" si="42"/>
        <v>13</v>
      </c>
      <c r="S155" s="56">
        <f t="shared" si="42"/>
        <v>13</v>
      </c>
      <c r="T155" s="56">
        <f t="shared" si="42"/>
        <v>13</v>
      </c>
      <c r="U155" s="41">
        <f t="shared" si="42"/>
        <v>5.958333333333333</v>
      </c>
    </row>
    <row r="156" spans="2:21" hidden="1" outlineLevel="1">
      <c r="B156" s="14" t="s">
        <v>39</v>
      </c>
      <c r="C156" s="15" t="s">
        <v>66</v>
      </c>
      <c r="D156" s="52">
        <v>2039</v>
      </c>
      <c r="E156" s="34">
        <f t="shared" si="33"/>
        <v>260414.30131494626</v>
      </c>
      <c r="F156" s="34">
        <f t="shared" si="34"/>
        <v>55</v>
      </c>
      <c r="G156" s="34">
        <f t="shared" si="35"/>
        <v>62</v>
      </c>
      <c r="H156" s="34">
        <f t="shared" si="36"/>
        <v>16</v>
      </c>
      <c r="I156" s="34">
        <f t="shared" si="37"/>
        <v>1</v>
      </c>
      <c r="J156" s="34">
        <f t="shared" si="38"/>
        <v>4</v>
      </c>
      <c r="K156" s="34">
        <f t="shared" si="39"/>
        <v>7</v>
      </c>
      <c r="L156" s="34">
        <f t="shared" si="40"/>
        <v>84</v>
      </c>
      <c r="M156" s="34">
        <f t="shared" si="41"/>
        <v>84</v>
      </c>
      <c r="N156" s="56">
        <f t="shared" si="42"/>
        <v>0</v>
      </c>
      <c r="O156" s="56">
        <f t="shared" si="42"/>
        <v>3.25</v>
      </c>
      <c r="P156" s="56">
        <f t="shared" si="42"/>
        <v>12.458333333333334</v>
      </c>
      <c r="Q156" s="56">
        <f t="shared" si="42"/>
        <v>13</v>
      </c>
      <c r="R156" s="56">
        <f t="shared" si="42"/>
        <v>13</v>
      </c>
      <c r="S156" s="56">
        <f t="shared" si="42"/>
        <v>13</v>
      </c>
      <c r="T156" s="56">
        <f t="shared" si="42"/>
        <v>13</v>
      </c>
      <c r="U156" s="41">
        <f t="shared" si="42"/>
        <v>5.958333333333333</v>
      </c>
    </row>
    <row r="157" spans="2:21" hidden="1" outlineLevel="1">
      <c r="B157" s="14" t="s">
        <v>39</v>
      </c>
      <c r="C157" s="15" t="s">
        <v>66</v>
      </c>
      <c r="D157" s="52">
        <v>2040</v>
      </c>
      <c r="E157" s="34">
        <f t="shared" si="33"/>
        <v>259758.73225455589</v>
      </c>
      <c r="F157" s="34">
        <f t="shared" si="34"/>
        <v>55</v>
      </c>
      <c r="G157" s="34">
        <f t="shared" si="35"/>
        <v>62</v>
      </c>
      <c r="H157" s="34">
        <f t="shared" si="36"/>
        <v>16</v>
      </c>
      <c r="I157" s="34">
        <f t="shared" si="37"/>
        <v>1</v>
      </c>
      <c r="J157" s="34">
        <f t="shared" si="38"/>
        <v>4</v>
      </c>
      <c r="K157" s="34">
        <f t="shared" si="39"/>
        <v>7</v>
      </c>
      <c r="L157" s="34">
        <f t="shared" si="40"/>
        <v>84</v>
      </c>
      <c r="M157" s="34">
        <f t="shared" si="41"/>
        <v>84</v>
      </c>
      <c r="N157" s="56">
        <f t="shared" si="42"/>
        <v>0</v>
      </c>
      <c r="O157" s="56">
        <f t="shared" si="42"/>
        <v>3.25</v>
      </c>
      <c r="P157" s="56">
        <f t="shared" si="42"/>
        <v>12.458333333333334</v>
      </c>
      <c r="Q157" s="56">
        <f t="shared" si="42"/>
        <v>13</v>
      </c>
      <c r="R157" s="56">
        <f t="shared" si="42"/>
        <v>13</v>
      </c>
      <c r="S157" s="56">
        <f t="shared" si="42"/>
        <v>13</v>
      </c>
      <c r="T157" s="56">
        <f t="shared" si="42"/>
        <v>13</v>
      </c>
      <c r="U157" s="41">
        <f t="shared" si="42"/>
        <v>5.958333333333333</v>
      </c>
    </row>
    <row r="158" spans="2:21" hidden="1" outlineLevel="1">
      <c r="B158" s="14" t="s">
        <v>39</v>
      </c>
      <c r="C158" s="15" t="s">
        <v>66</v>
      </c>
      <c r="D158" s="52">
        <v>2041</v>
      </c>
      <c r="E158" s="34">
        <f t="shared" si="33"/>
        <v>257874.67696209907</v>
      </c>
      <c r="F158" s="34">
        <f t="shared" si="34"/>
        <v>55</v>
      </c>
      <c r="G158" s="34">
        <f t="shared" si="35"/>
        <v>62</v>
      </c>
      <c r="H158" s="34">
        <f t="shared" si="36"/>
        <v>16</v>
      </c>
      <c r="I158" s="34">
        <f t="shared" si="37"/>
        <v>1</v>
      </c>
      <c r="J158" s="34">
        <f t="shared" si="38"/>
        <v>4</v>
      </c>
      <c r="K158" s="34">
        <f t="shared" si="39"/>
        <v>7</v>
      </c>
      <c r="L158" s="34">
        <f t="shared" si="40"/>
        <v>84</v>
      </c>
      <c r="M158" s="34">
        <f t="shared" si="41"/>
        <v>84</v>
      </c>
      <c r="N158" s="56">
        <f t="shared" si="42"/>
        <v>0</v>
      </c>
      <c r="O158" s="56">
        <f t="shared" si="42"/>
        <v>3.25</v>
      </c>
      <c r="P158" s="56">
        <f t="shared" si="42"/>
        <v>12.458333333333334</v>
      </c>
      <c r="Q158" s="56">
        <f t="shared" si="42"/>
        <v>13</v>
      </c>
      <c r="R158" s="56">
        <f t="shared" si="42"/>
        <v>13</v>
      </c>
      <c r="S158" s="56">
        <f t="shared" si="42"/>
        <v>13</v>
      </c>
      <c r="T158" s="56">
        <f t="shared" si="42"/>
        <v>13</v>
      </c>
      <c r="U158" s="41">
        <f t="shared" si="42"/>
        <v>5.958333333333333</v>
      </c>
    </row>
    <row r="159" spans="2:21" hidden="1" outlineLevel="1">
      <c r="B159" s="14" t="s">
        <v>39</v>
      </c>
      <c r="C159" s="15" t="s">
        <v>66</v>
      </c>
      <c r="D159" s="52">
        <v>2042</v>
      </c>
      <c r="E159" s="34">
        <f t="shared" si="33"/>
        <v>255152.18334503769</v>
      </c>
      <c r="F159" s="34">
        <f t="shared" si="34"/>
        <v>55</v>
      </c>
      <c r="G159" s="34">
        <f t="shared" si="35"/>
        <v>62</v>
      </c>
      <c r="H159" s="34">
        <f t="shared" si="36"/>
        <v>16</v>
      </c>
      <c r="I159" s="34">
        <f t="shared" si="37"/>
        <v>1</v>
      </c>
      <c r="J159" s="34">
        <f t="shared" si="38"/>
        <v>4</v>
      </c>
      <c r="K159" s="34">
        <f t="shared" si="39"/>
        <v>7</v>
      </c>
      <c r="L159" s="34">
        <f t="shared" si="40"/>
        <v>84</v>
      </c>
      <c r="M159" s="34">
        <f t="shared" si="41"/>
        <v>84</v>
      </c>
      <c r="N159" s="56">
        <f t="shared" si="42"/>
        <v>0</v>
      </c>
      <c r="O159" s="56">
        <f t="shared" si="42"/>
        <v>3.25</v>
      </c>
      <c r="P159" s="56">
        <f t="shared" si="42"/>
        <v>12.458333333333334</v>
      </c>
      <c r="Q159" s="56">
        <f t="shared" si="42"/>
        <v>13</v>
      </c>
      <c r="R159" s="56">
        <f t="shared" si="42"/>
        <v>13</v>
      </c>
      <c r="S159" s="56">
        <f t="shared" si="42"/>
        <v>13</v>
      </c>
      <c r="T159" s="56">
        <f t="shared" si="42"/>
        <v>13</v>
      </c>
      <c r="U159" s="41">
        <f t="shared" si="42"/>
        <v>5.958333333333333</v>
      </c>
    </row>
    <row r="160" spans="2:21" hidden="1" outlineLevel="1">
      <c r="B160" s="14" t="s">
        <v>39</v>
      </c>
      <c r="C160" s="15" t="s">
        <v>66</v>
      </c>
      <c r="D160" s="52">
        <v>2043</v>
      </c>
      <c r="E160" s="34">
        <f t="shared" si="33"/>
        <v>251654.29895415573</v>
      </c>
      <c r="F160" s="34">
        <f t="shared" si="34"/>
        <v>55</v>
      </c>
      <c r="G160" s="34">
        <f t="shared" si="35"/>
        <v>62</v>
      </c>
      <c r="H160" s="34">
        <f t="shared" si="36"/>
        <v>16</v>
      </c>
      <c r="I160" s="34">
        <f t="shared" si="37"/>
        <v>1</v>
      </c>
      <c r="J160" s="34">
        <f t="shared" si="38"/>
        <v>4</v>
      </c>
      <c r="K160" s="34">
        <f t="shared" si="39"/>
        <v>7</v>
      </c>
      <c r="L160" s="34">
        <f t="shared" si="40"/>
        <v>84</v>
      </c>
      <c r="M160" s="34">
        <f t="shared" si="41"/>
        <v>84</v>
      </c>
      <c r="N160" s="56">
        <f t="shared" ref="N160:U169" si="43">$Z$20/144*(INDEX($C$65:$O$89,MIN(MAX(12*(N$109+1)-$H160,0),24)+1,13)-INDEX($C$65:$O$89,MIN(MAX(12*(N$109+1)-$L160,0),24)+1,13-$J160)-INDEX($C$65:$O$89,MIN(MAX(12*(N$109+1)-$M160-12+$J160,0),24)+1,$J160+1))</f>
        <v>0</v>
      </c>
      <c r="O160" s="56">
        <f t="shared" si="43"/>
        <v>3.25</v>
      </c>
      <c r="P160" s="56">
        <f t="shared" si="43"/>
        <v>12.458333333333334</v>
      </c>
      <c r="Q160" s="56">
        <f t="shared" si="43"/>
        <v>13</v>
      </c>
      <c r="R160" s="56">
        <f t="shared" si="43"/>
        <v>13</v>
      </c>
      <c r="S160" s="56">
        <f t="shared" si="43"/>
        <v>13</v>
      </c>
      <c r="T160" s="56">
        <f t="shared" si="43"/>
        <v>13</v>
      </c>
      <c r="U160" s="41">
        <f t="shared" si="43"/>
        <v>5.958333333333333</v>
      </c>
    </row>
    <row r="161" spans="2:21" hidden="1" outlineLevel="1">
      <c r="B161" s="14" t="s">
        <v>39</v>
      </c>
      <c r="C161" s="15" t="s">
        <v>66</v>
      </c>
      <c r="D161" s="52">
        <v>2044</v>
      </c>
      <c r="E161" s="34">
        <f t="shared" si="33"/>
        <v>248316.22912608186</v>
      </c>
      <c r="F161" s="34">
        <f t="shared" si="34"/>
        <v>55</v>
      </c>
      <c r="G161" s="34">
        <f t="shared" si="35"/>
        <v>62</v>
      </c>
      <c r="H161" s="34">
        <f t="shared" si="36"/>
        <v>16</v>
      </c>
      <c r="I161" s="34">
        <f t="shared" si="37"/>
        <v>1</v>
      </c>
      <c r="J161" s="34">
        <f t="shared" si="38"/>
        <v>4</v>
      </c>
      <c r="K161" s="34">
        <f t="shared" si="39"/>
        <v>7</v>
      </c>
      <c r="L161" s="34">
        <f t="shared" si="40"/>
        <v>84</v>
      </c>
      <c r="M161" s="34">
        <f t="shared" si="41"/>
        <v>84</v>
      </c>
      <c r="N161" s="56">
        <f t="shared" si="43"/>
        <v>0</v>
      </c>
      <c r="O161" s="56">
        <f t="shared" si="43"/>
        <v>3.25</v>
      </c>
      <c r="P161" s="56">
        <f t="shared" si="43"/>
        <v>12.458333333333334</v>
      </c>
      <c r="Q161" s="56">
        <f t="shared" si="43"/>
        <v>13</v>
      </c>
      <c r="R161" s="56">
        <f t="shared" si="43"/>
        <v>13</v>
      </c>
      <c r="S161" s="56">
        <f t="shared" si="43"/>
        <v>13</v>
      </c>
      <c r="T161" s="56">
        <f t="shared" si="43"/>
        <v>13</v>
      </c>
      <c r="U161" s="41">
        <f t="shared" si="43"/>
        <v>5.958333333333333</v>
      </c>
    </row>
    <row r="162" spans="2:21" hidden="1" outlineLevel="1">
      <c r="B162" s="14" t="s">
        <v>39</v>
      </c>
      <c r="C162" s="15" t="s">
        <v>66</v>
      </c>
      <c r="D162" s="52">
        <v>2045</v>
      </c>
      <c r="E162" s="34">
        <f t="shared" si="33"/>
        <v>246159.90878844855</v>
      </c>
      <c r="F162" s="34">
        <f t="shared" si="34"/>
        <v>55</v>
      </c>
      <c r="G162" s="34">
        <f t="shared" si="35"/>
        <v>62</v>
      </c>
      <c r="H162" s="34">
        <f t="shared" si="36"/>
        <v>16</v>
      </c>
      <c r="I162" s="34">
        <f t="shared" si="37"/>
        <v>1</v>
      </c>
      <c r="J162" s="34">
        <f t="shared" si="38"/>
        <v>4</v>
      </c>
      <c r="K162" s="34">
        <f t="shared" si="39"/>
        <v>7</v>
      </c>
      <c r="L162" s="34">
        <f t="shared" si="40"/>
        <v>84</v>
      </c>
      <c r="M162" s="34">
        <f t="shared" si="41"/>
        <v>84</v>
      </c>
      <c r="N162" s="56">
        <f t="shared" si="43"/>
        <v>0</v>
      </c>
      <c r="O162" s="56">
        <f t="shared" si="43"/>
        <v>3.25</v>
      </c>
      <c r="P162" s="56">
        <f t="shared" si="43"/>
        <v>12.458333333333334</v>
      </c>
      <c r="Q162" s="56">
        <f t="shared" si="43"/>
        <v>13</v>
      </c>
      <c r="R162" s="56">
        <f t="shared" si="43"/>
        <v>13</v>
      </c>
      <c r="S162" s="56">
        <f t="shared" si="43"/>
        <v>13</v>
      </c>
      <c r="T162" s="56">
        <f t="shared" si="43"/>
        <v>13</v>
      </c>
      <c r="U162" s="41">
        <f t="shared" si="43"/>
        <v>5.958333333333333</v>
      </c>
    </row>
    <row r="163" spans="2:21" hidden="1" outlineLevel="1">
      <c r="B163" s="14" t="s">
        <v>39</v>
      </c>
      <c r="C163" s="15" t="s">
        <v>66</v>
      </c>
      <c r="D163" s="52">
        <v>2046</v>
      </c>
      <c r="E163" s="34">
        <f t="shared" si="33"/>
        <v>245733.4752297879</v>
      </c>
      <c r="F163" s="34">
        <f t="shared" si="34"/>
        <v>55</v>
      </c>
      <c r="G163" s="34">
        <f t="shared" si="35"/>
        <v>62</v>
      </c>
      <c r="H163" s="34">
        <f t="shared" si="36"/>
        <v>16</v>
      </c>
      <c r="I163" s="34">
        <f t="shared" si="37"/>
        <v>1</v>
      </c>
      <c r="J163" s="34">
        <f t="shared" si="38"/>
        <v>4</v>
      </c>
      <c r="K163" s="34">
        <f t="shared" si="39"/>
        <v>7</v>
      </c>
      <c r="L163" s="34">
        <f t="shared" si="40"/>
        <v>84</v>
      </c>
      <c r="M163" s="34">
        <f t="shared" si="41"/>
        <v>84</v>
      </c>
      <c r="N163" s="56">
        <f t="shared" si="43"/>
        <v>0</v>
      </c>
      <c r="O163" s="56">
        <f t="shared" si="43"/>
        <v>3.25</v>
      </c>
      <c r="P163" s="56">
        <f t="shared" si="43"/>
        <v>12.458333333333334</v>
      </c>
      <c r="Q163" s="56">
        <f t="shared" si="43"/>
        <v>13</v>
      </c>
      <c r="R163" s="56">
        <f t="shared" si="43"/>
        <v>13</v>
      </c>
      <c r="S163" s="56">
        <f t="shared" si="43"/>
        <v>13</v>
      </c>
      <c r="T163" s="56">
        <f t="shared" si="43"/>
        <v>13</v>
      </c>
      <c r="U163" s="41">
        <f t="shared" si="43"/>
        <v>5.958333333333333</v>
      </c>
    </row>
    <row r="164" spans="2:21" hidden="1" outlineLevel="1">
      <c r="B164" s="14" t="s">
        <v>39</v>
      </c>
      <c r="C164" s="15" t="s">
        <v>66</v>
      </c>
      <c r="D164" s="52">
        <v>2047</v>
      </c>
      <c r="E164" s="34">
        <f t="shared" si="33"/>
        <v>246539.91927489013</v>
      </c>
      <c r="F164" s="34">
        <f t="shared" si="34"/>
        <v>55</v>
      </c>
      <c r="G164" s="34">
        <f t="shared" si="35"/>
        <v>62</v>
      </c>
      <c r="H164" s="34">
        <f t="shared" si="36"/>
        <v>16</v>
      </c>
      <c r="I164" s="34">
        <f t="shared" si="37"/>
        <v>1</v>
      </c>
      <c r="J164" s="34">
        <f t="shared" si="38"/>
        <v>4</v>
      </c>
      <c r="K164" s="34">
        <f t="shared" si="39"/>
        <v>7</v>
      </c>
      <c r="L164" s="34">
        <f t="shared" si="40"/>
        <v>84</v>
      </c>
      <c r="M164" s="34">
        <f t="shared" si="41"/>
        <v>84</v>
      </c>
      <c r="N164" s="56">
        <f t="shared" si="43"/>
        <v>0</v>
      </c>
      <c r="O164" s="56">
        <f t="shared" si="43"/>
        <v>3.25</v>
      </c>
      <c r="P164" s="56">
        <f t="shared" si="43"/>
        <v>12.458333333333334</v>
      </c>
      <c r="Q164" s="56">
        <f t="shared" si="43"/>
        <v>13</v>
      </c>
      <c r="R164" s="56">
        <f t="shared" si="43"/>
        <v>13</v>
      </c>
      <c r="S164" s="56">
        <f t="shared" si="43"/>
        <v>13</v>
      </c>
      <c r="T164" s="56">
        <f t="shared" si="43"/>
        <v>13</v>
      </c>
      <c r="U164" s="41">
        <f t="shared" si="43"/>
        <v>5.958333333333333</v>
      </c>
    </row>
    <row r="165" spans="2:21" hidden="1" outlineLevel="1">
      <c r="B165" s="14" t="s">
        <v>39</v>
      </c>
      <c r="C165" s="15" t="s">
        <v>66</v>
      </c>
      <c r="D165" s="52">
        <v>2048</v>
      </c>
      <c r="E165" s="34">
        <f t="shared" si="33"/>
        <v>247454.57926536782</v>
      </c>
      <c r="F165" s="34">
        <f t="shared" si="34"/>
        <v>55</v>
      </c>
      <c r="G165" s="34">
        <f t="shared" si="35"/>
        <v>62</v>
      </c>
      <c r="H165" s="34">
        <f t="shared" si="36"/>
        <v>16</v>
      </c>
      <c r="I165" s="34">
        <f t="shared" si="37"/>
        <v>1</v>
      </c>
      <c r="J165" s="34">
        <f t="shared" si="38"/>
        <v>4</v>
      </c>
      <c r="K165" s="34">
        <f t="shared" si="39"/>
        <v>7</v>
      </c>
      <c r="L165" s="34">
        <f t="shared" si="40"/>
        <v>84</v>
      </c>
      <c r="M165" s="34">
        <f t="shared" si="41"/>
        <v>84</v>
      </c>
      <c r="N165" s="56">
        <f t="shared" si="43"/>
        <v>0</v>
      </c>
      <c r="O165" s="56">
        <f t="shared" si="43"/>
        <v>3.25</v>
      </c>
      <c r="P165" s="56">
        <f t="shared" si="43"/>
        <v>12.458333333333334</v>
      </c>
      <c r="Q165" s="56">
        <f t="shared" si="43"/>
        <v>13</v>
      </c>
      <c r="R165" s="56">
        <f t="shared" si="43"/>
        <v>13</v>
      </c>
      <c r="S165" s="56">
        <f t="shared" si="43"/>
        <v>13</v>
      </c>
      <c r="T165" s="56">
        <f t="shared" si="43"/>
        <v>13</v>
      </c>
      <c r="U165" s="41">
        <f t="shared" si="43"/>
        <v>5.958333333333333</v>
      </c>
    </row>
    <row r="166" spans="2:21" hidden="1" outlineLevel="1">
      <c r="B166" s="14" t="s">
        <v>39</v>
      </c>
      <c r="C166" s="15" t="s">
        <v>66</v>
      </c>
      <c r="D166" s="52">
        <v>2049</v>
      </c>
      <c r="E166" s="34">
        <f t="shared" si="33"/>
        <v>247865.01568427728</v>
      </c>
      <c r="F166" s="34">
        <f t="shared" si="34"/>
        <v>55</v>
      </c>
      <c r="G166" s="34">
        <f t="shared" si="35"/>
        <v>62</v>
      </c>
      <c r="H166" s="34">
        <f t="shared" si="36"/>
        <v>16</v>
      </c>
      <c r="I166" s="34">
        <f t="shared" si="37"/>
        <v>1</v>
      </c>
      <c r="J166" s="34">
        <f t="shared" si="38"/>
        <v>4</v>
      </c>
      <c r="K166" s="34">
        <f t="shared" si="39"/>
        <v>7</v>
      </c>
      <c r="L166" s="34">
        <f t="shared" si="40"/>
        <v>84</v>
      </c>
      <c r="M166" s="34">
        <f t="shared" si="41"/>
        <v>84</v>
      </c>
      <c r="N166" s="56">
        <f t="shared" si="43"/>
        <v>0</v>
      </c>
      <c r="O166" s="56">
        <f t="shared" si="43"/>
        <v>3.25</v>
      </c>
      <c r="P166" s="56">
        <f t="shared" si="43"/>
        <v>12.458333333333334</v>
      </c>
      <c r="Q166" s="56">
        <f t="shared" si="43"/>
        <v>13</v>
      </c>
      <c r="R166" s="56">
        <f t="shared" si="43"/>
        <v>13</v>
      </c>
      <c r="S166" s="56">
        <f t="shared" si="43"/>
        <v>13</v>
      </c>
      <c r="T166" s="56">
        <f t="shared" si="43"/>
        <v>13</v>
      </c>
      <c r="U166" s="41">
        <f t="shared" si="43"/>
        <v>5.958333333333333</v>
      </c>
    </row>
    <row r="167" spans="2:21" hidden="1" outlineLevel="1">
      <c r="B167" s="14" t="s">
        <v>39</v>
      </c>
      <c r="C167" s="15" t="s">
        <v>66</v>
      </c>
      <c r="D167" s="52">
        <v>2050</v>
      </c>
      <c r="E167" s="34">
        <f t="shared" si="33"/>
        <v>248103.40443351015</v>
      </c>
      <c r="F167" s="34">
        <f t="shared" si="34"/>
        <v>55</v>
      </c>
      <c r="G167" s="34">
        <f t="shared" si="35"/>
        <v>62</v>
      </c>
      <c r="H167" s="34">
        <f t="shared" si="36"/>
        <v>16</v>
      </c>
      <c r="I167" s="34">
        <f t="shared" si="37"/>
        <v>1</v>
      </c>
      <c r="J167" s="34">
        <f t="shared" si="38"/>
        <v>4</v>
      </c>
      <c r="K167" s="34">
        <f t="shared" si="39"/>
        <v>7</v>
      </c>
      <c r="L167" s="34">
        <f t="shared" si="40"/>
        <v>84</v>
      </c>
      <c r="M167" s="34">
        <f t="shared" si="41"/>
        <v>84</v>
      </c>
      <c r="N167" s="56">
        <f t="shared" si="43"/>
        <v>0</v>
      </c>
      <c r="O167" s="56">
        <f t="shared" si="43"/>
        <v>3.25</v>
      </c>
      <c r="P167" s="56">
        <f t="shared" si="43"/>
        <v>12.458333333333334</v>
      </c>
      <c r="Q167" s="56">
        <f t="shared" si="43"/>
        <v>13</v>
      </c>
      <c r="R167" s="56">
        <f t="shared" si="43"/>
        <v>13</v>
      </c>
      <c r="S167" s="56">
        <f t="shared" si="43"/>
        <v>13</v>
      </c>
      <c r="T167" s="56">
        <f t="shared" si="43"/>
        <v>13</v>
      </c>
      <c r="U167" s="41">
        <f t="shared" si="43"/>
        <v>5.958333333333333</v>
      </c>
    </row>
    <row r="168" spans="2:21" hidden="1" outlineLevel="1">
      <c r="B168" s="14" t="s">
        <v>39</v>
      </c>
      <c r="C168" s="15" t="s">
        <v>66</v>
      </c>
      <c r="D168" s="52">
        <v>2051</v>
      </c>
      <c r="E168" s="34">
        <f t="shared" si="33"/>
        <v>247972.44745613553</v>
      </c>
      <c r="F168" s="34">
        <f t="shared" si="34"/>
        <v>55</v>
      </c>
      <c r="G168" s="34">
        <f t="shared" si="35"/>
        <v>62</v>
      </c>
      <c r="H168" s="34">
        <f t="shared" si="36"/>
        <v>16</v>
      </c>
      <c r="I168" s="34">
        <f t="shared" si="37"/>
        <v>1</v>
      </c>
      <c r="J168" s="34">
        <f t="shared" si="38"/>
        <v>4</v>
      </c>
      <c r="K168" s="34">
        <f t="shared" si="39"/>
        <v>7</v>
      </c>
      <c r="L168" s="34">
        <f t="shared" si="40"/>
        <v>84</v>
      </c>
      <c r="M168" s="34">
        <f t="shared" si="41"/>
        <v>84</v>
      </c>
      <c r="N168" s="56">
        <f t="shared" si="43"/>
        <v>0</v>
      </c>
      <c r="O168" s="56">
        <f t="shared" si="43"/>
        <v>3.25</v>
      </c>
      <c r="P168" s="56">
        <f t="shared" si="43"/>
        <v>12.458333333333334</v>
      </c>
      <c r="Q168" s="56">
        <f t="shared" si="43"/>
        <v>13</v>
      </c>
      <c r="R168" s="56">
        <f t="shared" si="43"/>
        <v>13</v>
      </c>
      <c r="S168" s="56">
        <f t="shared" si="43"/>
        <v>13</v>
      </c>
      <c r="T168" s="56">
        <f t="shared" si="43"/>
        <v>13</v>
      </c>
      <c r="U168" s="41">
        <f t="shared" si="43"/>
        <v>5.958333333333333</v>
      </c>
    </row>
    <row r="169" spans="2:21" hidden="1" outlineLevel="1">
      <c r="B169" s="14" t="s">
        <v>39</v>
      </c>
      <c r="C169" s="15" t="s">
        <v>66</v>
      </c>
      <c r="D169" s="52">
        <v>2052</v>
      </c>
      <c r="E169" s="34">
        <f t="shared" si="33"/>
        <v>247439.99363794766</v>
      </c>
      <c r="F169" s="34">
        <f t="shared" si="34"/>
        <v>55</v>
      </c>
      <c r="G169" s="34">
        <f t="shared" si="35"/>
        <v>62</v>
      </c>
      <c r="H169" s="34">
        <f t="shared" si="36"/>
        <v>16</v>
      </c>
      <c r="I169" s="34">
        <f t="shared" si="37"/>
        <v>1</v>
      </c>
      <c r="J169" s="34">
        <f t="shared" si="38"/>
        <v>4</v>
      </c>
      <c r="K169" s="34">
        <f t="shared" si="39"/>
        <v>7</v>
      </c>
      <c r="L169" s="34">
        <f t="shared" si="40"/>
        <v>84</v>
      </c>
      <c r="M169" s="34">
        <f t="shared" si="41"/>
        <v>84</v>
      </c>
      <c r="N169" s="56">
        <f t="shared" si="43"/>
        <v>0</v>
      </c>
      <c r="O169" s="56">
        <f t="shared" si="43"/>
        <v>3.25</v>
      </c>
      <c r="P169" s="56">
        <f t="shared" si="43"/>
        <v>12.458333333333334</v>
      </c>
      <c r="Q169" s="56">
        <f t="shared" si="43"/>
        <v>13</v>
      </c>
      <c r="R169" s="56">
        <f t="shared" si="43"/>
        <v>13</v>
      </c>
      <c r="S169" s="56">
        <f t="shared" si="43"/>
        <v>13</v>
      </c>
      <c r="T169" s="56">
        <f t="shared" si="43"/>
        <v>13</v>
      </c>
      <c r="U169" s="41">
        <f t="shared" si="43"/>
        <v>5.958333333333333</v>
      </c>
    </row>
    <row r="170" spans="2:21" hidden="1" outlineLevel="1">
      <c r="B170" s="14" t="s">
        <v>39</v>
      </c>
      <c r="C170" s="15" t="s">
        <v>66</v>
      </c>
      <c r="D170" s="52">
        <v>2053</v>
      </c>
      <c r="E170" s="34">
        <f t="shared" si="33"/>
        <v>246987.52551851553</v>
      </c>
      <c r="F170" s="34">
        <f t="shared" si="34"/>
        <v>55</v>
      </c>
      <c r="G170" s="34">
        <f t="shared" si="35"/>
        <v>62</v>
      </c>
      <c r="H170" s="34">
        <f t="shared" si="36"/>
        <v>16</v>
      </c>
      <c r="I170" s="34">
        <f t="shared" si="37"/>
        <v>1</v>
      </c>
      <c r="J170" s="34">
        <f t="shared" si="38"/>
        <v>4</v>
      </c>
      <c r="K170" s="34">
        <f t="shared" si="39"/>
        <v>7</v>
      </c>
      <c r="L170" s="34">
        <f t="shared" si="40"/>
        <v>84</v>
      </c>
      <c r="M170" s="34">
        <f t="shared" si="41"/>
        <v>84</v>
      </c>
      <c r="N170" s="56">
        <f t="shared" ref="N170:U179" si="44">$Z$20/144*(INDEX($C$65:$O$89,MIN(MAX(12*(N$109+1)-$H170,0),24)+1,13)-INDEX($C$65:$O$89,MIN(MAX(12*(N$109+1)-$L170,0),24)+1,13-$J170)-INDEX($C$65:$O$89,MIN(MAX(12*(N$109+1)-$M170-12+$J170,0),24)+1,$J170+1))</f>
        <v>0</v>
      </c>
      <c r="O170" s="56">
        <f t="shared" si="44"/>
        <v>3.25</v>
      </c>
      <c r="P170" s="56">
        <f t="shared" si="44"/>
        <v>12.458333333333334</v>
      </c>
      <c r="Q170" s="56">
        <f t="shared" si="44"/>
        <v>13</v>
      </c>
      <c r="R170" s="56">
        <f t="shared" si="44"/>
        <v>13</v>
      </c>
      <c r="S170" s="56">
        <f t="shared" si="44"/>
        <v>13</v>
      </c>
      <c r="T170" s="56">
        <f t="shared" si="44"/>
        <v>13</v>
      </c>
      <c r="U170" s="41">
        <f t="shared" si="44"/>
        <v>5.958333333333333</v>
      </c>
    </row>
    <row r="171" spans="2:21" hidden="1" outlineLevel="1">
      <c r="B171" s="14" t="s">
        <v>39</v>
      </c>
      <c r="C171" s="15" t="s">
        <v>66</v>
      </c>
      <c r="D171" s="52">
        <v>2054</v>
      </c>
      <c r="E171" s="34">
        <f t="shared" si="33"/>
        <v>246296.51181514713</v>
      </c>
      <c r="F171" s="34">
        <f t="shared" si="34"/>
        <v>55</v>
      </c>
      <c r="G171" s="34">
        <f t="shared" si="35"/>
        <v>62</v>
      </c>
      <c r="H171" s="34">
        <f t="shared" si="36"/>
        <v>16</v>
      </c>
      <c r="I171" s="34">
        <f t="shared" si="37"/>
        <v>1</v>
      </c>
      <c r="J171" s="34">
        <f t="shared" si="38"/>
        <v>4</v>
      </c>
      <c r="K171" s="34">
        <f t="shared" si="39"/>
        <v>7</v>
      </c>
      <c r="L171" s="34">
        <f t="shared" si="40"/>
        <v>84</v>
      </c>
      <c r="M171" s="34">
        <f t="shared" si="41"/>
        <v>84</v>
      </c>
      <c r="N171" s="56">
        <f t="shared" si="44"/>
        <v>0</v>
      </c>
      <c r="O171" s="56">
        <f t="shared" si="44"/>
        <v>3.25</v>
      </c>
      <c r="P171" s="56">
        <f t="shared" si="44"/>
        <v>12.458333333333334</v>
      </c>
      <c r="Q171" s="56">
        <f t="shared" si="44"/>
        <v>13</v>
      </c>
      <c r="R171" s="56">
        <f t="shared" si="44"/>
        <v>13</v>
      </c>
      <c r="S171" s="56">
        <f t="shared" si="44"/>
        <v>13</v>
      </c>
      <c r="T171" s="56">
        <f t="shared" si="44"/>
        <v>13</v>
      </c>
      <c r="U171" s="41">
        <f t="shared" si="44"/>
        <v>5.958333333333333</v>
      </c>
    </row>
    <row r="172" spans="2:21" hidden="1" outlineLevel="1">
      <c r="B172" s="14" t="s">
        <v>39</v>
      </c>
      <c r="C172" s="15" t="s">
        <v>66</v>
      </c>
      <c r="D172" s="52">
        <v>2055</v>
      </c>
      <c r="E172" s="34">
        <f t="shared" si="33"/>
        <v>243837.02999575911</v>
      </c>
      <c r="F172" s="34">
        <f t="shared" si="34"/>
        <v>55</v>
      </c>
      <c r="G172" s="34">
        <f t="shared" si="35"/>
        <v>62</v>
      </c>
      <c r="H172" s="34">
        <f t="shared" si="36"/>
        <v>16</v>
      </c>
      <c r="I172" s="34">
        <f t="shared" si="37"/>
        <v>1</v>
      </c>
      <c r="J172" s="34">
        <f t="shared" si="38"/>
        <v>4</v>
      </c>
      <c r="K172" s="34">
        <f t="shared" si="39"/>
        <v>7</v>
      </c>
      <c r="L172" s="34">
        <f t="shared" si="40"/>
        <v>84</v>
      </c>
      <c r="M172" s="34">
        <f t="shared" si="41"/>
        <v>84</v>
      </c>
      <c r="N172" s="56">
        <f t="shared" si="44"/>
        <v>0</v>
      </c>
      <c r="O172" s="56">
        <f t="shared" si="44"/>
        <v>3.25</v>
      </c>
      <c r="P172" s="56">
        <f t="shared" si="44"/>
        <v>12.458333333333334</v>
      </c>
      <c r="Q172" s="56">
        <f t="shared" si="44"/>
        <v>13</v>
      </c>
      <c r="R172" s="56">
        <f t="shared" si="44"/>
        <v>13</v>
      </c>
      <c r="S172" s="56">
        <f t="shared" si="44"/>
        <v>13</v>
      </c>
      <c r="T172" s="56">
        <f t="shared" si="44"/>
        <v>13</v>
      </c>
      <c r="U172" s="41">
        <f t="shared" si="44"/>
        <v>5.958333333333333</v>
      </c>
    </row>
    <row r="173" spans="2:21" hidden="1" outlineLevel="1">
      <c r="B173" s="14" t="s">
        <v>39</v>
      </c>
      <c r="C173" s="15" t="s">
        <v>66</v>
      </c>
      <c r="D173" s="52">
        <v>2056</v>
      </c>
      <c r="E173" s="34">
        <f t="shared" si="33"/>
        <v>238874.62314412947</v>
      </c>
      <c r="F173" s="34">
        <f t="shared" si="34"/>
        <v>55</v>
      </c>
      <c r="G173" s="34">
        <f t="shared" si="35"/>
        <v>62</v>
      </c>
      <c r="H173" s="34">
        <f t="shared" si="36"/>
        <v>16</v>
      </c>
      <c r="I173" s="34">
        <f t="shared" si="37"/>
        <v>1</v>
      </c>
      <c r="J173" s="34">
        <f t="shared" si="38"/>
        <v>4</v>
      </c>
      <c r="K173" s="34">
        <f t="shared" si="39"/>
        <v>7</v>
      </c>
      <c r="L173" s="34">
        <f t="shared" si="40"/>
        <v>84</v>
      </c>
      <c r="M173" s="34">
        <f t="shared" si="41"/>
        <v>84</v>
      </c>
      <c r="N173" s="56">
        <f t="shared" si="44"/>
        <v>0</v>
      </c>
      <c r="O173" s="56">
        <f t="shared" si="44"/>
        <v>3.25</v>
      </c>
      <c r="P173" s="56">
        <f t="shared" si="44"/>
        <v>12.458333333333334</v>
      </c>
      <c r="Q173" s="56">
        <f t="shared" si="44"/>
        <v>13</v>
      </c>
      <c r="R173" s="56">
        <f t="shared" si="44"/>
        <v>13</v>
      </c>
      <c r="S173" s="56">
        <f t="shared" si="44"/>
        <v>13</v>
      </c>
      <c r="T173" s="56">
        <f t="shared" si="44"/>
        <v>13</v>
      </c>
      <c r="U173" s="41">
        <f t="shared" si="44"/>
        <v>5.958333333333333</v>
      </c>
    </row>
    <row r="174" spans="2:21" hidden="1" outlineLevel="1">
      <c r="B174" s="14" t="s">
        <v>39</v>
      </c>
      <c r="C174" s="15" t="s">
        <v>66</v>
      </c>
      <c r="D174" s="52">
        <v>2057</v>
      </c>
      <c r="E174" s="34">
        <f t="shared" ref="E174:E205" si="45">IF($C174="Homens",INDEX($C$22:$C$55,MATCH($D174,$B$22:$B$55,0)),INDEX($F$22:$F$55,MATCH($D174,$B$22:$B$55,0)))</f>
        <v>234153.74173580154</v>
      </c>
      <c r="F174" s="34">
        <f t="shared" ref="F174:F205" si="46">IF($C174="Homens",$Z$14,$AA$14)</f>
        <v>55</v>
      </c>
      <c r="G174" s="34">
        <f t="shared" ref="G174:G205" si="47">IF($C174="Homens",$Z$15,$AA$15)</f>
        <v>62</v>
      </c>
      <c r="H174" s="34">
        <f t="shared" ref="H174:H205" si="48">IF($C174="Homens",$Z$17,$AA$17)</f>
        <v>16</v>
      </c>
      <c r="I174" s="34">
        <f t="shared" ref="I174:I205" si="49">INT(H174/12)</f>
        <v>1</v>
      </c>
      <c r="J174" s="34">
        <f t="shared" ref="J174:J205" si="50">MOD(H174,12)</f>
        <v>4</v>
      </c>
      <c r="K174" s="34">
        <f t="shared" ref="K174:K205" si="51">IF($D174&lt;$Z$18,0,IF(OR($B174="Sem Transição",$Z$19&lt;=1),$G174-$F174,MIN($G174-$F174,INT(($D174-$Z$18)/($Z$19-1))+1)))</f>
        <v>7</v>
      </c>
      <c r="L174" s="34">
        <f t="shared" ref="L174:L205" si="52">MAX($H174,12*(IF(($D174+MAX($K174,$I174))&lt;$Z$18,$F174,IF($B174="Sem Transição",$G174,MIN($G174,$F174+1+INT((($D174+MAX($K174,$I174))-$Z$18)/$Z$19))))-$F174))</f>
        <v>84</v>
      </c>
      <c r="M174" s="34">
        <f t="shared" ref="M174:M205" si="53">MAX($H174,12*(IF(($D174+MAX($K174,$I174+1))&lt;$Z$18,$F174,IF($B174="Sem Transição",$G174,MIN($G174,$F174+1+INT((($D174+MAX($K174,$I174+1))-$Z$18)/$Z$19))))-$F174))</f>
        <v>84</v>
      </c>
      <c r="N174" s="56">
        <f t="shared" si="44"/>
        <v>0</v>
      </c>
      <c r="O174" s="56">
        <f t="shared" si="44"/>
        <v>3.25</v>
      </c>
      <c r="P174" s="56">
        <f t="shared" si="44"/>
        <v>12.458333333333334</v>
      </c>
      <c r="Q174" s="56">
        <f t="shared" si="44"/>
        <v>13</v>
      </c>
      <c r="R174" s="56">
        <f t="shared" si="44"/>
        <v>13</v>
      </c>
      <c r="S174" s="56">
        <f t="shared" si="44"/>
        <v>13</v>
      </c>
      <c r="T174" s="56">
        <f t="shared" si="44"/>
        <v>13</v>
      </c>
      <c r="U174" s="41">
        <f t="shared" si="44"/>
        <v>5.958333333333333</v>
      </c>
    </row>
    <row r="175" spans="2:21" hidden="1" outlineLevel="1">
      <c r="B175" s="14" t="s">
        <v>39</v>
      </c>
      <c r="C175" s="15" t="s">
        <v>66</v>
      </c>
      <c r="D175" s="52">
        <v>2058</v>
      </c>
      <c r="E175" s="34">
        <f t="shared" si="45"/>
        <v>230221.26838167993</v>
      </c>
      <c r="F175" s="34">
        <f t="shared" si="46"/>
        <v>55</v>
      </c>
      <c r="G175" s="34">
        <f t="shared" si="47"/>
        <v>62</v>
      </c>
      <c r="H175" s="34">
        <f t="shared" si="48"/>
        <v>16</v>
      </c>
      <c r="I175" s="34">
        <f t="shared" si="49"/>
        <v>1</v>
      </c>
      <c r="J175" s="34">
        <f t="shared" si="50"/>
        <v>4</v>
      </c>
      <c r="K175" s="34">
        <f t="shared" si="51"/>
        <v>7</v>
      </c>
      <c r="L175" s="34">
        <f t="shared" si="52"/>
        <v>84</v>
      </c>
      <c r="M175" s="34">
        <f t="shared" si="53"/>
        <v>84</v>
      </c>
      <c r="N175" s="56">
        <f t="shared" si="44"/>
        <v>0</v>
      </c>
      <c r="O175" s="56">
        <f t="shared" si="44"/>
        <v>3.25</v>
      </c>
      <c r="P175" s="56">
        <f t="shared" si="44"/>
        <v>12.458333333333334</v>
      </c>
      <c r="Q175" s="56">
        <f t="shared" si="44"/>
        <v>13</v>
      </c>
      <c r="R175" s="56">
        <f t="shared" si="44"/>
        <v>13</v>
      </c>
      <c r="S175" s="56">
        <f t="shared" si="44"/>
        <v>13</v>
      </c>
      <c r="T175" s="56">
        <f t="shared" si="44"/>
        <v>13</v>
      </c>
      <c r="U175" s="41">
        <f t="shared" si="44"/>
        <v>5.958333333333333</v>
      </c>
    </row>
    <row r="176" spans="2:21" hidden="1" outlineLevel="1">
      <c r="B176" s="14" t="s">
        <v>39</v>
      </c>
      <c r="C176" s="15" t="s">
        <v>66</v>
      </c>
      <c r="D176" s="52">
        <v>2059</v>
      </c>
      <c r="E176" s="34">
        <f t="shared" si="45"/>
        <v>227289.40043552261</v>
      </c>
      <c r="F176" s="34">
        <f t="shared" si="46"/>
        <v>55</v>
      </c>
      <c r="G176" s="34">
        <f t="shared" si="47"/>
        <v>62</v>
      </c>
      <c r="H176" s="34">
        <f t="shared" si="48"/>
        <v>16</v>
      </c>
      <c r="I176" s="34">
        <f t="shared" si="49"/>
        <v>1</v>
      </c>
      <c r="J176" s="34">
        <f t="shared" si="50"/>
        <v>4</v>
      </c>
      <c r="K176" s="34">
        <f t="shared" si="51"/>
        <v>7</v>
      </c>
      <c r="L176" s="34">
        <f t="shared" si="52"/>
        <v>84</v>
      </c>
      <c r="M176" s="34">
        <f t="shared" si="53"/>
        <v>84</v>
      </c>
      <c r="N176" s="56">
        <f t="shared" si="44"/>
        <v>0</v>
      </c>
      <c r="O176" s="56">
        <f t="shared" si="44"/>
        <v>3.25</v>
      </c>
      <c r="P176" s="56">
        <f t="shared" si="44"/>
        <v>12.458333333333334</v>
      </c>
      <c r="Q176" s="56">
        <f t="shared" si="44"/>
        <v>13</v>
      </c>
      <c r="R176" s="56">
        <f t="shared" si="44"/>
        <v>13</v>
      </c>
      <c r="S176" s="56">
        <f t="shared" si="44"/>
        <v>13</v>
      </c>
      <c r="T176" s="56">
        <f t="shared" si="44"/>
        <v>13</v>
      </c>
      <c r="U176" s="41">
        <f t="shared" si="44"/>
        <v>5.958333333333333</v>
      </c>
    </row>
    <row r="177" spans="2:21" hidden="1" outlineLevel="1">
      <c r="B177" s="14" t="s">
        <v>39</v>
      </c>
      <c r="C177" s="15" t="s">
        <v>66</v>
      </c>
      <c r="D177" s="52">
        <v>2060</v>
      </c>
      <c r="E177" s="34">
        <f t="shared" si="45"/>
        <v>225132.60959377894</v>
      </c>
      <c r="F177" s="34">
        <f t="shared" si="46"/>
        <v>55</v>
      </c>
      <c r="G177" s="34">
        <f t="shared" si="47"/>
        <v>62</v>
      </c>
      <c r="H177" s="34">
        <f t="shared" si="48"/>
        <v>16</v>
      </c>
      <c r="I177" s="34">
        <f t="shared" si="49"/>
        <v>1</v>
      </c>
      <c r="J177" s="34">
        <f t="shared" si="50"/>
        <v>4</v>
      </c>
      <c r="K177" s="34">
        <f t="shared" si="51"/>
        <v>7</v>
      </c>
      <c r="L177" s="34">
        <f t="shared" si="52"/>
        <v>84</v>
      </c>
      <c r="M177" s="34">
        <f t="shared" si="53"/>
        <v>84</v>
      </c>
      <c r="N177" s="56">
        <f t="shared" si="44"/>
        <v>0</v>
      </c>
      <c r="O177" s="56">
        <f t="shared" si="44"/>
        <v>3.25</v>
      </c>
      <c r="P177" s="56">
        <f t="shared" si="44"/>
        <v>12.458333333333334</v>
      </c>
      <c r="Q177" s="56">
        <f t="shared" si="44"/>
        <v>13</v>
      </c>
      <c r="R177" s="56">
        <f t="shared" si="44"/>
        <v>13</v>
      </c>
      <c r="S177" s="56">
        <f t="shared" si="44"/>
        <v>13</v>
      </c>
      <c r="T177" s="56">
        <f t="shared" si="44"/>
        <v>13</v>
      </c>
      <c r="U177" s="41">
        <f t="shared" si="44"/>
        <v>5.958333333333333</v>
      </c>
    </row>
    <row r="178" spans="2:21" hidden="1" outlineLevel="1">
      <c r="B178" s="14" t="s">
        <v>116</v>
      </c>
      <c r="C178" s="15" t="s">
        <v>65</v>
      </c>
      <c r="D178" s="52">
        <v>2027</v>
      </c>
      <c r="E178" s="34">
        <f t="shared" si="45"/>
        <v>180313.87673603828</v>
      </c>
      <c r="F178" s="34">
        <f t="shared" si="46"/>
        <v>60</v>
      </c>
      <c r="G178" s="34">
        <f t="shared" si="47"/>
        <v>65</v>
      </c>
      <c r="H178" s="34">
        <f t="shared" si="48"/>
        <v>9</v>
      </c>
      <c r="I178" s="34">
        <f t="shared" si="49"/>
        <v>0</v>
      </c>
      <c r="J178" s="34">
        <f t="shared" si="50"/>
        <v>9</v>
      </c>
      <c r="K178" s="34">
        <f t="shared" si="51"/>
        <v>1</v>
      </c>
      <c r="L178" s="34">
        <f t="shared" si="52"/>
        <v>12</v>
      </c>
      <c r="M178" s="34">
        <f t="shared" si="53"/>
        <v>12</v>
      </c>
      <c r="N178" s="56">
        <f t="shared" si="44"/>
        <v>0.54166666666666663</v>
      </c>
      <c r="O178" s="56">
        <f t="shared" si="44"/>
        <v>2.7083333333333335</v>
      </c>
      <c r="P178" s="56">
        <f t="shared" si="44"/>
        <v>0</v>
      </c>
      <c r="Q178" s="56">
        <f t="shared" si="44"/>
        <v>0</v>
      </c>
      <c r="R178" s="56">
        <f t="shared" si="44"/>
        <v>0</v>
      </c>
      <c r="S178" s="56">
        <f t="shared" si="44"/>
        <v>0</v>
      </c>
      <c r="T178" s="56">
        <f t="shared" si="44"/>
        <v>0</v>
      </c>
      <c r="U178" s="41">
        <f t="shared" si="44"/>
        <v>0</v>
      </c>
    </row>
    <row r="179" spans="2:21" hidden="1" outlineLevel="1">
      <c r="B179" s="14" t="s">
        <v>116</v>
      </c>
      <c r="C179" s="15" t="s">
        <v>65</v>
      </c>
      <c r="D179" s="52">
        <v>2028</v>
      </c>
      <c r="E179" s="34">
        <f t="shared" si="45"/>
        <v>181823.44747596249</v>
      </c>
      <c r="F179" s="34">
        <f t="shared" si="46"/>
        <v>60</v>
      </c>
      <c r="G179" s="34">
        <f t="shared" si="47"/>
        <v>65</v>
      </c>
      <c r="H179" s="34">
        <f t="shared" si="48"/>
        <v>9</v>
      </c>
      <c r="I179" s="34">
        <f t="shared" si="49"/>
        <v>0</v>
      </c>
      <c r="J179" s="34">
        <f t="shared" si="50"/>
        <v>9</v>
      </c>
      <c r="K179" s="34">
        <f t="shared" si="51"/>
        <v>2</v>
      </c>
      <c r="L179" s="34">
        <f t="shared" si="52"/>
        <v>24</v>
      </c>
      <c r="M179" s="34">
        <f t="shared" si="53"/>
        <v>24</v>
      </c>
      <c r="N179" s="56">
        <f t="shared" si="44"/>
        <v>0.54166666666666663</v>
      </c>
      <c r="O179" s="56">
        <f t="shared" si="44"/>
        <v>9.75</v>
      </c>
      <c r="P179" s="56">
        <f t="shared" si="44"/>
        <v>5.958333333333333</v>
      </c>
      <c r="Q179" s="56">
        <f t="shared" si="44"/>
        <v>0</v>
      </c>
      <c r="R179" s="56">
        <f t="shared" si="44"/>
        <v>0</v>
      </c>
      <c r="S179" s="56">
        <f t="shared" si="44"/>
        <v>0</v>
      </c>
      <c r="T179" s="56">
        <f t="shared" si="44"/>
        <v>0</v>
      </c>
      <c r="U179" s="41">
        <f t="shared" si="44"/>
        <v>0</v>
      </c>
    </row>
    <row r="180" spans="2:21" hidden="1" outlineLevel="1">
      <c r="B180" s="14" t="s">
        <v>116</v>
      </c>
      <c r="C180" s="15" t="s">
        <v>65</v>
      </c>
      <c r="D180" s="52">
        <v>2029</v>
      </c>
      <c r="E180" s="34">
        <f t="shared" si="45"/>
        <v>183806.0037709421</v>
      </c>
      <c r="F180" s="34">
        <f t="shared" si="46"/>
        <v>60</v>
      </c>
      <c r="G180" s="34">
        <f t="shared" si="47"/>
        <v>65</v>
      </c>
      <c r="H180" s="34">
        <f t="shared" si="48"/>
        <v>9</v>
      </c>
      <c r="I180" s="34">
        <f t="shared" si="49"/>
        <v>0</v>
      </c>
      <c r="J180" s="34">
        <f t="shared" si="50"/>
        <v>9</v>
      </c>
      <c r="K180" s="34">
        <f t="shared" si="51"/>
        <v>3</v>
      </c>
      <c r="L180" s="34">
        <f t="shared" si="52"/>
        <v>36</v>
      </c>
      <c r="M180" s="34">
        <f t="shared" si="53"/>
        <v>36</v>
      </c>
      <c r="N180" s="56">
        <f t="shared" ref="N180:U189" si="54">$Z$20/144*(INDEX($C$65:$O$89,MIN(MAX(12*(N$109+1)-$H180,0),24)+1,13)-INDEX($C$65:$O$89,MIN(MAX(12*(N$109+1)-$L180,0),24)+1,13-$J180)-INDEX($C$65:$O$89,MIN(MAX(12*(N$109+1)-$M180-12+$J180,0),24)+1,$J180+1))</f>
        <v>0.54166666666666663</v>
      </c>
      <c r="O180" s="56">
        <f t="shared" si="54"/>
        <v>9.75</v>
      </c>
      <c r="P180" s="56">
        <f t="shared" si="54"/>
        <v>13</v>
      </c>
      <c r="Q180" s="56">
        <f t="shared" si="54"/>
        <v>5.958333333333333</v>
      </c>
      <c r="R180" s="56">
        <f t="shared" si="54"/>
        <v>0</v>
      </c>
      <c r="S180" s="56">
        <f t="shared" si="54"/>
        <v>0</v>
      </c>
      <c r="T180" s="56">
        <f t="shared" si="54"/>
        <v>0</v>
      </c>
      <c r="U180" s="41">
        <f t="shared" si="54"/>
        <v>0</v>
      </c>
    </row>
    <row r="181" spans="2:21" hidden="1" outlineLevel="1">
      <c r="B181" s="14" t="s">
        <v>116</v>
      </c>
      <c r="C181" s="15" t="s">
        <v>65</v>
      </c>
      <c r="D181" s="52">
        <v>2030</v>
      </c>
      <c r="E181" s="34">
        <f t="shared" si="45"/>
        <v>186296.89506772341</v>
      </c>
      <c r="F181" s="34">
        <f t="shared" si="46"/>
        <v>60</v>
      </c>
      <c r="G181" s="34">
        <f t="shared" si="47"/>
        <v>65</v>
      </c>
      <c r="H181" s="34">
        <f t="shared" si="48"/>
        <v>9</v>
      </c>
      <c r="I181" s="34">
        <f t="shared" si="49"/>
        <v>0</v>
      </c>
      <c r="J181" s="34">
        <f t="shared" si="50"/>
        <v>9</v>
      </c>
      <c r="K181" s="34">
        <f t="shared" si="51"/>
        <v>4</v>
      </c>
      <c r="L181" s="34">
        <f t="shared" si="52"/>
        <v>48</v>
      </c>
      <c r="M181" s="34">
        <f t="shared" si="53"/>
        <v>48</v>
      </c>
      <c r="N181" s="56">
        <f t="shared" si="54"/>
        <v>0.54166666666666663</v>
      </c>
      <c r="O181" s="56">
        <f t="shared" si="54"/>
        <v>9.75</v>
      </c>
      <c r="P181" s="56">
        <f t="shared" si="54"/>
        <v>13</v>
      </c>
      <c r="Q181" s="56">
        <f t="shared" si="54"/>
        <v>13</v>
      </c>
      <c r="R181" s="56">
        <f t="shared" si="54"/>
        <v>5.958333333333333</v>
      </c>
      <c r="S181" s="56">
        <f t="shared" si="54"/>
        <v>0</v>
      </c>
      <c r="T181" s="56">
        <f t="shared" si="54"/>
        <v>0</v>
      </c>
      <c r="U181" s="41">
        <f t="shared" si="54"/>
        <v>0</v>
      </c>
    </row>
    <row r="182" spans="2:21" hidden="1" outlineLevel="1">
      <c r="B182" s="14" t="s">
        <v>116</v>
      </c>
      <c r="C182" s="15" t="s">
        <v>65</v>
      </c>
      <c r="D182" s="52">
        <v>2031</v>
      </c>
      <c r="E182" s="34">
        <f t="shared" si="45"/>
        <v>189167.33652745618</v>
      </c>
      <c r="F182" s="34">
        <f t="shared" si="46"/>
        <v>60</v>
      </c>
      <c r="G182" s="34">
        <f t="shared" si="47"/>
        <v>65</v>
      </c>
      <c r="H182" s="34">
        <f t="shared" si="48"/>
        <v>9</v>
      </c>
      <c r="I182" s="34">
        <f t="shared" si="49"/>
        <v>0</v>
      </c>
      <c r="J182" s="34">
        <f t="shared" si="50"/>
        <v>9</v>
      </c>
      <c r="K182" s="34">
        <f t="shared" si="51"/>
        <v>5</v>
      </c>
      <c r="L182" s="34">
        <f t="shared" si="52"/>
        <v>60</v>
      </c>
      <c r="M182" s="34">
        <f t="shared" si="53"/>
        <v>60</v>
      </c>
      <c r="N182" s="56">
        <f t="shared" si="54"/>
        <v>0.54166666666666663</v>
      </c>
      <c r="O182" s="56">
        <f t="shared" si="54"/>
        <v>9.75</v>
      </c>
      <c r="P182" s="56">
        <f t="shared" si="54"/>
        <v>13</v>
      </c>
      <c r="Q182" s="56">
        <f t="shared" si="54"/>
        <v>13</v>
      </c>
      <c r="R182" s="56">
        <f t="shared" si="54"/>
        <v>13</v>
      </c>
      <c r="S182" s="56">
        <f t="shared" si="54"/>
        <v>5.958333333333333</v>
      </c>
      <c r="T182" s="56">
        <f t="shared" si="54"/>
        <v>0</v>
      </c>
      <c r="U182" s="41">
        <f t="shared" si="54"/>
        <v>0</v>
      </c>
    </row>
    <row r="183" spans="2:21" hidden="1" outlineLevel="1">
      <c r="B183" s="14" t="s">
        <v>116</v>
      </c>
      <c r="C183" s="15" t="s">
        <v>65</v>
      </c>
      <c r="D183" s="52">
        <v>2032</v>
      </c>
      <c r="E183" s="34">
        <f t="shared" si="45"/>
        <v>192404.21732247397</v>
      </c>
      <c r="F183" s="34">
        <f t="shared" si="46"/>
        <v>60</v>
      </c>
      <c r="G183" s="34">
        <f t="shared" si="47"/>
        <v>65</v>
      </c>
      <c r="H183" s="34">
        <f t="shared" si="48"/>
        <v>9</v>
      </c>
      <c r="I183" s="34">
        <f t="shared" si="49"/>
        <v>0</v>
      </c>
      <c r="J183" s="34">
        <f t="shared" si="50"/>
        <v>9</v>
      </c>
      <c r="K183" s="34">
        <f t="shared" si="51"/>
        <v>5</v>
      </c>
      <c r="L183" s="34">
        <f t="shared" si="52"/>
        <v>60</v>
      </c>
      <c r="M183" s="34">
        <f t="shared" si="53"/>
        <v>60</v>
      </c>
      <c r="N183" s="56">
        <f t="shared" si="54"/>
        <v>0.54166666666666663</v>
      </c>
      <c r="O183" s="56">
        <f t="shared" si="54"/>
        <v>9.75</v>
      </c>
      <c r="P183" s="56">
        <f t="shared" si="54"/>
        <v>13</v>
      </c>
      <c r="Q183" s="56">
        <f t="shared" si="54"/>
        <v>13</v>
      </c>
      <c r="R183" s="56">
        <f t="shared" si="54"/>
        <v>13</v>
      </c>
      <c r="S183" s="56">
        <f t="shared" si="54"/>
        <v>5.958333333333333</v>
      </c>
      <c r="T183" s="56">
        <f t="shared" si="54"/>
        <v>0</v>
      </c>
      <c r="U183" s="41">
        <f t="shared" si="54"/>
        <v>0</v>
      </c>
    </row>
    <row r="184" spans="2:21" hidden="1" outlineLevel="1">
      <c r="B184" s="14" t="s">
        <v>116</v>
      </c>
      <c r="C184" s="15" t="s">
        <v>65</v>
      </c>
      <c r="D184" s="52">
        <v>2033</v>
      </c>
      <c r="E184" s="34">
        <f t="shared" si="45"/>
        <v>195333.74048662771</v>
      </c>
      <c r="F184" s="34">
        <f t="shared" si="46"/>
        <v>60</v>
      </c>
      <c r="G184" s="34">
        <f t="shared" si="47"/>
        <v>65</v>
      </c>
      <c r="H184" s="34">
        <f t="shared" si="48"/>
        <v>9</v>
      </c>
      <c r="I184" s="34">
        <f t="shared" si="49"/>
        <v>0</v>
      </c>
      <c r="J184" s="34">
        <f t="shared" si="50"/>
        <v>9</v>
      </c>
      <c r="K184" s="34">
        <f t="shared" si="51"/>
        <v>5</v>
      </c>
      <c r="L184" s="34">
        <f t="shared" si="52"/>
        <v>60</v>
      </c>
      <c r="M184" s="34">
        <f t="shared" si="53"/>
        <v>60</v>
      </c>
      <c r="N184" s="56">
        <f t="shared" si="54"/>
        <v>0.54166666666666663</v>
      </c>
      <c r="O184" s="56">
        <f t="shared" si="54"/>
        <v>9.75</v>
      </c>
      <c r="P184" s="56">
        <f t="shared" si="54"/>
        <v>13</v>
      </c>
      <c r="Q184" s="56">
        <f t="shared" si="54"/>
        <v>13</v>
      </c>
      <c r="R184" s="56">
        <f t="shared" si="54"/>
        <v>13</v>
      </c>
      <c r="S184" s="56">
        <f t="shared" si="54"/>
        <v>5.958333333333333</v>
      </c>
      <c r="T184" s="56">
        <f t="shared" si="54"/>
        <v>0</v>
      </c>
      <c r="U184" s="41">
        <f t="shared" si="54"/>
        <v>0</v>
      </c>
    </row>
    <row r="185" spans="2:21" hidden="1" outlineLevel="1">
      <c r="B185" s="14" t="s">
        <v>116</v>
      </c>
      <c r="C185" s="15" t="s">
        <v>65</v>
      </c>
      <c r="D185" s="52">
        <v>2034</v>
      </c>
      <c r="E185" s="34">
        <f t="shared" si="45"/>
        <v>198579.91503290273</v>
      </c>
      <c r="F185" s="34">
        <f t="shared" si="46"/>
        <v>60</v>
      </c>
      <c r="G185" s="34">
        <f t="shared" si="47"/>
        <v>65</v>
      </c>
      <c r="H185" s="34">
        <f t="shared" si="48"/>
        <v>9</v>
      </c>
      <c r="I185" s="34">
        <f t="shared" si="49"/>
        <v>0</v>
      </c>
      <c r="J185" s="34">
        <f t="shared" si="50"/>
        <v>9</v>
      </c>
      <c r="K185" s="34">
        <f t="shared" si="51"/>
        <v>5</v>
      </c>
      <c r="L185" s="34">
        <f t="shared" si="52"/>
        <v>60</v>
      </c>
      <c r="M185" s="34">
        <f t="shared" si="53"/>
        <v>60</v>
      </c>
      <c r="N185" s="56">
        <f t="shared" si="54"/>
        <v>0.54166666666666663</v>
      </c>
      <c r="O185" s="56">
        <f t="shared" si="54"/>
        <v>9.75</v>
      </c>
      <c r="P185" s="56">
        <f t="shared" si="54"/>
        <v>13</v>
      </c>
      <c r="Q185" s="56">
        <f t="shared" si="54"/>
        <v>13</v>
      </c>
      <c r="R185" s="56">
        <f t="shared" si="54"/>
        <v>13</v>
      </c>
      <c r="S185" s="56">
        <f t="shared" si="54"/>
        <v>5.958333333333333</v>
      </c>
      <c r="T185" s="56">
        <f t="shared" si="54"/>
        <v>0</v>
      </c>
      <c r="U185" s="41">
        <f t="shared" si="54"/>
        <v>0</v>
      </c>
    </row>
    <row r="186" spans="2:21" hidden="1" outlineLevel="1">
      <c r="B186" s="14" t="s">
        <v>116</v>
      </c>
      <c r="C186" s="15" t="s">
        <v>65</v>
      </c>
      <c r="D186" s="52">
        <v>2035</v>
      </c>
      <c r="E186" s="34">
        <f t="shared" si="45"/>
        <v>203288.85964312809</v>
      </c>
      <c r="F186" s="34">
        <f t="shared" si="46"/>
        <v>60</v>
      </c>
      <c r="G186" s="34">
        <f t="shared" si="47"/>
        <v>65</v>
      </c>
      <c r="H186" s="34">
        <f t="shared" si="48"/>
        <v>9</v>
      </c>
      <c r="I186" s="34">
        <f t="shared" si="49"/>
        <v>0</v>
      </c>
      <c r="J186" s="34">
        <f t="shared" si="50"/>
        <v>9</v>
      </c>
      <c r="K186" s="34">
        <f t="shared" si="51"/>
        <v>5</v>
      </c>
      <c r="L186" s="34">
        <f t="shared" si="52"/>
        <v>60</v>
      </c>
      <c r="M186" s="34">
        <f t="shared" si="53"/>
        <v>60</v>
      </c>
      <c r="N186" s="56">
        <f t="shared" si="54"/>
        <v>0.54166666666666663</v>
      </c>
      <c r="O186" s="56">
        <f t="shared" si="54"/>
        <v>9.75</v>
      </c>
      <c r="P186" s="56">
        <f t="shared" si="54"/>
        <v>13</v>
      </c>
      <c r="Q186" s="56">
        <f t="shared" si="54"/>
        <v>13</v>
      </c>
      <c r="R186" s="56">
        <f t="shared" si="54"/>
        <v>13</v>
      </c>
      <c r="S186" s="56">
        <f t="shared" si="54"/>
        <v>5.958333333333333</v>
      </c>
      <c r="T186" s="56">
        <f t="shared" si="54"/>
        <v>0</v>
      </c>
      <c r="U186" s="41">
        <f t="shared" si="54"/>
        <v>0</v>
      </c>
    </row>
    <row r="187" spans="2:21" hidden="1" outlineLevel="1">
      <c r="B187" s="14" t="s">
        <v>116</v>
      </c>
      <c r="C187" s="15" t="s">
        <v>65</v>
      </c>
      <c r="D187" s="52">
        <v>2036</v>
      </c>
      <c r="E187" s="34">
        <f t="shared" si="45"/>
        <v>209615.41485164294</v>
      </c>
      <c r="F187" s="34">
        <f t="shared" si="46"/>
        <v>60</v>
      </c>
      <c r="G187" s="34">
        <f t="shared" si="47"/>
        <v>65</v>
      </c>
      <c r="H187" s="34">
        <f t="shared" si="48"/>
        <v>9</v>
      </c>
      <c r="I187" s="34">
        <f t="shared" si="49"/>
        <v>0</v>
      </c>
      <c r="J187" s="34">
        <f t="shared" si="50"/>
        <v>9</v>
      </c>
      <c r="K187" s="34">
        <f t="shared" si="51"/>
        <v>5</v>
      </c>
      <c r="L187" s="34">
        <f t="shared" si="52"/>
        <v>60</v>
      </c>
      <c r="M187" s="34">
        <f t="shared" si="53"/>
        <v>60</v>
      </c>
      <c r="N187" s="56">
        <f t="shared" si="54"/>
        <v>0.54166666666666663</v>
      </c>
      <c r="O187" s="56">
        <f t="shared" si="54"/>
        <v>9.75</v>
      </c>
      <c r="P187" s="56">
        <f t="shared" si="54"/>
        <v>13</v>
      </c>
      <c r="Q187" s="56">
        <f t="shared" si="54"/>
        <v>13</v>
      </c>
      <c r="R187" s="56">
        <f t="shared" si="54"/>
        <v>13</v>
      </c>
      <c r="S187" s="56">
        <f t="shared" si="54"/>
        <v>5.958333333333333</v>
      </c>
      <c r="T187" s="56">
        <f t="shared" si="54"/>
        <v>0</v>
      </c>
      <c r="U187" s="41">
        <f t="shared" si="54"/>
        <v>0</v>
      </c>
    </row>
    <row r="188" spans="2:21" hidden="1" outlineLevel="1">
      <c r="B188" s="14" t="s">
        <v>116</v>
      </c>
      <c r="C188" s="15" t="s">
        <v>65</v>
      </c>
      <c r="D188" s="52">
        <v>2037</v>
      </c>
      <c r="E188" s="34">
        <f t="shared" si="45"/>
        <v>216931.75456905269</v>
      </c>
      <c r="F188" s="34">
        <f t="shared" si="46"/>
        <v>60</v>
      </c>
      <c r="G188" s="34">
        <f t="shared" si="47"/>
        <v>65</v>
      </c>
      <c r="H188" s="34">
        <f t="shared" si="48"/>
        <v>9</v>
      </c>
      <c r="I188" s="34">
        <f t="shared" si="49"/>
        <v>0</v>
      </c>
      <c r="J188" s="34">
        <f t="shared" si="50"/>
        <v>9</v>
      </c>
      <c r="K188" s="34">
        <f t="shared" si="51"/>
        <v>5</v>
      </c>
      <c r="L188" s="34">
        <f t="shared" si="52"/>
        <v>60</v>
      </c>
      <c r="M188" s="34">
        <f t="shared" si="53"/>
        <v>60</v>
      </c>
      <c r="N188" s="56">
        <f t="shared" si="54"/>
        <v>0.54166666666666663</v>
      </c>
      <c r="O188" s="56">
        <f t="shared" si="54"/>
        <v>9.75</v>
      </c>
      <c r="P188" s="56">
        <f t="shared" si="54"/>
        <v>13</v>
      </c>
      <c r="Q188" s="56">
        <f t="shared" si="54"/>
        <v>13</v>
      </c>
      <c r="R188" s="56">
        <f t="shared" si="54"/>
        <v>13</v>
      </c>
      <c r="S188" s="56">
        <f t="shared" si="54"/>
        <v>5.958333333333333</v>
      </c>
      <c r="T188" s="56">
        <f t="shared" si="54"/>
        <v>0</v>
      </c>
      <c r="U188" s="41">
        <f t="shared" si="54"/>
        <v>0</v>
      </c>
    </row>
    <row r="189" spans="2:21" hidden="1" outlineLevel="1">
      <c r="B189" s="14" t="s">
        <v>116</v>
      </c>
      <c r="C189" s="15" t="s">
        <v>65</v>
      </c>
      <c r="D189" s="52">
        <v>2038</v>
      </c>
      <c r="E189" s="34">
        <f t="shared" si="45"/>
        <v>224518.11095245375</v>
      </c>
      <c r="F189" s="34">
        <f t="shared" si="46"/>
        <v>60</v>
      </c>
      <c r="G189" s="34">
        <f t="shared" si="47"/>
        <v>65</v>
      </c>
      <c r="H189" s="34">
        <f t="shared" si="48"/>
        <v>9</v>
      </c>
      <c r="I189" s="34">
        <f t="shared" si="49"/>
        <v>0</v>
      </c>
      <c r="J189" s="34">
        <f t="shared" si="50"/>
        <v>9</v>
      </c>
      <c r="K189" s="34">
        <f t="shared" si="51"/>
        <v>5</v>
      </c>
      <c r="L189" s="34">
        <f t="shared" si="52"/>
        <v>60</v>
      </c>
      <c r="M189" s="34">
        <f t="shared" si="53"/>
        <v>60</v>
      </c>
      <c r="N189" s="56">
        <f t="shared" si="54"/>
        <v>0.54166666666666663</v>
      </c>
      <c r="O189" s="56">
        <f t="shared" si="54"/>
        <v>9.75</v>
      </c>
      <c r="P189" s="56">
        <f t="shared" si="54"/>
        <v>13</v>
      </c>
      <c r="Q189" s="56">
        <f t="shared" si="54"/>
        <v>13</v>
      </c>
      <c r="R189" s="56">
        <f t="shared" si="54"/>
        <v>13</v>
      </c>
      <c r="S189" s="56">
        <f t="shared" si="54"/>
        <v>5.958333333333333</v>
      </c>
      <c r="T189" s="56">
        <f t="shared" si="54"/>
        <v>0</v>
      </c>
      <c r="U189" s="41">
        <f t="shared" si="54"/>
        <v>0</v>
      </c>
    </row>
    <row r="190" spans="2:21" hidden="1" outlineLevel="1">
      <c r="B190" s="14" t="s">
        <v>116</v>
      </c>
      <c r="C190" s="15" t="s">
        <v>65</v>
      </c>
      <c r="D190" s="52">
        <v>2039</v>
      </c>
      <c r="E190" s="34">
        <f t="shared" si="45"/>
        <v>231423.20217673111</v>
      </c>
      <c r="F190" s="34">
        <f t="shared" si="46"/>
        <v>60</v>
      </c>
      <c r="G190" s="34">
        <f t="shared" si="47"/>
        <v>65</v>
      </c>
      <c r="H190" s="34">
        <f t="shared" si="48"/>
        <v>9</v>
      </c>
      <c r="I190" s="34">
        <f t="shared" si="49"/>
        <v>0</v>
      </c>
      <c r="J190" s="34">
        <f t="shared" si="50"/>
        <v>9</v>
      </c>
      <c r="K190" s="34">
        <f t="shared" si="51"/>
        <v>5</v>
      </c>
      <c r="L190" s="34">
        <f t="shared" si="52"/>
        <v>60</v>
      </c>
      <c r="M190" s="34">
        <f t="shared" si="53"/>
        <v>60</v>
      </c>
      <c r="N190" s="56">
        <f t="shared" ref="N190:U199" si="55">$Z$20/144*(INDEX($C$65:$O$89,MIN(MAX(12*(N$109+1)-$H190,0),24)+1,13)-INDEX($C$65:$O$89,MIN(MAX(12*(N$109+1)-$L190,0),24)+1,13-$J190)-INDEX($C$65:$O$89,MIN(MAX(12*(N$109+1)-$M190-12+$J190,0),24)+1,$J190+1))</f>
        <v>0.54166666666666663</v>
      </c>
      <c r="O190" s="56">
        <f t="shared" si="55"/>
        <v>9.75</v>
      </c>
      <c r="P190" s="56">
        <f t="shared" si="55"/>
        <v>13</v>
      </c>
      <c r="Q190" s="56">
        <f t="shared" si="55"/>
        <v>13</v>
      </c>
      <c r="R190" s="56">
        <f t="shared" si="55"/>
        <v>13</v>
      </c>
      <c r="S190" s="56">
        <f t="shared" si="55"/>
        <v>5.958333333333333</v>
      </c>
      <c r="T190" s="56">
        <f t="shared" si="55"/>
        <v>0</v>
      </c>
      <c r="U190" s="41">
        <f t="shared" si="55"/>
        <v>0</v>
      </c>
    </row>
    <row r="191" spans="2:21" hidden="1" outlineLevel="1">
      <c r="B191" s="14" t="s">
        <v>116</v>
      </c>
      <c r="C191" s="15" t="s">
        <v>65</v>
      </c>
      <c r="D191" s="52">
        <v>2040</v>
      </c>
      <c r="E191" s="34">
        <f t="shared" si="45"/>
        <v>236972.56743636017</v>
      </c>
      <c r="F191" s="34">
        <f t="shared" si="46"/>
        <v>60</v>
      </c>
      <c r="G191" s="34">
        <f t="shared" si="47"/>
        <v>65</v>
      </c>
      <c r="H191" s="34">
        <f t="shared" si="48"/>
        <v>9</v>
      </c>
      <c r="I191" s="34">
        <f t="shared" si="49"/>
        <v>0</v>
      </c>
      <c r="J191" s="34">
        <f t="shared" si="50"/>
        <v>9</v>
      </c>
      <c r="K191" s="34">
        <f t="shared" si="51"/>
        <v>5</v>
      </c>
      <c r="L191" s="34">
        <f t="shared" si="52"/>
        <v>60</v>
      </c>
      <c r="M191" s="34">
        <f t="shared" si="53"/>
        <v>60</v>
      </c>
      <c r="N191" s="56">
        <f t="shared" si="55"/>
        <v>0.54166666666666663</v>
      </c>
      <c r="O191" s="56">
        <f t="shared" si="55"/>
        <v>9.75</v>
      </c>
      <c r="P191" s="56">
        <f t="shared" si="55"/>
        <v>13</v>
      </c>
      <c r="Q191" s="56">
        <f t="shared" si="55"/>
        <v>13</v>
      </c>
      <c r="R191" s="56">
        <f t="shared" si="55"/>
        <v>13</v>
      </c>
      <c r="S191" s="56">
        <f t="shared" si="55"/>
        <v>5.958333333333333</v>
      </c>
      <c r="T191" s="56">
        <f t="shared" si="55"/>
        <v>0</v>
      </c>
      <c r="U191" s="41">
        <f t="shared" si="55"/>
        <v>0</v>
      </c>
    </row>
    <row r="192" spans="2:21" hidden="1" outlineLevel="1">
      <c r="B192" s="14" t="s">
        <v>116</v>
      </c>
      <c r="C192" s="15" t="s">
        <v>65</v>
      </c>
      <c r="D192" s="52">
        <v>2041</v>
      </c>
      <c r="E192" s="34">
        <f t="shared" si="45"/>
        <v>240439.46857499442</v>
      </c>
      <c r="F192" s="34">
        <f t="shared" si="46"/>
        <v>60</v>
      </c>
      <c r="G192" s="34">
        <f t="shared" si="47"/>
        <v>65</v>
      </c>
      <c r="H192" s="34">
        <f t="shared" si="48"/>
        <v>9</v>
      </c>
      <c r="I192" s="34">
        <f t="shared" si="49"/>
        <v>0</v>
      </c>
      <c r="J192" s="34">
        <f t="shared" si="50"/>
        <v>9</v>
      </c>
      <c r="K192" s="34">
        <f t="shared" si="51"/>
        <v>5</v>
      </c>
      <c r="L192" s="34">
        <f t="shared" si="52"/>
        <v>60</v>
      </c>
      <c r="M192" s="34">
        <f t="shared" si="53"/>
        <v>60</v>
      </c>
      <c r="N192" s="56">
        <f t="shared" si="55"/>
        <v>0.54166666666666663</v>
      </c>
      <c r="O192" s="56">
        <f t="shared" si="55"/>
        <v>9.75</v>
      </c>
      <c r="P192" s="56">
        <f t="shared" si="55"/>
        <v>13</v>
      </c>
      <c r="Q192" s="56">
        <f t="shared" si="55"/>
        <v>13</v>
      </c>
      <c r="R192" s="56">
        <f t="shared" si="55"/>
        <v>13</v>
      </c>
      <c r="S192" s="56">
        <f t="shared" si="55"/>
        <v>5.958333333333333</v>
      </c>
      <c r="T192" s="56">
        <f t="shared" si="55"/>
        <v>0</v>
      </c>
      <c r="U192" s="41">
        <f t="shared" si="55"/>
        <v>0</v>
      </c>
    </row>
    <row r="193" spans="2:21" hidden="1" outlineLevel="1">
      <c r="B193" s="14" t="s">
        <v>116</v>
      </c>
      <c r="C193" s="15" t="s">
        <v>65</v>
      </c>
      <c r="D193" s="52">
        <v>2042</v>
      </c>
      <c r="E193" s="34">
        <f t="shared" si="45"/>
        <v>242206.4430327751</v>
      </c>
      <c r="F193" s="34">
        <f t="shared" si="46"/>
        <v>60</v>
      </c>
      <c r="G193" s="34">
        <f t="shared" si="47"/>
        <v>65</v>
      </c>
      <c r="H193" s="34">
        <f t="shared" si="48"/>
        <v>9</v>
      </c>
      <c r="I193" s="34">
        <f t="shared" si="49"/>
        <v>0</v>
      </c>
      <c r="J193" s="34">
        <f t="shared" si="50"/>
        <v>9</v>
      </c>
      <c r="K193" s="34">
        <f t="shared" si="51"/>
        <v>5</v>
      </c>
      <c r="L193" s="34">
        <f t="shared" si="52"/>
        <v>60</v>
      </c>
      <c r="M193" s="34">
        <f t="shared" si="53"/>
        <v>60</v>
      </c>
      <c r="N193" s="56">
        <f t="shared" si="55"/>
        <v>0.54166666666666663</v>
      </c>
      <c r="O193" s="56">
        <f t="shared" si="55"/>
        <v>9.75</v>
      </c>
      <c r="P193" s="56">
        <f t="shared" si="55"/>
        <v>13</v>
      </c>
      <c r="Q193" s="56">
        <f t="shared" si="55"/>
        <v>13</v>
      </c>
      <c r="R193" s="56">
        <f t="shared" si="55"/>
        <v>13</v>
      </c>
      <c r="S193" s="56">
        <f t="shared" si="55"/>
        <v>5.958333333333333</v>
      </c>
      <c r="T193" s="56">
        <f t="shared" si="55"/>
        <v>0</v>
      </c>
      <c r="U193" s="41">
        <f t="shared" si="55"/>
        <v>0</v>
      </c>
    </row>
    <row r="194" spans="2:21" hidden="1" outlineLevel="1">
      <c r="B194" s="14" t="s">
        <v>116</v>
      </c>
      <c r="C194" s="15" t="s">
        <v>65</v>
      </c>
      <c r="D194" s="52">
        <v>2043</v>
      </c>
      <c r="E194" s="34">
        <f t="shared" si="45"/>
        <v>243586.06721494198</v>
      </c>
      <c r="F194" s="34">
        <f t="shared" si="46"/>
        <v>60</v>
      </c>
      <c r="G194" s="34">
        <f t="shared" si="47"/>
        <v>65</v>
      </c>
      <c r="H194" s="34">
        <f t="shared" si="48"/>
        <v>9</v>
      </c>
      <c r="I194" s="34">
        <f t="shared" si="49"/>
        <v>0</v>
      </c>
      <c r="J194" s="34">
        <f t="shared" si="50"/>
        <v>9</v>
      </c>
      <c r="K194" s="34">
        <f t="shared" si="51"/>
        <v>5</v>
      </c>
      <c r="L194" s="34">
        <f t="shared" si="52"/>
        <v>60</v>
      </c>
      <c r="M194" s="34">
        <f t="shared" si="53"/>
        <v>60</v>
      </c>
      <c r="N194" s="56">
        <f t="shared" si="55"/>
        <v>0.54166666666666663</v>
      </c>
      <c r="O194" s="56">
        <f t="shared" si="55"/>
        <v>9.75</v>
      </c>
      <c r="P194" s="56">
        <f t="shared" si="55"/>
        <v>13</v>
      </c>
      <c r="Q194" s="56">
        <f t="shared" si="55"/>
        <v>13</v>
      </c>
      <c r="R194" s="56">
        <f t="shared" si="55"/>
        <v>13</v>
      </c>
      <c r="S194" s="56">
        <f t="shared" si="55"/>
        <v>5.958333333333333</v>
      </c>
      <c r="T194" s="56">
        <f t="shared" si="55"/>
        <v>0</v>
      </c>
      <c r="U194" s="41">
        <f t="shared" si="55"/>
        <v>0</v>
      </c>
    </row>
    <row r="195" spans="2:21" hidden="1" outlineLevel="1">
      <c r="B195" s="14" t="s">
        <v>116</v>
      </c>
      <c r="C195" s="15" t="s">
        <v>65</v>
      </c>
      <c r="D195" s="52">
        <v>2044</v>
      </c>
      <c r="E195" s="34">
        <f t="shared" si="45"/>
        <v>244892.83502564597</v>
      </c>
      <c r="F195" s="34">
        <f t="shared" si="46"/>
        <v>60</v>
      </c>
      <c r="G195" s="34">
        <f t="shared" si="47"/>
        <v>65</v>
      </c>
      <c r="H195" s="34">
        <f t="shared" si="48"/>
        <v>9</v>
      </c>
      <c r="I195" s="34">
        <f t="shared" si="49"/>
        <v>0</v>
      </c>
      <c r="J195" s="34">
        <f t="shared" si="50"/>
        <v>9</v>
      </c>
      <c r="K195" s="34">
        <f t="shared" si="51"/>
        <v>5</v>
      </c>
      <c r="L195" s="34">
        <f t="shared" si="52"/>
        <v>60</v>
      </c>
      <c r="M195" s="34">
        <f t="shared" si="53"/>
        <v>60</v>
      </c>
      <c r="N195" s="56">
        <f t="shared" si="55"/>
        <v>0.54166666666666663</v>
      </c>
      <c r="O195" s="56">
        <f t="shared" si="55"/>
        <v>9.75</v>
      </c>
      <c r="P195" s="56">
        <f t="shared" si="55"/>
        <v>13</v>
      </c>
      <c r="Q195" s="56">
        <f t="shared" si="55"/>
        <v>13</v>
      </c>
      <c r="R195" s="56">
        <f t="shared" si="55"/>
        <v>13</v>
      </c>
      <c r="S195" s="56">
        <f t="shared" si="55"/>
        <v>5.958333333333333</v>
      </c>
      <c r="T195" s="56">
        <f t="shared" si="55"/>
        <v>0</v>
      </c>
      <c r="U195" s="41">
        <f t="shared" si="55"/>
        <v>0</v>
      </c>
    </row>
    <row r="196" spans="2:21" hidden="1" outlineLevel="1">
      <c r="B196" s="14" t="s">
        <v>116</v>
      </c>
      <c r="C196" s="15" t="s">
        <v>65</v>
      </c>
      <c r="D196" s="52">
        <v>2045</v>
      </c>
      <c r="E196" s="34">
        <f t="shared" si="45"/>
        <v>245117.04677472662</v>
      </c>
      <c r="F196" s="34">
        <f t="shared" si="46"/>
        <v>60</v>
      </c>
      <c r="G196" s="34">
        <f t="shared" si="47"/>
        <v>65</v>
      </c>
      <c r="H196" s="34">
        <f t="shared" si="48"/>
        <v>9</v>
      </c>
      <c r="I196" s="34">
        <f t="shared" si="49"/>
        <v>0</v>
      </c>
      <c r="J196" s="34">
        <f t="shared" si="50"/>
        <v>9</v>
      </c>
      <c r="K196" s="34">
        <f t="shared" si="51"/>
        <v>5</v>
      </c>
      <c r="L196" s="34">
        <f t="shared" si="52"/>
        <v>60</v>
      </c>
      <c r="M196" s="34">
        <f t="shared" si="53"/>
        <v>60</v>
      </c>
      <c r="N196" s="56">
        <f t="shared" si="55"/>
        <v>0.54166666666666663</v>
      </c>
      <c r="O196" s="56">
        <f t="shared" si="55"/>
        <v>9.75</v>
      </c>
      <c r="P196" s="56">
        <f t="shared" si="55"/>
        <v>13</v>
      </c>
      <c r="Q196" s="56">
        <f t="shared" si="55"/>
        <v>13</v>
      </c>
      <c r="R196" s="56">
        <f t="shared" si="55"/>
        <v>13</v>
      </c>
      <c r="S196" s="56">
        <f t="shared" si="55"/>
        <v>5.958333333333333</v>
      </c>
      <c r="T196" s="56">
        <f t="shared" si="55"/>
        <v>0</v>
      </c>
      <c r="U196" s="41">
        <f t="shared" si="55"/>
        <v>0</v>
      </c>
    </row>
    <row r="197" spans="2:21" hidden="1" outlineLevel="1">
      <c r="B197" s="14" t="s">
        <v>116</v>
      </c>
      <c r="C197" s="15" t="s">
        <v>65</v>
      </c>
      <c r="D197" s="52">
        <v>2046</v>
      </c>
      <c r="E197" s="34">
        <f t="shared" si="45"/>
        <v>244020.71604606134</v>
      </c>
      <c r="F197" s="34">
        <f t="shared" si="46"/>
        <v>60</v>
      </c>
      <c r="G197" s="34">
        <f t="shared" si="47"/>
        <v>65</v>
      </c>
      <c r="H197" s="34">
        <f t="shared" si="48"/>
        <v>9</v>
      </c>
      <c r="I197" s="34">
        <f t="shared" si="49"/>
        <v>0</v>
      </c>
      <c r="J197" s="34">
        <f t="shared" si="50"/>
        <v>9</v>
      </c>
      <c r="K197" s="34">
        <f t="shared" si="51"/>
        <v>5</v>
      </c>
      <c r="L197" s="34">
        <f t="shared" si="52"/>
        <v>60</v>
      </c>
      <c r="M197" s="34">
        <f t="shared" si="53"/>
        <v>60</v>
      </c>
      <c r="N197" s="56">
        <f t="shared" si="55"/>
        <v>0.54166666666666663</v>
      </c>
      <c r="O197" s="56">
        <f t="shared" si="55"/>
        <v>9.75</v>
      </c>
      <c r="P197" s="56">
        <f t="shared" si="55"/>
        <v>13</v>
      </c>
      <c r="Q197" s="56">
        <f t="shared" si="55"/>
        <v>13</v>
      </c>
      <c r="R197" s="56">
        <f t="shared" si="55"/>
        <v>13</v>
      </c>
      <c r="S197" s="56">
        <f t="shared" si="55"/>
        <v>5.958333333333333</v>
      </c>
      <c r="T197" s="56">
        <f t="shared" si="55"/>
        <v>0</v>
      </c>
      <c r="U197" s="41">
        <f t="shared" si="55"/>
        <v>0</v>
      </c>
    </row>
    <row r="198" spans="2:21" hidden="1" outlineLevel="1">
      <c r="B198" s="14" t="s">
        <v>116</v>
      </c>
      <c r="C198" s="15" t="s">
        <v>65</v>
      </c>
      <c r="D198" s="52">
        <v>2047</v>
      </c>
      <c r="E198" s="34">
        <f t="shared" si="45"/>
        <v>242007.9550594957</v>
      </c>
      <c r="F198" s="34">
        <f t="shared" si="46"/>
        <v>60</v>
      </c>
      <c r="G198" s="34">
        <f t="shared" si="47"/>
        <v>65</v>
      </c>
      <c r="H198" s="34">
        <f t="shared" si="48"/>
        <v>9</v>
      </c>
      <c r="I198" s="34">
        <f t="shared" si="49"/>
        <v>0</v>
      </c>
      <c r="J198" s="34">
        <f t="shared" si="50"/>
        <v>9</v>
      </c>
      <c r="K198" s="34">
        <f t="shared" si="51"/>
        <v>5</v>
      </c>
      <c r="L198" s="34">
        <f t="shared" si="52"/>
        <v>60</v>
      </c>
      <c r="M198" s="34">
        <f t="shared" si="53"/>
        <v>60</v>
      </c>
      <c r="N198" s="56">
        <f t="shared" si="55"/>
        <v>0.54166666666666663</v>
      </c>
      <c r="O198" s="56">
        <f t="shared" si="55"/>
        <v>9.75</v>
      </c>
      <c r="P198" s="56">
        <f t="shared" si="55"/>
        <v>13</v>
      </c>
      <c r="Q198" s="56">
        <f t="shared" si="55"/>
        <v>13</v>
      </c>
      <c r="R198" s="56">
        <f t="shared" si="55"/>
        <v>13</v>
      </c>
      <c r="S198" s="56">
        <f t="shared" si="55"/>
        <v>5.958333333333333</v>
      </c>
      <c r="T198" s="56">
        <f t="shared" si="55"/>
        <v>0</v>
      </c>
      <c r="U198" s="41">
        <f t="shared" si="55"/>
        <v>0</v>
      </c>
    </row>
    <row r="199" spans="2:21" hidden="1" outlineLevel="1">
      <c r="B199" s="14" t="s">
        <v>116</v>
      </c>
      <c r="C199" s="15" t="s">
        <v>65</v>
      </c>
      <c r="D199" s="52">
        <v>2048</v>
      </c>
      <c r="E199" s="34">
        <f t="shared" si="45"/>
        <v>239297.00100973074</v>
      </c>
      <c r="F199" s="34">
        <f t="shared" si="46"/>
        <v>60</v>
      </c>
      <c r="G199" s="34">
        <f t="shared" si="47"/>
        <v>65</v>
      </c>
      <c r="H199" s="34">
        <f t="shared" si="48"/>
        <v>9</v>
      </c>
      <c r="I199" s="34">
        <f t="shared" si="49"/>
        <v>0</v>
      </c>
      <c r="J199" s="34">
        <f t="shared" si="50"/>
        <v>9</v>
      </c>
      <c r="K199" s="34">
        <f t="shared" si="51"/>
        <v>5</v>
      </c>
      <c r="L199" s="34">
        <f t="shared" si="52"/>
        <v>60</v>
      </c>
      <c r="M199" s="34">
        <f t="shared" si="53"/>
        <v>60</v>
      </c>
      <c r="N199" s="56">
        <f t="shared" si="55"/>
        <v>0.54166666666666663</v>
      </c>
      <c r="O199" s="56">
        <f t="shared" si="55"/>
        <v>9.75</v>
      </c>
      <c r="P199" s="56">
        <f t="shared" si="55"/>
        <v>13</v>
      </c>
      <c r="Q199" s="56">
        <f t="shared" si="55"/>
        <v>13</v>
      </c>
      <c r="R199" s="56">
        <f t="shared" si="55"/>
        <v>13</v>
      </c>
      <c r="S199" s="56">
        <f t="shared" si="55"/>
        <v>5.958333333333333</v>
      </c>
      <c r="T199" s="56">
        <f t="shared" si="55"/>
        <v>0</v>
      </c>
      <c r="U199" s="41">
        <f t="shared" si="55"/>
        <v>0</v>
      </c>
    </row>
    <row r="200" spans="2:21" hidden="1" outlineLevel="1">
      <c r="B200" s="14" t="s">
        <v>116</v>
      </c>
      <c r="C200" s="15" t="s">
        <v>65</v>
      </c>
      <c r="D200" s="52">
        <v>2049</v>
      </c>
      <c r="E200" s="34">
        <f t="shared" si="45"/>
        <v>236788.51796949827</v>
      </c>
      <c r="F200" s="34">
        <f t="shared" si="46"/>
        <v>60</v>
      </c>
      <c r="G200" s="34">
        <f t="shared" si="47"/>
        <v>65</v>
      </c>
      <c r="H200" s="34">
        <f t="shared" si="48"/>
        <v>9</v>
      </c>
      <c r="I200" s="34">
        <f t="shared" si="49"/>
        <v>0</v>
      </c>
      <c r="J200" s="34">
        <f t="shared" si="50"/>
        <v>9</v>
      </c>
      <c r="K200" s="34">
        <f t="shared" si="51"/>
        <v>5</v>
      </c>
      <c r="L200" s="34">
        <f t="shared" si="52"/>
        <v>60</v>
      </c>
      <c r="M200" s="34">
        <f t="shared" si="53"/>
        <v>60</v>
      </c>
      <c r="N200" s="56">
        <f t="shared" ref="N200:U209" si="56">$Z$20/144*(INDEX($C$65:$O$89,MIN(MAX(12*(N$109+1)-$H200,0),24)+1,13)-INDEX($C$65:$O$89,MIN(MAX(12*(N$109+1)-$L200,0),24)+1,13-$J200)-INDEX($C$65:$O$89,MIN(MAX(12*(N$109+1)-$M200-12+$J200,0),24)+1,$J200+1))</f>
        <v>0.54166666666666663</v>
      </c>
      <c r="O200" s="56">
        <f t="shared" si="56"/>
        <v>9.75</v>
      </c>
      <c r="P200" s="56">
        <f t="shared" si="56"/>
        <v>13</v>
      </c>
      <c r="Q200" s="56">
        <f t="shared" si="56"/>
        <v>13</v>
      </c>
      <c r="R200" s="56">
        <f t="shared" si="56"/>
        <v>13</v>
      </c>
      <c r="S200" s="56">
        <f t="shared" si="56"/>
        <v>5.958333333333333</v>
      </c>
      <c r="T200" s="56">
        <f t="shared" si="56"/>
        <v>0</v>
      </c>
      <c r="U200" s="41">
        <f t="shared" si="56"/>
        <v>0</v>
      </c>
    </row>
    <row r="201" spans="2:21" hidden="1" outlineLevel="1">
      <c r="B201" s="14" t="s">
        <v>116</v>
      </c>
      <c r="C201" s="15" t="s">
        <v>65</v>
      </c>
      <c r="D201" s="52">
        <v>2050</v>
      </c>
      <c r="E201" s="34">
        <f t="shared" si="45"/>
        <v>235371.88474214636</v>
      </c>
      <c r="F201" s="34">
        <f t="shared" si="46"/>
        <v>60</v>
      </c>
      <c r="G201" s="34">
        <f t="shared" si="47"/>
        <v>65</v>
      </c>
      <c r="H201" s="34">
        <f t="shared" si="48"/>
        <v>9</v>
      </c>
      <c r="I201" s="34">
        <f t="shared" si="49"/>
        <v>0</v>
      </c>
      <c r="J201" s="34">
        <f t="shared" si="50"/>
        <v>9</v>
      </c>
      <c r="K201" s="34">
        <f t="shared" si="51"/>
        <v>5</v>
      </c>
      <c r="L201" s="34">
        <f t="shared" si="52"/>
        <v>60</v>
      </c>
      <c r="M201" s="34">
        <f t="shared" si="53"/>
        <v>60</v>
      </c>
      <c r="N201" s="56">
        <f t="shared" si="56"/>
        <v>0.54166666666666663</v>
      </c>
      <c r="O201" s="56">
        <f t="shared" si="56"/>
        <v>9.75</v>
      </c>
      <c r="P201" s="56">
        <f t="shared" si="56"/>
        <v>13</v>
      </c>
      <c r="Q201" s="56">
        <f t="shared" si="56"/>
        <v>13</v>
      </c>
      <c r="R201" s="56">
        <f t="shared" si="56"/>
        <v>13</v>
      </c>
      <c r="S201" s="56">
        <f t="shared" si="56"/>
        <v>5.958333333333333</v>
      </c>
      <c r="T201" s="56">
        <f t="shared" si="56"/>
        <v>0</v>
      </c>
      <c r="U201" s="41">
        <f t="shared" si="56"/>
        <v>0</v>
      </c>
    </row>
    <row r="202" spans="2:21" hidden="1" outlineLevel="1">
      <c r="B202" s="14" t="s">
        <v>116</v>
      </c>
      <c r="C202" s="15" t="s">
        <v>65</v>
      </c>
      <c r="D202" s="52">
        <v>2051</v>
      </c>
      <c r="E202" s="34">
        <f t="shared" si="45"/>
        <v>235542.15954196628</v>
      </c>
      <c r="F202" s="34">
        <f t="shared" si="46"/>
        <v>60</v>
      </c>
      <c r="G202" s="34">
        <f t="shared" si="47"/>
        <v>65</v>
      </c>
      <c r="H202" s="34">
        <f t="shared" si="48"/>
        <v>9</v>
      </c>
      <c r="I202" s="34">
        <f t="shared" si="49"/>
        <v>0</v>
      </c>
      <c r="J202" s="34">
        <f t="shared" si="50"/>
        <v>9</v>
      </c>
      <c r="K202" s="34">
        <f t="shared" si="51"/>
        <v>5</v>
      </c>
      <c r="L202" s="34">
        <f t="shared" si="52"/>
        <v>60</v>
      </c>
      <c r="M202" s="34">
        <f t="shared" si="53"/>
        <v>60</v>
      </c>
      <c r="N202" s="56">
        <f t="shared" si="56"/>
        <v>0.54166666666666663</v>
      </c>
      <c r="O202" s="56">
        <f t="shared" si="56"/>
        <v>9.75</v>
      </c>
      <c r="P202" s="56">
        <f t="shared" si="56"/>
        <v>13</v>
      </c>
      <c r="Q202" s="56">
        <f t="shared" si="56"/>
        <v>13</v>
      </c>
      <c r="R202" s="56">
        <f t="shared" si="56"/>
        <v>13</v>
      </c>
      <c r="S202" s="56">
        <f t="shared" si="56"/>
        <v>5.958333333333333</v>
      </c>
      <c r="T202" s="56">
        <f t="shared" si="56"/>
        <v>0</v>
      </c>
      <c r="U202" s="41">
        <f t="shared" si="56"/>
        <v>0</v>
      </c>
    </row>
    <row r="203" spans="2:21" hidden="1" outlineLevel="1">
      <c r="B203" s="14" t="s">
        <v>116</v>
      </c>
      <c r="C203" s="15" t="s">
        <v>65</v>
      </c>
      <c r="D203" s="52">
        <v>2052</v>
      </c>
      <c r="E203" s="34">
        <f t="shared" si="45"/>
        <v>236872.65961034497</v>
      </c>
      <c r="F203" s="34">
        <f t="shared" si="46"/>
        <v>60</v>
      </c>
      <c r="G203" s="34">
        <f t="shared" si="47"/>
        <v>65</v>
      </c>
      <c r="H203" s="34">
        <f t="shared" si="48"/>
        <v>9</v>
      </c>
      <c r="I203" s="34">
        <f t="shared" si="49"/>
        <v>0</v>
      </c>
      <c r="J203" s="34">
        <f t="shared" si="50"/>
        <v>9</v>
      </c>
      <c r="K203" s="34">
        <f t="shared" si="51"/>
        <v>5</v>
      </c>
      <c r="L203" s="34">
        <f t="shared" si="52"/>
        <v>60</v>
      </c>
      <c r="M203" s="34">
        <f t="shared" si="53"/>
        <v>60</v>
      </c>
      <c r="N203" s="56">
        <f t="shared" si="56"/>
        <v>0.54166666666666663</v>
      </c>
      <c r="O203" s="56">
        <f t="shared" si="56"/>
        <v>9.75</v>
      </c>
      <c r="P203" s="56">
        <f t="shared" si="56"/>
        <v>13</v>
      </c>
      <c r="Q203" s="56">
        <f t="shared" si="56"/>
        <v>13</v>
      </c>
      <c r="R203" s="56">
        <f t="shared" si="56"/>
        <v>13</v>
      </c>
      <c r="S203" s="56">
        <f t="shared" si="56"/>
        <v>5.958333333333333</v>
      </c>
      <c r="T203" s="56">
        <f t="shared" si="56"/>
        <v>0</v>
      </c>
      <c r="U203" s="41">
        <f t="shared" si="56"/>
        <v>0</v>
      </c>
    </row>
    <row r="204" spans="2:21" hidden="1" outlineLevel="1">
      <c r="B204" s="14" t="s">
        <v>116</v>
      </c>
      <c r="C204" s="15" t="s">
        <v>65</v>
      </c>
      <c r="D204" s="52">
        <v>2053</v>
      </c>
      <c r="E204" s="34">
        <f t="shared" si="45"/>
        <v>238261.90946345686</v>
      </c>
      <c r="F204" s="34">
        <f t="shared" si="46"/>
        <v>60</v>
      </c>
      <c r="G204" s="34">
        <f t="shared" si="47"/>
        <v>65</v>
      </c>
      <c r="H204" s="34">
        <f t="shared" si="48"/>
        <v>9</v>
      </c>
      <c r="I204" s="34">
        <f t="shared" si="49"/>
        <v>0</v>
      </c>
      <c r="J204" s="34">
        <f t="shared" si="50"/>
        <v>9</v>
      </c>
      <c r="K204" s="34">
        <f t="shared" si="51"/>
        <v>5</v>
      </c>
      <c r="L204" s="34">
        <f t="shared" si="52"/>
        <v>60</v>
      </c>
      <c r="M204" s="34">
        <f t="shared" si="53"/>
        <v>60</v>
      </c>
      <c r="N204" s="56">
        <f t="shared" si="56"/>
        <v>0.54166666666666663</v>
      </c>
      <c r="O204" s="56">
        <f t="shared" si="56"/>
        <v>9.75</v>
      </c>
      <c r="P204" s="56">
        <f t="shared" si="56"/>
        <v>13</v>
      </c>
      <c r="Q204" s="56">
        <f t="shared" si="56"/>
        <v>13</v>
      </c>
      <c r="R204" s="56">
        <f t="shared" si="56"/>
        <v>13</v>
      </c>
      <c r="S204" s="56">
        <f t="shared" si="56"/>
        <v>5.958333333333333</v>
      </c>
      <c r="T204" s="56">
        <f t="shared" si="56"/>
        <v>0</v>
      </c>
      <c r="U204" s="41">
        <f t="shared" si="56"/>
        <v>0</v>
      </c>
    </row>
    <row r="205" spans="2:21" hidden="1" outlineLevel="1">
      <c r="B205" s="14" t="s">
        <v>116</v>
      </c>
      <c r="C205" s="15" t="s">
        <v>65</v>
      </c>
      <c r="D205" s="52">
        <v>2054</v>
      </c>
      <c r="E205" s="34">
        <f t="shared" si="45"/>
        <v>239229.1234335842</v>
      </c>
      <c r="F205" s="34">
        <f t="shared" si="46"/>
        <v>60</v>
      </c>
      <c r="G205" s="34">
        <f t="shared" si="47"/>
        <v>65</v>
      </c>
      <c r="H205" s="34">
        <f t="shared" si="48"/>
        <v>9</v>
      </c>
      <c r="I205" s="34">
        <f t="shared" si="49"/>
        <v>0</v>
      </c>
      <c r="J205" s="34">
        <f t="shared" si="50"/>
        <v>9</v>
      </c>
      <c r="K205" s="34">
        <f t="shared" si="51"/>
        <v>5</v>
      </c>
      <c r="L205" s="34">
        <f t="shared" si="52"/>
        <v>60</v>
      </c>
      <c r="M205" s="34">
        <f t="shared" si="53"/>
        <v>60</v>
      </c>
      <c r="N205" s="56">
        <f t="shared" si="56"/>
        <v>0.54166666666666663</v>
      </c>
      <c r="O205" s="56">
        <f t="shared" si="56"/>
        <v>9.75</v>
      </c>
      <c r="P205" s="56">
        <f t="shared" si="56"/>
        <v>13</v>
      </c>
      <c r="Q205" s="56">
        <f t="shared" si="56"/>
        <v>13</v>
      </c>
      <c r="R205" s="56">
        <f t="shared" si="56"/>
        <v>13</v>
      </c>
      <c r="S205" s="56">
        <f t="shared" si="56"/>
        <v>5.958333333333333</v>
      </c>
      <c r="T205" s="56">
        <f t="shared" si="56"/>
        <v>0</v>
      </c>
      <c r="U205" s="41">
        <f t="shared" si="56"/>
        <v>0</v>
      </c>
    </row>
    <row r="206" spans="2:21" hidden="1" outlineLevel="1">
      <c r="B206" s="14" t="s">
        <v>116</v>
      </c>
      <c r="C206" s="15" t="s">
        <v>65</v>
      </c>
      <c r="D206" s="52">
        <v>2055</v>
      </c>
      <c r="E206" s="34">
        <f t="shared" ref="E206:E237" si="57">IF($C206="Homens",INDEX($C$22:$C$55,MATCH($D206,$B$22:$B$55,0)),INDEX($F$22:$F$55,MATCH($D206,$B$22:$B$55,0)))</f>
        <v>240288.7770367522</v>
      </c>
      <c r="F206" s="34">
        <f t="shared" ref="F206:F237" si="58">IF($C206="Homens",$Z$14,$AA$14)</f>
        <v>60</v>
      </c>
      <c r="G206" s="34">
        <f t="shared" ref="G206:G237" si="59">IF($C206="Homens",$Z$15,$AA$15)</f>
        <v>65</v>
      </c>
      <c r="H206" s="34">
        <f t="shared" ref="H206:H237" si="60">IF($C206="Homens",$Z$17,$AA$17)</f>
        <v>9</v>
      </c>
      <c r="I206" s="34">
        <f t="shared" ref="I206:I237" si="61">INT(H206/12)</f>
        <v>0</v>
      </c>
      <c r="J206" s="34">
        <f t="shared" ref="J206:J237" si="62">MOD(H206,12)</f>
        <v>9</v>
      </c>
      <c r="K206" s="34">
        <f t="shared" ref="K206:K237" si="63">IF($D206&lt;$Z$18,0,IF(OR($B206="Sem Transição",$Z$19&lt;=1),$G206-$F206,MIN($G206-$F206,INT(($D206-$Z$18)/($Z$19-1))+1)))</f>
        <v>5</v>
      </c>
      <c r="L206" s="34">
        <f t="shared" ref="L206:L237" si="64">MAX($H206,12*(IF(($D206+MAX($K206,$I206))&lt;$Z$18,$F206,IF($B206="Sem Transição",$G206,MIN($G206,$F206+1+INT((($D206+MAX($K206,$I206))-$Z$18)/$Z$19))))-$F206))</f>
        <v>60</v>
      </c>
      <c r="M206" s="34">
        <f t="shared" ref="M206:M237" si="65">MAX($H206,12*(IF(($D206+MAX($K206,$I206+1))&lt;$Z$18,$F206,IF($B206="Sem Transição",$G206,MIN($G206,$F206+1+INT((($D206+MAX($K206,$I206+1))-$Z$18)/$Z$19))))-$F206))</f>
        <v>60</v>
      </c>
      <c r="N206" s="56">
        <f t="shared" si="56"/>
        <v>0.54166666666666663</v>
      </c>
      <c r="O206" s="56">
        <f t="shared" si="56"/>
        <v>9.75</v>
      </c>
      <c r="P206" s="56">
        <f t="shared" si="56"/>
        <v>13</v>
      </c>
      <c r="Q206" s="56">
        <f t="shared" si="56"/>
        <v>13</v>
      </c>
      <c r="R206" s="56">
        <f t="shared" si="56"/>
        <v>13</v>
      </c>
      <c r="S206" s="56">
        <f t="shared" si="56"/>
        <v>5.958333333333333</v>
      </c>
      <c r="T206" s="56">
        <f t="shared" si="56"/>
        <v>0</v>
      </c>
      <c r="U206" s="41">
        <f t="shared" si="56"/>
        <v>0</v>
      </c>
    </row>
    <row r="207" spans="2:21" hidden="1" outlineLevel="1">
      <c r="B207" s="14" t="s">
        <v>116</v>
      </c>
      <c r="C207" s="15" t="s">
        <v>65</v>
      </c>
      <c r="D207" s="52">
        <v>2056</v>
      </c>
      <c r="E207" s="34">
        <f t="shared" si="57"/>
        <v>241363.53298571319</v>
      </c>
      <c r="F207" s="34">
        <f t="shared" si="58"/>
        <v>60</v>
      </c>
      <c r="G207" s="34">
        <f t="shared" si="59"/>
        <v>65</v>
      </c>
      <c r="H207" s="34">
        <f t="shared" si="60"/>
        <v>9</v>
      </c>
      <c r="I207" s="34">
        <f t="shared" si="61"/>
        <v>0</v>
      </c>
      <c r="J207" s="34">
        <f t="shared" si="62"/>
        <v>9</v>
      </c>
      <c r="K207" s="34">
        <f t="shared" si="63"/>
        <v>5</v>
      </c>
      <c r="L207" s="34">
        <f t="shared" si="64"/>
        <v>60</v>
      </c>
      <c r="M207" s="34">
        <f t="shared" si="65"/>
        <v>60</v>
      </c>
      <c r="N207" s="56">
        <f t="shared" si="56"/>
        <v>0.54166666666666663</v>
      </c>
      <c r="O207" s="56">
        <f t="shared" si="56"/>
        <v>9.75</v>
      </c>
      <c r="P207" s="56">
        <f t="shared" si="56"/>
        <v>13</v>
      </c>
      <c r="Q207" s="56">
        <f t="shared" si="56"/>
        <v>13</v>
      </c>
      <c r="R207" s="56">
        <f t="shared" si="56"/>
        <v>13</v>
      </c>
      <c r="S207" s="56">
        <f t="shared" si="56"/>
        <v>5.958333333333333</v>
      </c>
      <c r="T207" s="56">
        <f t="shared" si="56"/>
        <v>0</v>
      </c>
      <c r="U207" s="41">
        <f t="shared" si="56"/>
        <v>0</v>
      </c>
    </row>
    <row r="208" spans="2:21" hidden="1" outlineLevel="1">
      <c r="B208" s="14" t="s">
        <v>116</v>
      </c>
      <c r="C208" s="15" t="s">
        <v>65</v>
      </c>
      <c r="D208" s="52">
        <v>2057</v>
      </c>
      <c r="E208" s="34">
        <f t="shared" si="57"/>
        <v>242316.97228879857</v>
      </c>
      <c r="F208" s="34">
        <f t="shared" si="58"/>
        <v>60</v>
      </c>
      <c r="G208" s="34">
        <f t="shared" si="59"/>
        <v>65</v>
      </c>
      <c r="H208" s="34">
        <f t="shared" si="60"/>
        <v>9</v>
      </c>
      <c r="I208" s="34">
        <f t="shared" si="61"/>
        <v>0</v>
      </c>
      <c r="J208" s="34">
        <f t="shared" si="62"/>
        <v>9</v>
      </c>
      <c r="K208" s="34">
        <f t="shared" si="63"/>
        <v>5</v>
      </c>
      <c r="L208" s="34">
        <f t="shared" si="64"/>
        <v>60</v>
      </c>
      <c r="M208" s="34">
        <f t="shared" si="65"/>
        <v>60</v>
      </c>
      <c r="N208" s="56">
        <f t="shared" si="56"/>
        <v>0.54166666666666663</v>
      </c>
      <c r="O208" s="56">
        <f t="shared" si="56"/>
        <v>9.75</v>
      </c>
      <c r="P208" s="56">
        <f t="shared" si="56"/>
        <v>13</v>
      </c>
      <c r="Q208" s="56">
        <f t="shared" si="56"/>
        <v>13</v>
      </c>
      <c r="R208" s="56">
        <f t="shared" si="56"/>
        <v>13</v>
      </c>
      <c r="S208" s="56">
        <f t="shared" si="56"/>
        <v>5.958333333333333</v>
      </c>
      <c r="T208" s="56">
        <f t="shared" si="56"/>
        <v>0</v>
      </c>
      <c r="U208" s="41">
        <f t="shared" si="56"/>
        <v>0</v>
      </c>
    </row>
    <row r="209" spans="2:21" hidden="1" outlineLevel="1">
      <c r="B209" s="14" t="s">
        <v>116</v>
      </c>
      <c r="C209" s="15" t="s">
        <v>65</v>
      </c>
      <c r="D209" s="52">
        <v>2058</v>
      </c>
      <c r="E209" s="34">
        <f t="shared" si="57"/>
        <v>243404.50714573826</v>
      </c>
      <c r="F209" s="34">
        <f t="shared" si="58"/>
        <v>60</v>
      </c>
      <c r="G209" s="34">
        <f t="shared" si="59"/>
        <v>65</v>
      </c>
      <c r="H209" s="34">
        <f t="shared" si="60"/>
        <v>9</v>
      </c>
      <c r="I209" s="34">
        <f t="shared" si="61"/>
        <v>0</v>
      </c>
      <c r="J209" s="34">
        <f t="shared" si="62"/>
        <v>9</v>
      </c>
      <c r="K209" s="34">
        <f t="shared" si="63"/>
        <v>5</v>
      </c>
      <c r="L209" s="34">
        <f t="shared" si="64"/>
        <v>60</v>
      </c>
      <c r="M209" s="34">
        <f t="shared" si="65"/>
        <v>60</v>
      </c>
      <c r="N209" s="56">
        <f t="shared" si="56"/>
        <v>0.54166666666666663</v>
      </c>
      <c r="O209" s="56">
        <f t="shared" si="56"/>
        <v>9.75</v>
      </c>
      <c r="P209" s="56">
        <f t="shared" si="56"/>
        <v>13</v>
      </c>
      <c r="Q209" s="56">
        <f t="shared" si="56"/>
        <v>13</v>
      </c>
      <c r="R209" s="56">
        <f t="shared" si="56"/>
        <v>13</v>
      </c>
      <c r="S209" s="56">
        <f t="shared" si="56"/>
        <v>5.958333333333333</v>
      </c>
      <c r="T209" s="56">
        <f t="shared" si="56"/>
        <v>0</v>
      </c>
      <c r="U209" s="41">
        <f t="shared" si="56"/>
        <v>0</v>
      </c>
    </row>
    <row r="210" spans="2:21" hidden="1" outlineLevel="1">
      <c r="B210" s="14" t="s">
        <v>116</v>
      </c>
      <c r="C210" s="15" t="s">
        <v>65</v>
      </c>
      <c r="D210" s="52">
        <v>2059</v>
      </c>
      <c r="E210" s="34">
        <f t="shared" si="57"/>
        <v>244178.54385759035</v>
      </c>
      <c r="F210" s="34">
        <f t="shared" si="58"/>
        <v>60</v>
      </c>
      <c r="G210" s="34">
        <f t="shared" si="59"/>
        <v>65</v>
      </c>
      <c r="H210" s="34">
        <f t="shared" si="60"/>
        <v>9</v>
      </c>
      <c r="I210" s="34">
        <f t="shared" si="61"/>
        <v>0</v>
      </c>
      <c r="J210" s="34">
        <f t="shared" si="62"/>
        <v>9</v>
      </c>
      <c r="K210" s="34">
        <f t="shared" si="63"/>
        <v>5</v>
      </c>
      <c r="L210" s="34">
        <f t="shared" si="64"/>
        <v>60</v>
      </c>
      <c r="M210" s="34">
        <f t="shared" si="65"/>
        <v>60</v>
      </c>
      <c r="N210" s="56">
        <f t="shared" ref="N210:U219" si="66">$Z$20/144*(INDEX($C$65:$O$89,MIN(MAX(12*(N$109+1)-$H210,0),24)+1,13)-INDEX($C$65:$O$89,MIN(MAX(12*(N$109+1)-$L210,0),24)+1,13-$J210)-INDEX($C$65:$O$89,MIN(MAX(12*(N$109+1)-$M210-12+$J210,0),24)+1,$J210+1))</f>
        <v>0.54166666666666663</v>
      </c>
      <c r="O210" s="56">
        <f t="shared" si="66"/>
        <v>9.75</v>
      </c>
      <c r="P210" s="56">
        <f t="shared" si="66"/>
        <v>13</v>
      </c>
      <c r="Q210" s="56">
        <f t="shared" si="66"/>
        <v>13</v>
      </c>
      <c r="R210" s="56">
        <f t="shared" si="66"/>
        <v>13</v>
      </c>
      <c r="S210" s="56">
        <f t="shared" si="66"/>
        <v>5.958333333333333</v>
      </c>
      <c r="T210" s="56">
        <f t="shared" si="66"/>
        <v>0</v>
      </c>
      <c r="U210" s="41">
        <f t="shared" si="66"/>
        <v>0</v>
      </c>
    </row>
    <row r="211" spans="2:21" hidden="1" outlineLevel="1">
      <c r="B211" s="14" t="s">
        <v>116</v>
      </c>
      <c r="C211" s="15" t="s">
        <v>65</v>
      </c>
      <c r="D211" s="52">
        <v>2060</v>
      </c>
      <c r="E211" s="34">
        <f t="shared" si="57"/>
        <v>243093.33243846497</v>
      </c>
      <c r="F211" s="34">
        <f t="shared" si="58"/>
        <v>60</v>
      </c>
      <c r="G211" s="34">
        <f t="shared" si="59"/>
        <v>65</v>
      </c>
      <c r="H211" s="34">
        <f t="shared" si="60"/>
        <v>9</v>
      </c>
      <c r="I211" s="34">
        <f t="shared" si="61"/>
        <v>0</v>
      </c>
      <c r="J211" s="34">
        <f t="shared" si="62"/>
        <v>9</v>
      </c>
      <c r="K211" s="34">
        <f t="shared" si="63"/>
        <v>5</v>
      </c>
      <c r="L211" s="34">
        <f t="shared" si="64"/>
        <v>60</v>
      </c>
      <c r="M211" s="34">
        <f t="shared" si="65"/>
        <v>60</v>
      </c>
      <c r="N211" s="56">
        <f t="shared" si="66"/>
        <v>0.54166666666666663</v>
      </c>
      <c r="O211" s="56">
        <f t="shared" si="66"/>
        <v>9.75</v>
      </c>
      <c r="P211" s="56">
        <f t="shared" si="66"/>
        <v>13</v>
      </c>
      <c r="Q211" s="56">
        <f t="shared" si="66"/>
        <v>13</v>
      </c>
      <c r="R211" s="56">
        <f t="shared" si="66"/>
        <v>13</v>
      </c>
      <c r="S211" s="56">
        <f t="shared" si="66"/>
        <v>5.958333333333333</v>
      </c>
      <c r="T211" s="56">
        <f t="shared" si="66"/>
        <v>0</v>
      </c>
      <c r="U211" s="41">
        <f t="shared" si="66"/>
        <v>0</v>
      </c>
    </row>
    <row r="212" spans="2:21" hidden="1" outlineLevel="1">
      <c r="B212" s="14" t="s">
        <v>116</v>
      </c>
      <c r="C212" s="15" t="s">
        <v>66</v>
      </c>
      <c r="D212" s="52">
        <v>2027</v>
      </c>
      <c r="E212" s="34">
        <f t="shared" si="57"/>
        <v>210859.08323346122</v>
      </c>
      <c r="F212" s="34">
        <f t="shared" si="58"/>
        <v>55</v>
      </c>
      <c r="G212" s="34">
        <f t="shared" si="59"/>
        <v>62</v>
      </c>
      <c r="H212" s="34">
        <f t="shared" si="60"/>
        <v>16</v>
      </c>
      <c r="I212" s="34">
        <f t="shared" si="61"/>
        <v>1</v>
      </c>
      <c r="J212" s="34">
        <f t="shared" si="62"/>
        <v>4</v>
      </c>
      <c r="K212" s="34">
        <f t="shared" si="63"/>
        <v>1</v>
      </c>
      <c r="L212" s="34">
        <f t="shared" si="64"/>
        <v>16</v>
      </c>
      <c r="M212" s="34">
        <f t="shared" si="65"/>
        <v>24</v>
      </c>
      <c r="N212" s="56">
        <f t="shared" si="66"/>
        <v>0</v>
      </c>
      <c r="O212" s="56">
        <f t="shared" si="66"/>
        <v>0</v>
      </c>
      <c r="P212" s="56">
        <f t="shared" si="66"/>
        <v>2.8888888888888888</v>
      </c>
      <c r="Q212" s="56">
        <f t="shared" si="66"/>
        <v>0</v>
      </c>
      <c r="R212" s="56">
        <f t="shared" si="66"/>
        <v>0</v>
      </c>
      <c r="S212" s="56">
        <f t="shared" si="66"/>
        <v>0</v>
      </c>
      <c r="T212" s="56">
        <f t="shared" si="66"/>
        <v>0</v>
      </c>
      <c r="U212" s="41">
        <f t="shared" si="66"/>
        <v>0</v>
      </c>
    </row>
    <row r="213" spans="2:21" hidden="1" outlineLevel="1">
      <c r="B213" s="14" t="s">
        <v>116</v>
      </c>
      <c r="C213" s="15" t="s">
        <v>66</v>
      </c>
      <c r="D213" s="52">
        <v>2028</v>
      </c>
      <c r="E213" s="34">
        <f t="shared" si="57"/>
        <v>213564.01136373699</v>
      </c>
      <c r="F213" s="34">
        <f t="shared" si="58"/>
        <v>55</v>
      </c>
      <c r="G213" s="34">
        <f t="shared" si="59"/>
        <v>62</v>
      </c>
      <c r="H213" s="34">
        <f t="shared" si="60"/>
        <v>16</v>
      </c>
      <c r="I213" s="34">
        <f t="shared" si="61"/>
        <v>1</v>
      </c>
      <c r="J213" s="34">
        <f t="shared" si="62"/>
        <v>4</v>
      </c>
      <c r="K213" s="34">
        <f t="shared" si="63"/>
        <v>2</v>
      </c>
      <c r="L213" s="34">
        <f t="shared" si="64"/>
        <v>24</v>
      </c>
      <c r="M213" s="34">
        <f t="shared" si="65"/>
        <v>24</v>
      </c>
      <c r="N213" s="56">
        <f t="shared" si="66"/>
        <v>0</v>
      </c>
      <c r="O213" s="56">
        <f t="shared" si="66"/>
        <v>3.25</v>
      </c>
      <c r="P213" s="56">
        <f t="shared" si="66"/>
        <v>5.416666666666667</v>
      </c>
      <c r="Q213" s="56">
        <f t="shared" si="66"/>
        <v>0</v>
      </c>
      <c r="R213" s="56">
        <f t="shared" si="66"/>
        <v>0</v>
      </c>
      <c r="S213" s="56">
        <f t="shared" si="66"/>
        <v>0</v>
      </c>
      <c r="T213" s="56">
        <f t="shared" si="66"/>
        <v>0</v>
      </c>
      <c r="U213" s="41">
        <f t="shared" si="66"/>
        <v>0</v>
      </c>
    </row>
    <row r="214" spans="2:21" hidden="1" outlineLevel="1">
      <c r="B214" s="14" t="s">
        <v>116</v>
      </c>
      <c r="C214" s="15" t="s">
        <v>66</v>
      </c>
      <c r="D214" s="52">
        <v>2029</v>
      </c>
      <c r="E214" s="34">
        <f t="shared" si="57"/>
        <v>216512.66062316272</v>
      </c>
      <c r="F214" s="34">
        <f t="shared" si="58"/>
        <v>55</v>
      </c>
      <c r="G214" s="34">
        <f t="shared" si="59"/>
        <v>62</v>
      </c>
      <c r="H214" s="34">
        <f t="shared" si="60"/>
        <v>16</v>
      </c>
      <c r="I214" s="34">
        <f t="shared" si="61"/>
        <v>1</v>
      </c>
      <c r="J214" s="34">
        <f t="shared" si="62"/>
        <v>4</v>
      </c>
      <c r="K214" s="34">
        <f t="shared" si="63"/>
        <v>3</v>
      </c>
      <c r="L214" s="34">
        <f t="shared" si="64"/>
        <v>36</v>
      </c>
      <c r="M214" s="34">
        <f t="shared" si="65"/>
        <v>36</v>
      </c>
      <c r="N214" s="56">
        <f t="shared" si="66"/>
        <v>0</v>
      </c>
      <c r="O214" s="56">
        <f t="shared" si="66"/>
        <v>3.25</v>
      </c>
      <c r="P214" s="56">
        <f t="shared" si="66"/>
        <v>12.458333333333334</v>
      </c>
      <c r="Q214" s="56">
        <f t="shared" si="66"/>
        <v>5.958333333333333</v>
      </c>
      <c r="R214" s="56">
        <f t="shared" si="66"/>
        <v>0</v>
      </c>
      <c r="S214" s="56">
        <f t="shared" si="66"/>
        <v>0</v>
      </c>
      <c r="T214" s="56">
        <f t="shared" si="66"/>
        <v>0</v>
      </c>
      <c r="U214" s="41">
        <f t="shared" si="66"/>
        <v>0</v>
      </c>
    </row>
    <row r="215" spans="2:21" hidden="1" outlineLevel="1">
      <c r="B215" s="14" t="s">
        <v>116</v>
      </c>
      <c r="C215" s="15" t="s">
        <v>66</v>
      </c>
      <c r="D215" s="52">
        <v>2030</v>
      </c>
      <c r="E215" s="34">
        <f t="shared" si="57"/>
        <v>221038.75332981485</v>
      </c>
      <c r="F215" s="34">
        <f t="shared" si="58"/>
        <v>55</v>
      </c>
      <c r="G215" s="34">
        <f t="shared" si="59"/>
        <v>62</v>
      </c>
      <c r="H215" s="34">
        <f t="shared" si="60"/>
        <v>16</v>
      </c>
      <c r="I215" s="34">
        <f t="shared" si="61"/>
        <v>1</v>
      </c>
      <c r="J215" s="34">
        <f t="shared" si="62"/>
        <v>4</v>
      </c>
      <c r="K215" s="34">
        <f t="shared" si="63"/>
        <v>4</v>
      </c>
      <c r="L215" s="34">
        <f t="shared" si="64"/>
        <v>48</v>
      </c>
      <c r="M215" s="34">
        <f t="shared" si="65"/>
        <v>48</v>
      </c>
      <c r="N215" s="56">
        <f t="shared" si="66"/>
        <v>0</v>
      </c>
      <c r="O215" s="56">
        <f t="shared" si="66"/>
        <v>3.25</v>
      </c>
      <c r="P215" s="56">
        <f t="shared" si="66"/>
        <v>12.458333333333334</v>
      </c>
      <c r="Q215" s="56">
        <f t="shared" si="66"/>
        <v>13</v>
      </c>
      <c r="R215" s="56">
        <f t="shared" si="66"/>
        <v>5.958333333333333</v>
      </c>
      <c r="S215" s="56">
        <f t="shared" si="66"/>
        <v>0</v>
      </c>
      <c r="T215" s="56">
        <f t="shared" si="66"/>
        <v>0</v>
      </c>
      <c r="U215" s="41">
        <f t="shared" si="66"/>
        <v>0</v>
      </c>
    </row>
    <row r="216" spans="2:21" hidden="1" outlineLevel="1">
      <c r="B216" s="14" t="s">
        <v>116</v>
      </c>
      <c r="C216" s="15" t="s">
        <v>66</v>
      </c>
      <c r="D216" s="52">
        <v>2031</v>
      </c>
      <c r="E216" s="34">
        <f t="shared" si="57"/>
        <v>227465.99631159904</v>
      </c>
      <c r="F216" s="34">
        <f t="shared" si="58"/>
        <v>55</v>
      </c>
      <c r="G216" s="34">
        <f t="shared" si="59"/>
        <v>62</v>
      </c>
      <c r="H216" s="34">
        <f t="shared" si="60"/>
        <v>16</v>
      </c>
      <c r="I216" s="34">
        <f t="shared" si="61"/>
        <v>1</v>
      </c>
      <c r="J216" s="34">
        <f t="shared" si="62"/>
        <v>4</v>
      </c>
      <c r="K216" s="34">
        <f t="shared" si="63"/>
        <v>5</v>
      </c>
      <c r="L216" s="34">
        <f t="shared" si="64"/>
        <v>60</v>
      </c>
      <c r="M216" s="34">
        <f t="shared" si="65"/>
        <v>60</v>
      </c>
      <c r="N216" s="56">
        <f t="shared" si="66"/>
        <v>0</v>
      </c>
      <c r="O216" s="56">
        <f t="shared" si="66"/>
        <v>3.25</v>
      </c>
      <c r="P216" s="56">
        <f t="shared" si="66"/>
        <v>12.458333333333334</v>
      </c>
      <c r="Q216" s="56">
        <f t="shared" si="66"/>
        <v>13</v>
      </c>
      <c r="R216" s="56">
        <f t="shared" si="66"/>
        <v>13</v>
      </c>
      <c r="S216" s="56">
        <f t="shared" si="66"/>
        <v>5.958333333333333</v>
      </c>
      <c r="T216" s="56">
        <f t="shared" si="66"/>
        <v>0</v>
      </c>
      <c r="U216" s="41">
        <f t="shared" si="66"/>
        <v>0</v>
      </c>
    </row>
    <row r="217" spans="2:21" hidden="1" outlineLevel="1">
      <c r="B217" s="14" t="s">
        <v>116</v>
      </c>
      <c r="C217" s="15" t="s">
        <v>66</v>
      </c>
      <c r="D217" s="52">
        <v>2032</v>
      </c>
      <c r="E217" s="34">
        <f t="shared" si="57"/>
        <v>235068.87223038953</v>
      </c>
      <c r="F217" s="34">
        <f t="shared" si="58"/>
        <v>55</v>
      </c>
      <c r="G217" s="34">
        <f t="shared" si="59"/>
        <v>62</v>
      </c>
      <c r="H217" s="34">
        <f t="shared" si="60"/>
        <v>16</v>
      </c>
      <c r="I217" s="34">
        <f t="shared" si="61"/>
        <v>1</v>
      </c>
      <c r="J217" s="34">
        <f t="shared" si="62"/>
        <v>4</v>
      </c>
      <c r="K217" s="34">
        <f t="shared" si="63"/>
        <v>6</v>
      </c>
      <c r="L217" s="34">
        <f t="shared" si="64"/>
        <v>72</v>
      </c>
      <c r="M217" s="34">
        <f t="shared" si="65"/>
        <v>72</v>
      </c>
      <c r="N217" s="56">
        <f t="shared" si="66"/>
        <v>0</v>
      </c>
      <c r="O217" s="56">
        <f t="shared" si="66"/>
        <v>3.25</v>
      </c>
      <c r="P217" s="56">
        <f t="shared" si="66"/>
        <v>12.458333333333334</v>
      </c>
      <c r="Q217" s="56">
        <f t="shared" si="66"/>
        <v>13</v>
      </c>
      <c r="R217" s="56">
        <f t="shared" si="66"/>
        <v>13</v>
      </c>
      <c r="S217" s="56">
        <f t="shared" si="66"/>
        <v>13</v>
      </c>
      <c r="T217" s="56">
        <f t="shared" si="66"/>
        <v>5.958333333333333</v>
      </c>
      <c r="U217" s="41">
        <f t="shared" si="66"/>
        <v>0</v>
      </c>
    </row>
    <row r="218" spans="2:21" hidden="1" outlineLevel="1">
      <c r="B218" s="14" t="s">
        <v>116</v>
      </c>
      <c r="C218" s="15" t="s">
        <v>66</v>
      </c>
      <c r="D218" s="52">
        <v>2033</v>
      </c>
      <c r="E218" s="34">
        <f t="shared" si="57"/>
        <v>243047.05359451837</v>
      </c>
      <c r="F218" s="34">
        <f t="shared" si="58"/>
        <v>55</v>
      </c>
      <c r="G218" s="34">
        <f t="shared" si="59"/>
        <v>62</v>
      </c>
      <c r="H218" s="34">
        <f t="shared" si="60"/>
        <v>16</v>
      </c>
      <c r="I218" s="34">
        <f t="shared" si="61"/>
        <v>1</v>
      </c>
      <c r="J218" s="34">
        <f t="shared" si="62"/>
        <v>4</v>
      </c>
      <c r="K218" s="34">
        <f t="shared" si="63"/>
        <v>7</v>
      </c>
      <c r="L218" s="34">
        <f t="shared" si="64"/>
        <v>84</v>
      </c>
      <c r="M218" s="34">
        <f t="shared" si="65"/>
        <v>84</v>
      </c>
      <c r="N218" s="56">
        <f t="shared" si="66"/>
        <v>0</v>
      </c>
      <c r="O218" s="56">
        <f t="shared" si="66"/>
        <v>3.25</v>
      </c>
      <c r="P218" s="56">
        <f t="shared" si="66"/>
        <v>12.458333333333334</v>
      </c>
      <c r="Q218" s="56">
        <f t="shared" si="66"/>
        <v>13</v>
      </c>
      <c r="R218" s="56">
        <f t="shared" si="66"/>
        <v>13</v>
      </c>
      <c r="S218" s="56">
        <f t="shared" si="66"/>
        <v>13</v>
      </c>
      <c r="T218" s="56">
        <f t="shared" si="66"/>
        <v>13</v>
      </c>
      <c r="U218" s="41">
        <f t="shared" si="66"/>
        <v>5.958333333333333</v>
      </c>
    </row>
    <row r="219" spans="2:21" hidden="1" outlineLevel="1">
      <c r="B219" s="14" t="s">
        <v>116</v>
      </c>
      <c r="C219" s="15" t="s">
        <v>66</v>
      </c>
      <c r="D219" s="52">
        <v>2034</v>
      </c>
      <c r="E219" s="34">
        <f t="shared" si="57"/>
        <v>250194.79520391821</v>
      </c>
      <c r="F219" s="34">
        <f t="shared" si="58"/>
        <v>55</v>
      </c>
      <c r="G219" s="34">
        <f t="shared" si="59"/>
        <v>62</v>
      </c>
      <c r="H219" s="34">
        <f t="shared" si="60"/>
        <v>16</v>
      </c>
      <c r="I219" s="34">
        <f t="shared" si="61"/>
        <v>1</v>
      </c>
      <c r="J219" s="34">
        <f t="shared" si="62"/>
        <v>4</v>
      </c>
      <c r="K219" s="34">
        <f t="shared" si="63"/>
        <v>7</v>
      </c>
      <c r="L219" s="34">
        <f t="shared" si="64"/>
        <v>84</v>
      </c>
      <c r="M219" s="34">
        <f t="shared" si="65"/>
        <v>84</v>
      </c>
      <c r="N219" s="56">
        <f t="shared" si="66"/>
        <v>0</v>
      </c>
      <c r="O219" s="56">
        <f t="shared" si="66"/>
        <v>3.25</v>
      </c>
      <c r="P219" s="56">
        <f t="shared" si="66"/>
        <v>12.458333333333334</v>
      </c>
      <c r="Q219" s="56">
        <f t="shared" si="66"/>
        <v>13</v>
      </c>
      <c r="R219" s="56">
        <f t="shared" si="66"/>
        <v>13</v>
      </c>
      <c r="S219" s="56">
        <f t="shared" si="66"/>
        <v>13</v>
      </c>
      <c r="T219" s="56">
        <f t="shared" si="66"/>
        <v>13</v>
      </c>
      <c r="U219" s="41">
        <f t="shared" si="66"/>
        <v>5.958333333333333</v>
      </c>
    </row>
    <row r="220" spans="2:21" hidden="1" outlineLevel="1">
      <c r="B220" s="14" t="s">
        <v>116</v>
      </c>
      <c r="C220" s="15" t="s">
        <v>66</v>
      </c>
      <c r="D220" s="52">
        <v>2035</v>
      </c>
      <c r="E220" s="34">
        <f t="shared" si="57"/>
        <v>255651.38820609573</v>
      </c>
      <c r="F220" s="34">
        <f t="shared" si="58"/>
        <v>55</v>
      </c>
      <c r="G220" s="34">
        <f t="shared" si="59"/>
        <v>62</v>
      </c>
      <c r="H220" s="34">
        <f t="shared" si="60"/>
        <v>16</v>
      </c>
      <c r="I220" s="34">
        <f t="shared" si="61"/>
        <v>1</v>
      </c>
      <c r="J220" s="34">
        <f t="shared" si="62"/>
        <v>4</v>
      </c>
      <c r="K220" s="34">
        <f t="shared" si="63"/>
        <v>7</v>
      </c>
      <c r="L220" s="34">
        <f t="shared" si="64"/>
        <v>84</v>
      </c>
      <c r="M220" s="34">
        <f t="shared" si="65"/>
        <v>84</v>
      </c>
      <c r="N220" s="56">
        <f t="shared" ref="N220:U229" si="67">$Z$20/144*(INDEX($C$65:$O$89,MIN(MAX(12*(N$109+1)-$H220,0),24)+1,13)-INDEX($C$65:$O$89,MIN(MAX(12*(N$109+1)-$L220,0),24)+1,13-$J220)-INDEX($C$65:$O$89,MIN(MAX(12*(N$109+1)-$M220-12+$J220,0),24)+1,$J220+1))</f>
        <v>0</v>
      </c>
      <c r="O220" s="56">
        <f t="shared" si="67"/>
        <v>3.25</v>
      </c>
      <c r="P220" s="56">
        <f t="shared" si="67"/>
        <v>12.458333333333334</v>
      </c>
      <c r="Q220" s="56">
        <f t="shared" si="67"/>
        <v>13</v>
      </c>
      <c r="R220" s="56">
        <f t="shared" si="67"/>
        <v>13</v>
      </c>
      <c r="S220" s="56">
        <f t="shared" si="67"/>
        <v>13</v>
      </c>
      <c r="T220" s="56">
        <f t="shared" si="67"/>
        <v>13</v>
      </c>
      <c r="U220" s="41">
        <f t="shared" si="67"/>
        <v>5.958333333333333</v>
      </c>
    </row>
    <row r="221" spans="2:21" hidden="1" outlineLevel="1">
      <c r="B221" s="14" t="s">
        <v>116</v>
      </c>
      <c r="C221" s="15" t="s">
        <v>66</v>
      </c>
      <c r="D221" s="52">
        <v>2036</v>
      </c>
      <c r="E221" s="34">
        <f t="shared" si="57"/>
        <v>258603.01732488684</v>
      </c>
      <c r="F221" s="34">
        <f t="shared" si="58"/>
        <v>55</v>
      </c>
      <c r="G221" s="34">
        <f t="shared" si="59"/>
        <v>62</v>
      </c>
      <c r="H221" s="34">
        <f t="shared" si="60"/>
        <v>16</v>
      </c>
      <c r="I221" s="34">
        <f t="shared" si="61"/>
        <v>1</v>
      </c>
      <c r="J221" s="34">
        <f t="shared" si="62"/>
        <v>4</v>
      </c>
      <c r="K221" s="34">
        <f t="shared" si="63"/>
        <v>7</v>
      </c>
      <c r="L221" s="34">
        <f t="shared" si="64"/>
        <v>84</v>
      </c>
      <c r="M221" s="34">
        <f t="shared" si="65"/>
        <v>84</v>
      </c>
      <c r="N221" s="56">
        <f t="shared" si="67"/>
        <v>0</v>
      </c>
      <c r="O221" s="56">
        <f t="shared" si="67"/>
        <v>3.25</v>
      </c>
      <c r="P221" s="56">
        <f t="shared" si="67"/>
        <v>12.458333333333334</v>
      </c>
      <c r="Q221" s="56">
        <f t="shared" si="67"/>
        <v>13</v>
      </c>
      <c r="R221" s="56">
        <f t="shared" si="67"/>
        <v>13</v>
      </c>
      <c r="S221" s="56">
        <f t="shared" si="67"/>
        <v>13</v>
      </c>
      <c r="T221" s="56">
        <f t="shared" si="67"/>
        <v>13</v>
      </c>
      <c r="U221" s="41">
        <f t="shared" si="67"/>
        <v>5.958333333333333</v>
      </c>
    </row>
    <row r="222" spans="2:21" hidden="1" outlineLevel="1">
      <c r="B222" s="14" t="s">
        <v>116</v>
      </c>
      <c r="C222" s="15" t="s">
        <v>66</v>
      </c>
      <c r="D222" s="52">
        <v>2037</v>
      </c>
      <c r="E222" s="34">
        <f t="shared" si="57"/>
        <v>259555.4744788942</v>
      </c>
      <c r="F222" s="34">
        <f t="shared" si="58"/>
        <v>55</v>
      </c>
      <c r="G222" s="34">
        <f t="shared" si="59"/>
        <v>62</v>
      </c>
      <c r="H222" s="34">
        <f t="shared" si="60"/>
        <v>16</v>
      </c>
      <c r="I222" s="34">
        <f t="shared" si="61"/>
        <v>1</v>
      </c>
      <c r="J222" s="34">
        <f t="shared" si="62"/>
        <v>4</v>
      </c>
      <c r="K222" s="34">
        <f t="shared" si="63"/>
        <v>7</v>
      </c>
      <c r="L222" s="34">
        <f t="shared" si="64"/>
        <v>84</v>
      </c>
      <c r="M222" s="34">
        <f t="shared" si="65"/>
        <v>84</v>
      </c>
      <c r="N222" s="56">
        <f t="shared" si="67"/>
        <v>0</v>
      </c>
      <c r="O222" s="56">
        <f t="shared" si="67"/>
        <v>3.25</v>
      </c>
      <c r="P222" s="56">
        <f t="shared" si="67"/>
        <v>12.458333333333334</v>
      </c>
      <c r="Q222" s="56">
        <f t="shared" si="67"/>
        <v>13</v>
      </c>
      <c r="R222" s="56">
        <f t="shared" si="67"/>
        <v>13</v>
      </c>
      <c r="S222" s="56">
        <f t="shared" si="67"/>
        <v>13</v>
      </c>
      <c r="T222" s="56">
        <f t="shared" si="67"/>
        <v>13</v>
      </c>
      <c r="U222" s="41">
        <f t="shared" si="67"/>
        <v>5.958333333333333</v>
      </c>
    </row>
    <row r="223" spans="2:21" hidden="1" outlineLevel="1">
      <c r="B223" s="14" t="s">
        <v>116</v>
      </c>
      <c r="C223" s="15" t="s">
        <v>66</v>
      </c>
      <c r="D223" s="52">
        <v>2038</v>
      </c>
      <c r="E223" s="34">
        <f t="shared" si="57"/>
        <v>260004.02173074023</v>
      </c>
      <c r="F223" s="34">
        <f t="shared" si="58"/>
        <v>55</v>
      </c>
      <c r="G223" s="34">
        <f t="shared" si="59"/>
        <v>62</v>
      </c>
      <c r="H223" s="34">
        <f t="shared" si="60"/>
        <v>16</v>
      </c>
      <c r="I223" s="34">
        <f t="shared" si="61"/>
        <v>1</v>
      </c>
      <c r="J223" s="34">
        <f t="shared" si="62"/>
        <v>4</v>
      </c>
      <c r="K223" s="34">
        <f t="shared" si="63"/>
        <v>7</v>
      </c>
      <c r="L223" s="34">
        <f t="shared" si="64"/>
        <v>84</v>
      </c>
      <c r="M223" s="34">
        <f t="shared" si="65"/>
        <v>84</v>
      </c>
      <c r="N223" s="56">
        <f t="shared" si="67"/>
        <v>0</v>
      </c>
      <c r="O223" s="56">
        <f t="shared" si="67"/>
        <v>3.25</v>
      </c>
      <c r="P223" s="56">
        <f t="shared" si="67"/>
        <v>12.458333333333334</v>
      </c>
      <c r="Q223" s="56">
        <f t="shared" si="67"/>
        <v>13</v>
      </c>
      <c r="R223" s="56">
        <f t="shared" si="67"/>
        <v>13</v>
      </c>
      <c r="S223" s="56">
        <f t="shared" si="67"/>
        <v>13</v>
      </c>
      <c r="T223" s="56">
        <f t="shared" si="67"/>
        <v>13</v>
      </c>
      <c r="U223" s="41">
        <f t="shared" si="67"/>
        <v>5.958333333333333</v>
      </c>
    </row>
    <row r="224" spans="2:21" hidden="1" outlineLevel="1">
      <c r="B224" s="14" t="s">
        <v>116</v>
      </c>
      <c r="C224" s="15" t="s">
        <v>66</v>
      </c>
      <c r="D224" s="52">
        <v>2039</v>
      </c>
      <c r="E224" s="34">
        <f t="shared" si="57"/>
        <v>260414.30131494626</v>
      </c>
      <c r="F224" s="34">
        <f t="shared" si="58"/>
        <v>55</v>
      </c>
      <c r="G224" s="34">
        <f t="shared" si="59"/>
        <v>62</v>
      </c>
      <c r="H224" s="34">
        <f t="shared" si="60"/>
        <v>16</v>
      </c>
      <c r="I224" s="34">
        <f t="shared" si="61"/>
        <v>1</v>
      </c>
      <c r="J224" s="34">
        <f t="shared" si="62"/>
        <v>4</v>
      </c>
      <c r="K224" s="34">
        <f t="shared" si="63"/>
        <v>7</v>
      </c>
      <c r="L224" s="34">
        <f t="shared" si="64"/>
        <v>84</v>
      </c>
      <c r="M224" s="34">
        <f t="shared" si="65"/>
        <v>84</v>
      </c>
      <c r="N224" s="56">
        <f t="shared" si="67"/>
        <v>0</v>
      </c>
      <c r="O224" s="56">
        <f t="shared" si="67"/>
        <v>3.25</v>
      </c>
      <c r="P224" s="56">
        <f t="shared" si="67"/>
        <v>12.458333333333334</v>
      </c>
      <c r="Q224" s="56">
        <f t="shared" si="67"/>
        <v>13</v>
      </c>
      <c r="R224" s="56">
        <f t="shared" si="67"/>
        <v>13</v>
      </c>
      <c r="S224" s="56">
        <f t="shared" si="67"/>
        <v>13</v>
      </c>
      <c r="T224" s="56">
        <f t="shared" si="67"/>
        <v>13</v>
      </c>
      <c r="U224" s="41">
        <f t="shared" si="67"/>
        <v>5.958333333333333</v>
      </c>
    </row>
    <row r="225" spans="2:21" hidden="1" outlineLevel="1">
      <c r="B225" s="14" t="s">
        <v>116</v>
      </c>
      <c r="C225" s="15" t="s">
        <v>66</v>
      </c>
      <c r="D225" s="52">
        <v>2040</v>
      </c>
      <c r="E225" s="34">
        <f t="shared" si="57"/>
        <v>259758.73225455589</v>
      </c>
      <c r="F225" s="34">
        <f t="shared" si="58"/>
        <v>55</v>
      </c>
      <c r="G225" s="34">
        <f t="shared" si="59"/>
        <v>62</v>
      </c>
      <c r="H225" s="34">
        <f t="shared" si="60"/>
        <v>16</v>
      </c>
      <c r="I225" s="34">
        <f t="shared" si="61"/>
        <v>1</v>
      </c>
      <c r="J225" s="34">
        <f t="shared" si="62"/>
        <v>4</v>
      </c>
      <c r="K225" s="34">
        <f t="shared" si="63"/>
        <v>7</v>
      </c>
      <c r="L225" s="34">
        <f t="shared" si="64"/>
        <v>84</v>
      </c>
      <c r="M225" s="34">
        <f t="shared" si="65"/>
        <v>84</v>
      </c>
      <c r="N225" s="56">
        <f t="shared" si="67"/>
        <v>0</v>
      </c>
      <c r="O225" s="56">
        <f t="shared" si="67"/>
        <v>3.25</v>
      </c>
      <c r="P225" s="56">
        <f t="shared" si="67"/>
        <v>12.458333333333334</v>
      </c>
      <c r="Q225" s="56">
        <f t="shared" si="67"/>
        <v>13</v>
      </c>
      <c r="R225" s="56">
        <f t="shared" si="67"/>
        <v>13</v>
      </c>
      <c r="S225" s="56">
        <f t="shared" si="67"/>
        <v>13</v>
      </c>
      <c r="T225" s="56">
        <f t="shared" si="67"/>
        <v>13</v>
      </c>
      <c r="U225" s="41">
        <f t="shared" si="67"/>
        <v>5.958333333333333</v>
      </c>
    </row>
    <row r="226" spans="2:21" hidden="1" outlineLevel="1">
      <c r="B226" s="14" t="s">
        <v>116</v>
      </c>
      <c r="C226" s="15" t="s">
        <v>66</v>
      </c>
      <c r="D226" s="52">
        <v>2041</v>
      </c>
      <c r="E226" s="34">
        <f t="shared" si="57"/>
        <v>257874.67696209907</v>
      </c>
      <c r="F226" s="34">
        <f t="shared" si="58"/>
        <v>55</v>
      </c>
      <c r="G226" s="34">
        <f t="shared" si="59"/>
        <v>62</v>
      </c>
      <c r="H226" s="34">
        <f t="shared" si="60"/>
        <v>16</v>
      </c>
      <c r="I226" s="34">
        <f t="shared" si="61"/>
        <v>1</v>
      </c>
      <c r="J226" s="34">
        <f t="shared" si="62"/>
        <v>4</v>
      </c>
      <c r="K226" s="34">
        <f t="shared" si="63"/>
        <v>7</v>
      </c>
      <c r="L226" s="34">
        <f t="shared" si="64"/>
        <v>84</v>
      </c>
      <c r="M226" s="34">
        <f t="shared" si="65"/>
        <v>84</v>
      </c>
      <c r="N226" s="56">
        <f t="shared" si="67"/>
        <v>0</v>
      </c>
      <c r="O226" s="56">
        <f t="shared" si="67"/>
        <v>3.25</v>
      </c>
      <c r="P226" s="56">
        <f t="shared" si="67"/>
        <v>12.458333333333334</v>
      </c>
      <c r="Q226" s="56">
        <f t="shared" si="67"/>
        <v>13</v>
      </c>
      <c r="R226" s="56">
        <f t="shared" si="67"/>
        <v>13</v>
      </c>
      <c r="S226" s="56">
        <f t="shared" si="67"/>
        <v>13</v>
      </c>
      <c r="T226" s="56">
        <f t="shared" si="67"/>
        <v>13</v>
      </c>
      <c r="U226" s="41">
        <f t="shared" si="67"/>
        <v>5.958333333333333</v>
      </c>
    </row>
    <row r="227" spans="2:21" hidden="1" outlineLevel="1">
      <c r="B227" s="14" t="s">
        <v>116</v>
      </c>
      <c r="C227" s="15" t="s">
        <v>66</v>
      </c>
      <c r="D227" s="52">
        <v>2042</v>
      </c>
      <c r="E227" s="34">
        <f t="shared" si="57"/>
        <v>255152.18334503769</v>
      </c>
      <c r="F227" s="34">
        <f t="shared" si="58"/>
        <v>55</v>
      </c>
      <c r="G227" s="34">
        <f t="shared" si="59"/>
        <v>62</v>
      </c>
      <c r="H227" s="34">
        <f t="shared" si="60"/>
        <v>16</v>
      </c>
      <c r="I227" s="34">
        <f t="shared" si="61"/>
        <v>1</v>
      </c>
      <c r="J227" s="34">
        <f t="shared" si="62"/>
        <v>4</v>
      </c>
      <c r="K227" s="34">
        <f t="shared" si="63"/>
        <v>7</v>
      </c>
      <c r="L227" s="34">
        <f t="shared" si="64"/>
        <v>84</v>
      </c>
      <c r="M227" s="34">
        <f t="shared" si="65"/>
        <v>84</v>
      </c>
      <c r="N227" s="56">
        <f t="shared" si="67"/>
        <v>0</v>
      </c>
      <c r="O227" s="56">
        <f t="shared" si="67"/>
        <v>3.25</v>
      </c>
      <c r="P227" s="56">
        <f t="shared" si="67"/>
        <v>12.458333333333334</v>
      </c>
      <c r="Q227" s="56">
        <f t="shared" si="67"/>
        <v>13</v>
      </c>
      <c r="R227" s="56">
        <f t="shared" si="67"/>
        <v>13</v>
      </c>
      <c r="S227" s="56">
        <f t="shared" si="67"/>
        <v>13</v>
      </c>
      <c r="T227" s="56">
        <f t="shared" si="67"/>
        <v>13</v>
      </c>
      <c r="U227" s="41">
        <f t="shared" si="67"/>
        <v>5.958333333333333</v>
      </c>
    </row>
    <row r="228" spans="2:21" hidden="1" outlineLevel="1">
      <c r="B228" s="14" t="s">
        <v>116</v>
      </c>
      <c r="C228" s="15" t="s">
        <v>66</v>
      </c>
      <c r="D228" s="52">
        <v>2043</v>
      </c>
      <c r="E228" s="34">
        <f t="shared" si="57"/>
        <v>251654.29895415573</v>
      </c>
      <c r="F228" s="34">
        <f t="shared" si="58"/>
        <v>55</v>
      </c>
      <c r="G228" s="34">
        <f t="shared" si="59"/>
        <v>62</v>
      </c>
      <c r="H228" s="34">
        <f t="shared" si="60"/>
        <v>16</v>
      </c>
      <c r="I228" s="34">
        <f t="shared" si="61"/>
        <v>1</v>
      </c>
      <c r="J228" s="34">
        <f t="shared" si="62"/>
        <v>4</v>
      </c>
      <c r="K228" s="34">
        <f t="shared" si="63"/>
        <v>7</v>
      </c>
      <c r="L228" s="34">
        <f t="shared" si="64"/>
        <v>84</v>
      </c>
      <c r="M228" s="34">
        <f t="shared" si="65"/>
        <v>84</v>
      </c>
      <c r="N228" s="56">
        <f t="shared" si="67"/>
        <v>0</v>
      </c>
      <c r="O228" s="56">
        <f t="shared" si="67"/>
        <v>3.25</v>
      </c>
      <c r="P228" s="56">
        <f t="shared" si="67"/>
        <v>12.458333333333334</v>
      </c>
      <c r="Q228" s="56">
        <f t="shared" si="67"/>
        <v>13</v>
      </c>
      <c r="R228" s="56">
        <f t="shared" si="67"/>
        <v>13</v>
      </c>
      <c r="S228" s="56">
        <f t="shared" si="67"/>
        <v>13</v>
      </c>
      <c r="T228" s="56">
        <f t="shared" si="67"/>
        <v>13</v>
      </c>
      <c r="U228" s="41">
        <f t="shared" si="67"/>
        <v>5.958333333333333</v>
      </c>
    </row>
    <row r="229" spans="2:21" hidden="1" outlineLevel="1">
      <c r="B229" s="14" t="s">
        <v>116</v>
      </c>
      <c r="C229" s="15" t="s">
        <v>66</v>
      </c>
      <c r="D229" s="52">
        <v>2044</v>
      </c>
      <c r="E229" s="34">
        <f t="shared" si="57"/>
        <v>248316.22912608186</v>
      </c>
      <c r="F229" s="34">
        <f t="shared" si="58"/>
        <v>55</v>
      </c>
      <c r="G229" s="34">
        <f t="shared" si="59"/>
        <v>62</v>
      </c>
      <c r="H229" s="34">
        <f t="shared" si="60"/>
        <v>16</v>
      </c>
      <c r="I229" s="34">
        <f t="shared" si="61"/>
        <v>1</v>
      </c>
      <c r="J229" s="34">
        <f t="shared" si="62"/>
        <v>4</v>
      </c>
      <c r="K229" s="34">
        <f t="shared" si="63"/>
        <v>7</v>
      </c>
      <c r="L229" s="34">
        <f t="shared" si="64"/>
        <v>84</v>
      </c>
      <c r="M229" s="34">
        <f t="shared" si="65"/>
        <v>84</v>
      </c>
      <c r="N229" s="56">
        <f t="shared" si="67"/>
        <v>0</v>
      </c>
      <c r="O229" s="56">
        <f t="shared" si="67"/>
        <v>3.25</v>
      </c>
      <c r="P229" s="56">
        <f t="shared" si="67"/>
        <v>12.458333333333334</v>
      </c>
      <c r="Q229" s="56">
        <f t="shared" si="67"/>
        <v>13</v>
      </c>
      <c r="R229" s="56">
        <f t="shared" si="67"/>
        <v>13</v>
      </c>
      <c r="S229" s="56">
        <f t="shared" si="67"/>
        <v>13</v>
      </c>
      <c r="T229" s="56">
        <f t="shared" si="67"/>
        <v>13</v>
      </c>
      <c r="U229" s="41">
        <f t="shared" si="67"/>
        <v>5.958333333333333</v>
      </c>
    </row>
    <row r="230" spans="2:21" hidden="1" outlineLevel="1">
      <c r="B230" s="14" t="s">
        <v>116</v>
      </c>
      <c r="C230" s="15" t="s">
        <v>66</v>
      </c>
      <c r="D230" s="52">
        <v>2045</v>
      </c>
      <c r="E230" s="34">
        <f t="shared" si="57"/>
        <v>246159.90878844855</v>
      </c>
      <c r="F230" s="34">
        <f t="shared" si="58"/>
        <v>55</v>
      </c>
      <c r="G230" s="34">
        <f t="shared" si="59"/>
        <v>62</v>
      </c>
      <c r="H230" s="34">
        <f t="shared" si="60"/>
        <v>16</v>
      </c>
      <c r="I230" s="34">
        <f t="shared" si="61"/>
        <v>1</v>
      </c>
      <c r="J230" s="34">
        <f t="shared" si="62"/>
        <v>4</v>
      </c>
      <c r="K230" s="34">
        <f t="shared" si="63"/>
        <v>7</v>
      </c>
      <c r="L230" s="34">
        <f t="shared" si="64"/>
        <v>84</v>
      </c>
      <c r="M230" s="34">
        <f t="shared" si="65"/>
        <v>84</v>
      </c>
      <c r="N230" s="56">
        <f t="shared" ref="N230:U239" si="68">$Z$20/144*(INDEX($C$65:$O$89,MIN(MAX(12*(N$109+1)-$H230,0),24)+1,13)-INDEX($C$65:$O$89,MIN(MAX(12*(N$109+1)-$L230,0),24)+1,13-$J230)-INDEX($C$65:$O$89,MIN(MAX(12*(N$109+1)-$M230-12+$J230,0),24)+1,$J230+1))</f>
        <v>0</v>
      </c>
      <c r="O230" s="56">
        <f t="shared" si="68"/>
        <v>3.25</v>
      </c>
      <c r="P230" s="56">
        <f t="shared" si="68"/>
        <v>12.458333333333334</v>
      </c>
      <c r="Q230" s="56">
        <f t="shared" si="68"/>
        <v>13</v>
      </c>
      <c r="R230" s="56">
        <f t="shared" si="68"/>
        <v>13</v>
      </c>
      <c r="S230" s="56">
        <f t="shared" si="68"/>
        <v>13</v>
      </c>
      <c r="T230" s="56">
        <f t="shared" si="68"/>
        <v>13</v>
      </c>
      <c r="U230" s="41">
        <f t="shared" si="68"/>
        <v>5.958333333333333</v>
      </c>
    </row>
    <row r="231" spans="2:21" hidden="1" outlineLevel="1">
      <c r="B231" s="14" t="s">
        <v>116</v>
      </c>
      <c r="C231" s="15" t="s">
        <v>66</v>
      </c>
      <c r="D231" s="52">
        <v>2046</v>
      </c>
      <c r="E231" s="34">
        <f t="shared" si="57"/>
        <v>245733.4752297879</v>
      </c>
      <c r="F231" s="34">
        <f t="shared" si="58"/>
        <v>55</v>
      </c>
      <c r="G231" s="34">
        <f t="shared" si="59"/>
        <v>62</v>
      </c>
      <c r="H231" s="34">
        <f t="shared" si="60"/>
        <v>16</v>
      </c>
      <c r="I231" s="34">
        <f t="shared" si="61"/>
        <v>1</v>
      </c>
      <c r="J231" s="34">
        <f t="shared" si="62"/>
        <v>4</v>
      </c>
      <c r="K231" s="34">
        <f t="shared" si="63"/>
        <v>7</v>
      </c>
      <c r="L231" s="34">
        <f t="shared" si="64"/>
        <v>84</v>
      </c>
      <c r="M231" s="34">
        <f t="shared" si="65"/>
        <v>84</v>
      </c>
      <c r="N231" s="56">
        <f t="shared" si="68"/>
        <v>0</v>
      </c>
      <c r="O231" s="56">
        <f t="shared" si="68"/>
        <v>3.25</v>
      </c>
      <c r="P231" s="56">
        <f t="shared" si="68"/>
        <v>12.458333333333334</v>
      </c>
      <c r="Q231" s="56">
        <f t="shared" si="68"/>
        <v>13</v>
      </c>
      <c r="R231" s="56">
        <f t="shared" si="68"/>
        <v>13</v>
      </c>
      <c r="S231" s="56">
        <f t="shared" si="68"/>
        <v>13</v>
      </c>
      <c r="T231" s="56">
        <f t="shared" si="68"/>
        <v>13</v>
      </c>
      <c r="U231" s="41">
        <f t="shared" si="68"/>
        <v>5.958333333333333</v>
      </c>
    </row>
    <row r="232" spans="2:21" hidden="1" outlineLevel="1">
      <c r="B232" s="14" t="s">
        <v>116</v>
      </c>
      <c r="C232" s="15" t="s">
        <v>66</v>
      </c>
      <c r="D232" s="52">
        <v>2047</v>
      </c>
      <c r="E232" s="34">
        <f t="shared" si="57"/>
        <v>246539.91927489013</v>
      </c>
      <c r="F232" s="34">
        <f t="shared" si="58"/>
        <v>55</v>
      </c>
      <c r="G232" s="34">
        <f t="shared" si="59"/>
        <v>62</v>
      </c>
      <c r="H232" s="34">
        <f t="shared" si="60"/>
        <v>16</v>
      </c>
      <c r="I232" s="34">
        <f t="shared" si="61"/>
        <v>1</v>
      </c>
      <c r="J232" s="34">
        <f t="shared" si="62"/>
        <v>4</v>
      </c>
      <c r="K232" s="34">
        <f t="shared" si="63"/>
        <v>7</v>
      </c>
      <c r="L232" s="34">
        <f t="shared" si="64"/>
        <v>84</v>
      </c>
      <c r="M232" s="34">
        <f t="shared" si="65"/>
        <v>84</v>
      </c>
      <c r="N232" s="56">
        <f t="shared" si="68"/>
        <v>0</v>
      </c>
      <c r="O232" s="56">
        <f t="shared" si="68"/>
        <v>3.25</v>
      </c>
      <c r="P232" s="56">
        <f t="shared" si="68"/>
        <v>12.458333333333334</v>
      </c>
      <c r="Q232" s="56">
        <f t="shared" si="68"/>
        <v>13</v>
      </c>
      <c r="R232" s="56">
        <f t="shared" si="68"/>
        <v>13</v>
      </c>
      <c r="S232" s="56">
        <f t="shared" si="68"/>
        <v>13</v>
      </c>
      <c r="T232" s="56">
        <f t="shared" si="68"/>
        <v>13</v>
      </c>
      <c r="U232" s="41">
        <f t="shared" si="68"/>
        <v>5.958333333333333</v>
      </c>
    </row>
    <row r="233" spans="2:21" hidden="1" outlineLevel="1">
      <c r="B233" s="14" t="s">
        <v>116</v>
      </c>
      <c r="C233" s="15" t="s">
        <v>66</v>
      </c>
      <c r="D233" s="52">
        <v>2048</v>
      </c>
      <c r="E233" s="34">
        <f t="shared" si="57"/>
        <v>247454.57926536782</v>
      </c>
      <c r="F233" s="34">
        <f t="shared" si="58"/>
        <v>55</v>
      </c>
      <c r="G233" s="34">
        <f t="shared" si="59"/>
        <v>62</v>
      </c>
      <c r="H233" s="34">
        <f t="shared" si="60"/>
        <v>16</v>
      </c>
      <c r="I233" s="34">
        <f t="shared" si="61"/>
        <v>1</v>
      </c>
      <c r="J233" s="34">
        <f t="shared" si="62"/>
        <v>4</v>
      </c>
      <c r="K233" s="34">
        <f t="shared" si="63"/>
        <v>7</v>
      </c>
      <c r="L233" s="34">
        <f t="shared" si="64"/>
        <v>84</v>
      </c>
      <c r="M233" s="34">
        <f t="shared" si="65"/>
        <v>84</v>
      </c>
      <c r="N233" s="56">
        <f t="shared" si="68"/>
        <v>0</v>
      </c>
      <c r="O233" s="56">
        <f t="shared" si="68"/>
        <v>3.25</v>
      </c>
      <c r="P233" s="56">
        <f t="shared" si="68"/>
        <v>12.458333333333334</v>
      </c>
      <c r="Q233" s="56">
        <f t="shared" si="68"/>
        <v>13</v>
      </c>
      <c r="R233" s="56">
        <f t="shared" si="68"/>
        <v>13</v>
      </c>
      <c r="S233" s="56">
        <f t="shared" si="68"/>
        <v>13</v>
      </c>
      <c r="T233" s="56">
        <f t="shared" si="68"/>
        <v>13</v>
      </c>
      <c r="U233" s="41">
        <f t="shared" si="68"/>
        <v>5.958333333333333</v>
      </c>
    </row>
    <row r="234" spans="2:21" hidden="1" outlineLevel="1">
      <c r="B234" s="14" t="s">
        <v>116</v>
      </c>
      <c r="C234" s="15" t="s">
        <v>66</v>
      </c>
      <c r="D234" s="52">
        <v>2049</v>
      </c>
      <c r="E234" s="34">
        <f t="shared" si="57"/>
        <v>247865.01568427728</v>
      </c>
      <c r="F234" s="34">
        <f t="shared" si="58"/>
        <v>55</v>
      </c>
      <c r="G234" s="34">
        <f t="shared" si="59"/>
        <v>62</v>
      </c>
      <c r="H234" s="34">
        <f t="shared" si="60"/>
        <v>16</v>
      </c>
      <c r="I234" s="34">
        <f t="shared" si="61"/>
        <v>1</v>
      </c>
      <c r="J234" s="34">
        <f t="shared" si="62"/>
        <v>4</v>
      </c>
      <c r="K234" s="34">
        <f t="shared" si="63"/>
        <v>7</v>
      </c>
      <c r="L234" s="34">
        <f t="shared" si="64"/>
        <v>84</v>
      </c>
      <c r="M234" s="34">
        <f t="shared" si="65"/>
        <v>84</v>
      </c>
      <c r="N234" s="56">
        <f t="shared" si="68"/>
        <v>0</v>
      </c>
      <c r="O234" s="56">
        <f t="shared" si="68"/>
        <v>3.25</v>
      </c>
      <c r="P234" s="56">
        <f t="shared" si="68"/>
        <v>12.458333333333334</v>
      </c>
      <c r="Q234" s="56">
        <f t="shared" si="68"/>
        <v>13</v>
      </c>
      <c r="R234" s="56">
        <f t="shared" si="68"/>
        <v>13</v>
      </c>
      <c r="S234" s="56">
        <f t="shared" si="68"/>
        <v>13</v>
      </c>
      <c r="T234" s="56">
        <f t="shared" si="68"/>
        <v>13</v>
      </c>
      <c r="U234" s="41">
        <f t="shared" si="68"/>
        <v>5.958333333333333</v>
      </c>
    </row>
    <row r="235" spans="2:21" hidden="1" outlineLevel="1">
      <c r="B235" s="14" t="s">
        <v>116</v>
      </c>
      <c r="C235" s="15" t="s">
        <v>66</v>
      </c>
      <c r="D235" s="52">
        <v>2050</v>
      </c>
      <c r="E235" s="34">
        <f t="shared" si="57"/>
        <v>248103.40443351015</v>
      </c>
      <c r="F235" s="34">
        <f t="shared" si="58"/>
        <v>55</v>
      </c>
      <c r="G235" s="34">
        <f t="shared" si="59"/>
        <v>62</v>
      </c>
      <c r="H235" s="34">
        <f t="shared" si="60"/>
        <v>16</v>
      </c>
      <c r="I235" s="34">
        <f t="shared" si="61"/>
        <v>1</v>
      </c>
      <c r="J235" s="34">
        <f t="shared" si="62"/>
        <v>4</v>
      </c>
      <c r="K235" s="34">
        <f t="shared" si="63"/>
        <v>7</v>
      </c>
      <c r="L235" s="34">
        <f t="shared" si="64"/>
        <v>84</v>
      </c>
      <c r="M235" s="34">
        <f t="shared" si="65"/>
        <v>84</v>
      </c>
      <c r="N235" s="56">
        <f t="shared" si="68"/>
        <v>0</v>
      </c>
      <c r="O235" s="56">
        <f t="shared" si="68"/>
        <v>3.25</v>
      </c>
      <c r="P235" s="56">
        <f t="shared" si="68"/>
        <v>12.458333333333334</v>
      </c>
      <c r="Q235" s="56">
        <f t="shared" si="68"/>
        <v>13</v>
      </c>
      <c r="R235" s="56">
        <f t="shared" si="68"/>
        <v>13</v>
      </c>
      <c r="S235" s="56">
        <f t="shared" si="68"/>
        <v>13</v>
      </c>
      <c r="T235" s="56">
        <f t="shared" si="68"/>
        <v>13</v>
      </c>
      <c r="U235" s="41">
        <f t="shared" si="68"/>
        <v>5.958333333333333</v>
      </c>
    </row>
    <row r="236" spans="2:21" hidden="1" outlineLevel="1">
      <c r="B236" s="14" t="s">
        <v>116</v>
      </c>
      <c r="C236" s="15" t="s">
        <v>66</v>
      </c>
      <c r="D236" s="52">
        <v>2051</v>
      </c>
      <c r="E236" s="34">
        <f t="shared" si="57"/>
        <v>247972.44745613553</v>
      </c>
      <c r="F236" s="34">
        <f t="shared" si="58"/>
        <v>55</v>
      </c>
      <c r="G236" s="34">
        <f t="shared" si="59"/>
        <v>62</v>
      </c>
      <c r="H236" s="34">
        <f t="shared" si="60"/>
        <v>16</v>
      </c>
      <c r="I236" s="34">
        <f t="shared" si="61"/>
        <v>1</v>
      </c>
      <c r="J236" s="34">
        <f t="shared" si="62"/>
        <v>4</v>
      </c>
      <c r="K236" s="34">
        <f t="shared" si="63"/>
        <v>7</v>
      </c>
      <c r="L236" s="34">
        <f t="shared" si="64"/>
        <v>84</v>
      </c>
      <c r="M236" s="34">
        <f t="shared" si="65"/>
        <v>84</v>
      </c>
      <c r="N236" s="56">
        <f t="shared" si="68"/>
        <v>0</v>
      </c>
      <c r="O236" s="56">
        <f t="shared" si="68"/>
        <v>3.25</v>
      </c>
      <c r="P236" s="56">
        <f t="shared" si="68"/>
        <v>12.458333333333334</v>
      </c>
      <c r="Q236" s="56">
        <f t="shared" si="68"/>
        <v>13</v>
      </c>
      <c r="R236" s="56">
        <f t="shared" si="68"/>
        <v>13</v>
      </c>
      <c r="S236" s="56">
        <f t="shared" si="68"/>
        <v>13</v>
      </c>
      <c r="T236" s="56">
        <f t="shared" si="68"/>
        <v>13</v>
      </c>
      <c r="U236" s="41">
        <f t="shared" si="68"/>
        <v>5.958333333333333</v>
      </c>
    </row>
    <row r="237" spans="2:21" hidden="1" outlineLevel="1">
      <c r="B237" s="14" t="s">
        <v>116</v>
      </c>
      <c r="C237" s="15" t="s">
        <v>66</v>
      </c>
      <c r="D237" s="52">
        <v>2052</v>
      </c>
      <c r="E237" s="34">
        <f t="shared" si="57"/>
        <v>247439.99363794766</v>
      </c>
      <c r="F237" s="34">
        <f t="shared" si="58"/>
        <v>55</v>
      </c>
      <c r="G237" s="34">
        <f t="shared" si="59"/>
        <v>62</v>
      </c>
      <c r="H237" s="34">
        <f t="shared" si="60"/>
        <v>16</v>
      </c>
      <c r="I237" s="34">
        <f t="shared" si="61"/>
        <v>1</v>
      </c>
      <c r="J237" s="34">
        <f t="shared" si="62"/>
        <v>4</v>
      </c>
      <c r="K237" s="34">
        <f t="shared" si="63"/>
        <v>7</v>
      </c>
      <c r="L237" s="34">
        <f t="shared" si="64"/>
        <v>84</v>
      </c>
      <c r="M237" s="34">
        <f t="shared" si="65"/>
        <v>84</v>
      </c>
      <c r="N237" s="56">
        <f t="shared" si="68"/>
        <v>0</v>
      </c>
      <c r="O237" s="56">
        <f t="shared" si="68"/>
        <v>3.25</v>
      </c>
      <c r="P237" s="56">
        <f t="shared" si="68"/>
        <v>12.458333333333334</v>
      </c>
      <c r="Q237" s="56">
        <f t="shared" si="68"/>
        <v>13</v>
      </c>
      <c r="R237" s="56">
        <f t="shared" si="68"/>
        <v>13</v>
      </c>
      <c r="S237" s="56">
        <f t="shared" si="68"/>
        <v>13</v>
      </c>
      <c r="T237" s="56">
        <f t="shared" si="68"/>
        <v>13</v>
      </c>
      <c r="U237" s="41">
        <f t="shared" si="68"/>
        <v>5.958333333333333</v>
      </c>
    </row>
    <row r="238" spans="2:21" hidden="1" outlineLevel="1">
      <c r="B238" s="14" t="s">
        <v>116</v>
      </c>
      <c r="C238" s="15" t="s">
        <v>66</v>
      </c>
      <c r="D238" s="52">
        <v>2053</v>
      </c>
      <c r="E238" s="34">
        <f t="shared" ref="E238:E245" si="69">IF($C238="Homens",INDEX($C$22:$C$55,MATCH($D238,$B$22:$B$55,0)),INDEX($F$22:$F$55,MATCH($D238,$B$22:$B$55,0)))</f>
        <v>246987.52551851553</v>
      </c>
      <c r="F238" s="34">
        <f t="shared" ref="F238:F245" si="70">IF($C238="Homens",$Z$14,$AA$14)</f>
        <v>55</v>
      </c>
      <c r="G238" s="34">
        <f t="shared" ref="G238:G245" si="71">IF($C238="Homens",$Z$15,$AA$15)</f>
        <v>62</v>
      </c>
      <c r="H238" s="34">
        <f t="shared" ref="H238:H245" si="72">IF($C238="Homens",$Z$17,$AA$17)</f>
        <v>16</v>
      </c>
      <c r="I238" s="34">
        <f t="shared" ref="I238:I245" si="73">INT(H238/12)</f>
        <v>1</v>
      </c>
      <c r="J238" s="34">
        <f t="shared" ref="J238:J245" si="74">MOD(H238,12)</f>
        <v>4</v>
      </c>
      <c r="K238" s="34">
        <f t="shared" ref="K238:K245" si="75">IF($D238&lt;$Z$18,0,IF(OR($B238="Sem Transição",$Z$19&lt;=1),$G238-$F238,MIN($G238-$F238,INT(($D238-$Z$18)/($Z$19-1))+1)))</f>
        <v>7</v>
      </c>
      <c r="L238" s="34">
        <f t="shared" ref="L238:L245" si="76">MAX($H238,12*(IF(($D238+MAX($K238,$I238))&lt;$Z$18,$F238,IF($B238="Sem Transição",$G238,MIN($G238,$F238+1+INT((($D238+MAX($K238,$I238))-$Z$18)/$Z$19))))-$F238))</f>
        <v>84</v>
      </c>
      <c r="M238" s="34">
        <f t="shared" ref="M238:M245" si="77">MAX($H238,12*(IF(($D238+MAX($K238,$I238+1))&lt;$Z$18,$F238,IF($B238="Sem Transição",$G238,MIN($G238,$F238+1+INT((($D238+MAX($K238,$I238+1))-$Z$18)/$Z$19))))-$F238))</f>
        <v>84</v>
      </c>
      <c r="N238" s="56">
        <f t="shared" si="68"/>
        <v>0</v>
      </c>
      <c r="O238" s="56">
        <f t="shared" si="68"/>
        <v>3.25</v>
      </c>
      <c r="P238" s="56">
        <f t="shared" si="68"/>
        <v>12.458333333333334</v>
      </c>
      <c r="Q238" s="56">
        <f t="shared" si="68"/>
        <v>13</v>
      </c>
      <c r="R238" s="56">
        <f t="shared" si="68"/>
        <v>13</v>
      </c>
      <c r="S238" s="56">
        <f t="shared" si="68"/>
        <v>13</v>
      </c>
      <c r="T238" s="56">
        <f t="shared" si="68"/>
        <v>13</v>
      </c>
      <c r="U238" s="41">
        <f t="shared" si="68"/>
        <v>5.958333333333333</v>
      </c>
    </row>
    <row r="239" spans="2:21" hidden="1" outlineLevel="1">
      <c r="B239" s="14" t="s">
        <v>116</v>
      </c>
      <c r="C239" s="15" t="s">
        <v>66</v>
      </c>
      <c r="D239" s="52">
        <v>2054</v>
      </c>
      <c r="E239" s="34">
        <f t="shared" si="69"/>
        <v>246296.51181514713</v>
      </c>
      <c r="F239" s="34">
        <f t="shared" si="70"/>
        <v>55</v>
      </c>
      <c r="G239" s="34">
        <f t="shared" si="71"/>
        <v>62</v>
      </c>
      <c r="H239" s="34">
        <f t="shared" si="72"/>
        <v>16</v>
      </c>
      <c r="I239" s="34">
        <f t="shared" si="73"/>
        <v>1</v>
      </c>
      <c r="J239" s="34">
        <f t="shared" si="74"/>
        <v>4</v>
      </c>
      <c r="K239" s="34">
        <f t="shared" si="75"/>
        <v>7</v>
      </c>
      <c r="L239" s="34">
        <f t="shared" si="76"/>
        <v>84</v>
      </c>
      <c r="M239" s="34">
        <f t="shared" si="77"/>
        <v>84</v>
      </c>
      <c r="N239" s="56">
        <f t="shared" si="68"/>
        <v>0</v>
      </c>
      <c r="O239" s="56">
        <f t="shared" si="68"/>
        <v>3.25</v>
      </c>
      <c r="P239" s="56">
        <f t="shared" si="68"/>
        <v>12.458333333333334</v>
      </c>
      <c r="Q239" s="56">
        <f t="shared" si="68"/>
        <v>13</v>
      </c>
      <c r="R239" s="56">
        <f t="shared" si="68"/>
        <v>13</v>
      </c>
      <c r="S239" s="56">
        <f t="shared" si="68"/>
        <v>13</v>
      </c>
      <c r="T239" s="56">
        <f t="shared" si="68"/>
        <v>13</v>
      </c>
      <c r="U239" s="41">
        <f t="shared" si="68"/>
        <v>5.958333333333333</v>
      </c>
    </row>
    <row r="240" spans="2:21" hidden="1" outlineLevel="1">
      <c r="B240" s="14" t="s">
        <v>116</v>
      </c>
      <c r="C240" s="15" t="s">
        <v>66</v>
      </c>
      <c r="D240" s="52">
        <v>2055</v>
      </c>
      <c r="E240" s="34">
        <f t="shared" si="69"/>
        <v>243837.02999575911</v>
      </c>
      <c r="F240" s="34">
        <f t="shared" si="70"/>
        <v>55</v>
      </c>
      <c r="G240" s="34">
        <f t="shared" si="71"/>
        <v>62</v>
      </c>
      <c r="H240" s="34">
        <f t="shared" si="72"/>
        <v>16</v>
      </c>
      <c r="I240" s="34">
        <f t="shared" si="73"/>
        <v>1</v>
      </c>
      <c r="J240" s="34">
        <f t="shared" si="74"/>
        <v>4</v>
      </c>
      <c r="K240" s="34">
        <f t="shared" si="75"/>
        <v>7</v>
      </c>
      <c r="L240" s="34">
        <f t="shared" si="76"/>
        <v>84</v>
      </c>
      <c r="M240" s="34">
        <f t="shared" si="77"/>
        <v>84</v>
      </c>
      <c r="N240" s="56">
        <f t="shared" ref="N240:U245" si="78">$Z$20/144*(INDEX($C$65:$O$89,MIN(MAX(12*(N$109+1)-$H240,0),24)+1,13)-INDEX($C$65:$O$89,MIN(MAX(12*(N$109+1)-$L240,0),24)+1,13-$J240)-INDEX($C$65:$O$89,MIN(MAX(12*(N$109+1)-$M240-12+$J240,0),24)+1,$J240+1))</f>
        <v>0</v>
      </c>
      <c r="O240" s="56">
        <f t="shared" si="78"/>
        <v>3.25</v>
      </c>
      <c r="P240" s="56">
        <f t="shared" si="78"/>
        <v>12.458333333333334</v>
      </c>
      <c r="Q240" s="56">
        <f t="shared" si="78"/>
        <v>13</v>
      </c>
      <c r="R240" s="56">
        <f t="shared" si="78"/>
        <v>13</v>
      </c>
      <c r="S240" s="56">
        <f t="shared" si="78"/>
        <v>13</v>
      </c>
      <c r="T240" s="56">
        <f t="shared" si="78"/>
        <v>13</v>
      </c>
      <c r="U240" s="41">
        <f t="shared" si="78"/>
        <v>5.958333333333333</v>
      </c>
    </row>
    <row r="241" spans="2:21" hidden="1" outlineLevel="1">
      <c r="B241" s="14" t="s">
        <v>116</v>
      </c>
      <c r="C241" s="15" t="s">
        <v>66</v>
      </c>
      <c r="D241" s="52">
        <v>2056</v>
      </c>
      <c r="E241" s="34">
        <f t="shared" si="69"/>
        <v>238874.62314412947</v>
      </c>
      <c r="F241" s="34">
        <f t="shared" si="70"/>
        <v>55</v>
      </c>
      <c r="G241" s="34">
        <f t="shared" si="71"/>
        <v>62</v>
      </c>
      <c r="H241" s="34">
        <f t="shared" si="72"/>
        <v>16</v>
      </c>
      <c r="I241" s="34">
        <f t="shared" si="73"/>
        <v>1</v>
      </c>
      <c r="J241" s="34">
        <f t="shared" si="74"/>
        <v>4</v>
      </c>
      <c r="K241" s="34">
        <f t="shared" si="75"/>
        <v>7</v>
      </c>
      <c r="L241" s="34">
        <f t="shared" si="76"/>
        <v>84</v>
      </c>
      <c r="M241" s="34">
        <f t="shared" si="77"/>
        <v>84</v>
      </c>
      <c r="N241" s="56">
        <f t="shared" si="78"/>
        <v>0</v>
      </c>
      <c r="O241" s="56">
        <f t="shared" si="78"/>
        <v>3.25</v>
      </c>
      <c r="P241" s="56">
        <f t="shared" si="78"/>
        <v>12.458333333333334</v>
      </c>
      <c r="Q241" s="56">
        <f t="shared" si="78"/>
        <v>13</v>
      </c>
      <c r="R241" s="56">
        <f t="shared" si="78"/>
        <v>13</v>
      </c>
      <c r="S241" s="56">
        <f t="shared" si="78"/>
        <v>13</v>
      </c>
      <c r="T241" s="56">
        <f t="shared" si="78"/>
        <v>13</v>
      </c>
      <c r="U241" s="41">
        <f t="shared" si="78"/>
        <v>5.958333333333333</v>
      </c>
    </row>
    <row r="242" spans="2:21" hidden="1" outlineLevel="1">
      <c r="B242" s="14" t="s">
        <v>116</v>
      </c>
      <c r="C242" s="15" t="s">
        <v>66</v>
      </c>
      <c r="D242" s="52">
        <v>2057</v>
      </c>
      <c r="E242" s="34">
        <f t="shared" si="69"/>
        <v>234153.74173580154</v>
      </c>
      <c r="F242" s="34">
        <f t="shared" si="70"/>
        <v>55</v>
      </c>
      <c r="G242" s="34">
        <f t="shared" si="71"/>
        <v>62</v>
      </c>
      <c r="H242" s="34">
        <f t="shared" si="72"/>
        <v>16</v>
      </c>
      <c r="I242" s="34">
        <f t="shared" si="73"/>
        <v>1</v>
      </c>
      <c r="J242" s="34">
        <f t="shared" si="74"/>
        <v>4</v>
      </c>
      <c r="K242" s="34">
        <f t="shared" si="75"/>
        <v>7</v>
      </c>
      <c r="L242" s="34">
        <f t="shared" si="76"/>
        <v>84</v>
      </c>
      <c r="M242" s="34">
        <f t="shared" si="77"/>
        <v>84</v>
      </c>
      <c r="N242" s="56">
        <f t="shared" si="78"/>
        <v>0</v>
      </c>
      <c r="O242" s="56">
        <f t="shared" si="78"/>
        <v>3.25</v>
      </c>
      <c r="P242" s="56">
        <f t="shared" si="78"/>
        <v>12.458333333333334</v>
      </c>
      <c r="Q242" s="56">
        <f t="shared" si="78"/>
        <v>13</v>
      </c>
      <c r="R242" s="56">
        <f t="shared" si="78"/>
        <v>13</v>
      </c>
      <c r="S242" s="56">
        <f t="shared" si="78"/>
        <v>13</v>
      </c>
      <c r="T242" s="56">
        <f t="shared" si="78"/>
        <v>13</v>
      </c>
      <c r="U242" s="41">
        <f t="shared" si="78"/>
        <v>5.958333333333333</v>
      </c>
    </row>
    <row r="243" spans="2:21" hidden="1" outlineLevel="1">
      <c r="B243" s="14" t="s">
        <v>116</v>
      </c>
      <c r="C243" s="15" t="s">
        <v>66</v>
      </c>
      <c r="D243" s="52">
        <v>2058</v>
      </c>
      <c r="E243" s="34">
        <f t="shared" si="69"/>
        <v>230221.26838167993</v>
      </c>
      <c r="F243" s="34">
        <f t="shared" si="70"/>
        <v>55</v>
      </c>
      <c r="G243" s="34">
        <f t="shared" si="71"/>
        <v>62</v>
      </c>
      <c r="H243" s="34">
        <f t="shared" si="72"/>
        <v>16</v>
      </c>
      <c r="I243" s="34">
        <f t="shared" si="73"/>
        <v>1</v>
      </c>
      <c r="J243" s="34">
        <f t="shared" si="74"/>
        <v>4</v>
      </c>
      <c r="K243" s="34">
        <f t="shared" si="75"/>
        <v>7</v>
      </c>
      <c r="L243" s="34">
        <f t="shared" si="76"/>
        <v>84</v>
      </c>
      <c r="M243" s="34">
        <f t="shared" si="77"/>
        <v>84</v>
      </c>
      <c r="N243" s="56">
        <f t="shared" si="78"/>
        <v>0</v>
      </c>
      <c r="O243" s="56">
        <f t="shared" si="78"/>
        <v>3.25</v>
      </c>
      <c r="P243" s="56">
        <f t="shared" si="78"/>
        <v>12.458333333333334</v>
      </c>
      <c r="Q243" s="56">
        <f t="shared" si="78"/>
        <v>13</v>
      </c>
      <c r="R243" s="56">
        <f t="shared" si="78"/>
        <v>13</v>
      </c>
      <c r="S243" s="56">
        <f t="shared" si="78"/>
        <v>13</v>
      </c>
      <c r="T243" s="56">
        <f t="shared" si="78"/>
        <v>13</v>
      </c>
      <c r="U243" s="41">
        <f t="shared" si="78"/>
        <v>5.958333333333333</v>
      </c>
    </row>
    <row r="244" spans="2:21" hidden="1" outlineLevel="1">
      <c r="B244" s="14" t="s">
        <v>116</v>
      </c>
      <c r="C244" s="15" t="s">
        <v>66</v>
      </c>
      <c r="D244" s="52">
        <v>2059</v>
      </c>
      <c r="E244" s="34">
        <f t="shared" si="69"/>
        <v>227289.40043552261</v>
      </c>
      <c r="F244" s="34">
        <f t="shared" si="70"/>
        <v>55</v>
      </c>
      <c r="G244" s="34">
        <f t="shared" si="71"/>
        <v>62</v>
      </c>
      <c r="H244" s="34">
        <f t="shared" si="72"/>
        <v>16</v>
      </c>
      <c r="I244" s="34">
        <f t="shared" si="73"/>
        <v>1</v>
      </c>
      <c r="J244" s="34">
        <f t="shared" si="74"/>
        <v>4</v>
      </c>
      <c r="K244" s="34">
        <f t="shared" si="75"/>
        <v>7</v>
      </c>
      <c r="L244" s="34">
        <f t="shared" si="76"/>
        <v>84</v>
      </c>
      <c r="M244" s="34">
        <f t="shared" si="77"/>
        <v>84</v>
      </c>
      <c r="N244" s="56">
        <f t="shared" si="78"/>
        <v>0</v>
      </c>
      <c r="O244" s="56">
        <f t="shared" si="78"/>
        <v>3.25</v>
      </c>
      <c r="P244" s="56">
        <f t="shared" si="78"/>
        <v>12.458333333333334</v>
      </c>
      <c r="Q244" s="56">
        <f t="shared" si="78"/>
        <v>13</v>
      </c>
      <c r="R244" s="56">
        <f t="shared" si="78"/>
        <v>13</v>
      </c>
      <c r="S244" s="56">
        <f t="shared" si="78"/>
        <v>13</v>
      </c>
      <c r="T244" s="56">
        <f t="shared" si="78"/>
        <v>13</v>
      </c>
      <c r="U244" s="41">
        <f t="shared" si="78"/>
        <v>5.958333333333333</v>
      </c>
    </row>
    <row r="245" spans="2:21" hidden="1" outlineLevel="1">
      <c r="B245" s="49" t="s">
        <v>116</v>
      </c>
      <c r="C245" s="57" t="s">
        <v>66</v>
      </c>
      <c r="D245" s="58">
        <v>2060</v>
      </c>
      <c r="E245" s="59">
        <f t="shared" si="69"/>
        <v>225132.60959377894</v>
      </c>
      <c r="F245" s="59">
        <f t="shared" si="70"/>
        <v>55</v>
      </c>
      <c r="G245" s="59">
        <f t="shared" si="71"/>
        <v>62</v>
      </c>
      <c r="H245" s="59">
        <f t="shared" si="72"/>
        <v>16</v>
      </c>
      <c r="I245" s="59">
        <f t="shared" si="73"/>
        <v>1</v>
      </c>
      <c r="J245" s="59">
        <f t="shared" si="74"/>
        <v>4</v>
      </c>
      <c r="K245" s="59">
        <f t="shared" si="75"/>
        <v>7</v>
      </c>
      <c r="L245" s="59">
        <f t="shared" si="76"/>
        <v>84</v>
      </c>
      <c r="M245" s="59">
        <f t="shared" si="77"/>
        <v>84</v>
      </c>
      <c r="N245" s="60">
        <f t="shared" si="78"/>
        <v>0</v>
      </c>
      <c r="O245" s="60">
        <f t="shared" si="78"/>
        <v>3.25</v>
      </c>
      <c r="P245" s="60">
        <f t="shared" si="78"/>
        <v>12.458333333333334</v>
      </c>
      <c r="Q245" s="60">
        <f t="shared" si="78"/>
        <v>13</v>
      </c>
      <c r="R245" s="60">
        <f t="shared" si="78"/>
        <v>13</v>
      </c>
      <c r="S245" s="60">
        <f t="shared" si="78"/>
        <v>13</v>
      </c>
      <c r="T245" s="60">
        <f t="shared" si="78"/>
        <v>13</v>
      </c>
      <c r="U245" s="84">
        <f t="shared" si="78"/>
        <v>5.958333333333333</v>
      </c>
    </row>
    <row r="246" spans="2:21" hidden="1" outlineLevel="1">
      <c r="B246" s="24" t="s">
        <v>117</v>
      </c>
    </row>
    <row r="247" spans="2:21" hidden="1" outlineLevel="1">
      <c r="B247" s="36" t="s">
        <v>118</v>
      </c>
    </row>
    <row r="248" spans="2:21" hidden="1" outlineLevel="1">
      <c r="B248" s="36" t="s">
        <v>119</v>
      </c>
    </row>
    <row r="249" spans="2:21" hidden="1" outlineLevel="1">
      <c r="B249" s="36" t="s">
        <v>120</v>
      </c>
    </row>
    <row r="250" spans="2:21" hidden="1" outlineLevel="1">
      <c r="B250" s="36" t="s">
        <v>121</v>
      </c>
    </row>
    <row r="251" spans="2:21" hidden="1" outlineLevel="1">
      <c r="B251" s="36" t="s">
        <v>122</v>
      </c>
    </row>
    <row r="252" spans="2:21" hidden="1" outlineLevel="1">
      <c r="B252" s="36" t="s">
        <v>123</v>
      </c>
    </row>
    <row r="253" spans="2:21" hidden="1" outlineLevel="1">
      <c r="B253" s="36" t="s">
        <v>124</v>
      </c>
    </row>
    <row r="254" spans="2:21" hidden="1" outlineLevel="1">
      <c r="B254" s="36" t="s">
        <v>125</v>
      </c>
    </row>
    <row r="255" spans="2:21" hidden="1" outlineLevel="1">
      <c r="B255" s="36" t="s">
        <v>126</v>
      </c>
    </row>
    <row r="256" spans="2:21" hidden="1" outlineLevel="1">
      <c r="B256" s="36" t="s">
        <v>127</v>
      </c>
    </row>
    <row r="257" spans="2:2" hidden="1" outlineLevel="1">
      <c r="B257" s="24"/>
    </row>
    <row r="258" spans="2:2" hidden="1" outlineLevel="1">
      <c r="B258" s="24"/>
    </row>
    <row r="259" spans="2:2" hidden="1" outlineLevel="1">
      <c r="B259" s="24"/>
    </row>
    <row r="260" spans="2:2" hidden="1" outlineLevel="1">
      <c r="B260" s="24"/>
    </row>
  </sheetData>
  <mergeCells count="18">
    <mergeCell ref="B107:U107"/>
    <mergeCell ref="B2:W2"/>
    <mergeCell ref="Y8:AA8"/>
    <mergeCell ref="B59:O59"/>
    <mergeCell ref="Z19:AA19"/>
    <mergeCell ref="Z20:AA20"/>
    <mergeCell ref="Y12:AA12"/>
    <mergeCell ref="Y7:AA7"/>
    <mergeCell ref="Z18:AA18"/>
    <mergeCell ref="B63:O63"/>
    <mergeCell ref="Q63:R63"/>
    <mergeCell ref="AC5:AE5"/>
    <mergeCell ref="AG5:AI5"/>
    <mergeCell ref="Z6:AA6"/>
    <mergeCell ref="B3:K3"/>
    <mergeCell ref="L3:Q3"/>
    <mergeCell ref="R3:W3"/>
    <mergeCell ref="Y5:AA5"/>
  </mergeCells>
  <dataValidations disablePrompts="1" count="1">
    <dataValidation type="list" showErrorMessage="1" errorTitle="Valor inválido" error="Selecione uma das opções da lista." sqref="Z6" xr:uid="{00000000-0002-0000-0100-000000000000}">
      <formula1>"Idade média efetiva,Idade mínima vigente"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7AD19-57E3-44F3-8623-A2791EB88FBE}">
  <sheetPr>
    <outlinePr summaryBelow="0"/>
  </sheetPr>
  <dimension ref="B1:AI1759"/>
  <sheetViews>
    <sheetView showGridLines="0" zoomScale="85" zoomScaleNormal="85" workbookViewId="0"/>
  </sheetViews>
  <sheetFormatPr defaultColWidth="8.7109375" defaultRowHeight="15" outlineLevelRow="1"/>
  <cols>
    <col min="1" max="1" width="3.28515625" customWidth="1"/>
    <col min="2" max="2" width="14.5703125" customWidth="1"/>
    <col min="3" max="3" width="22" customWidth="1"/>
    <col min="4" max="5" width="17" customWidth="1"/>
    <col min="6" max="6" width="22" customWidth="1"/>
    <col min="7" max="7" width="15" customWidth="1"/>
    <col min="8" max="9" width="14" customWidth="1"/>
    <col min="10" max="10" width="11" customWidth="1"/>
    <col min="11" max="11" width="12" customWidth="1"/>
    <col min="12" max="12" width="15" customWidth="1"/>
    <col min="13" max="14" width="17" customWidth="1"/>
    <col min="15" max="15" width="19" customWidth="1"/>
    <col min="16" max="16" width="17" customWidth="1"/>
    <col min="17" max="17" width="19" customWidth="1"/>
    <col min="18" max="18" width="15" customWidth="1"/>
    <col min="19" max="20" width="17" customWidth="1"/>
    <col min="21" max="21" width="19" customWidth="1"/>
    <col min="22" max="22" width="17" customWidth="1"/>
    <col min="23" max="23" width="19" customWidth="1"/>
    <col min="24" max="24" width="3" customWidth="1"/>
    <col min="25" max="25" width="64" customWidth="1"/>
    <col min="26" max="27" width="12" customWidth="1"/>
    <col min="28" max="28" width="3" customWidth="1"/>
    <col min="29" max="29" width="41" customWidth="1"/>
    <col min="30" max="31" width="16" customWidth="1"/>
    <col min="32" max="32" width="3" customWidth="1"/>
    <col min="33" max="33" width="24" customWidth="1"/>
    <col min="34" max="35" width="12" customWidth="1"/>
  </cols>
  <sheetData>
    <row r="1" spans="2:35" ht="15.75" thickBot="1"/>
    <row r="2" spans="2:35" ht="24" customHeight="1" thickBot="1">
      <c r="B2" s="65" t="str">
        <f>"Análise da Economia Estimada com a Proposta de Aumento da Idade Mínima para Aposentadoria Rural — Transição Gradual de "&amp;$Z$19&amp;" Anos"</f>
        <v>Análise da Economia Estimada com a Proposta de Aumento da Idade Mínima para Aposentadoria Rural — Transição Gradual de 10 Anos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7"/>
    </row>
    <row r="3" spans="2:35" ht="21.75" customHeight="1" thickBot="1">
      <c r="B3" s="64" t="s">
        <v>38</v>
      </c>
      <c r="C3" s="64"/>
      <c r="D3" s="64"/>
      <c r="E3" s="64"/>
      <c r="F3" s="64"/>
      <c r="G3" s="64"/>
      <c r="H3" s="64"/>
      <c r="I3" s="64"/>
      <c r="J3" s="64"/>
      <c r="K3" s="64"/>
      <c r="L3" s="64" t="s">
        <v>39</v>
      </c>
      <c r="M3" s="64"/>
      <c r="N3" s="64"/>
      <c r="O3" s="64"/>
      <c r="P3" s="64"/>
      <c r="Q3" s="64"/>
      <c r="R3" s="64" t="str">
        <f>"Transição Uniforme de "&amp;$Z$19&amp;" anos (H e M)"</f>
        <v>Transição Uniforme de 10 anos (H e M)</v>
      </c>
      <c r="S3" s="64"/>
      <c r="T3" s="64"/>
      <c r="U3" s="64"/>
      <c r="V3" s="64"/>
      <c r="W3" s="64"/>
    </row>
    <row r="4" spans="2:35" ht="41.25" thickBot="1">
      <c r="B4" s="4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5" t="s">
        <v>47</v>
      </c>
      <c r="J4" s="5" t="s">
        <v>48</v>
      </c>
      <c r="K4" s="6" t="s">
        <v>49</v>
      </c>
      <c r="L4" s="4" t="s">
        <v>50</v>
      </c>
      <c r="M4" s="5" t="s">
        <v>51</v>
      </c>
      <c r="N4" s="5" t="s">
        <v>52</v>
      </c>
      <c r="O4" s="5" t="s">
        <v>53</v>
      </c>
      <c r="P4" s="5" t="s">
        <v>54</v>
      </c>
      <c r="Q4" s="6" t="s">
        <v>55</v>
      </c>
      <c r="R4" s="4" t="s">
        <v>50</v>
      </c>
      <c r="S4" s="5" t="s">
        <v>51</v>
      </c>
      <c r="T4" s="5" t="s">
        <v>52</v>
      </c>
      <c r="U4" s="5" t="s">
        <v>53</v>
      </c>
      <c r="V4" s="5" t="s">
        <v>54</v>
      </c>
      <c r="W4" s="6" t="s">
        <v>55</v>
      </c>
    </row>
    <row r="5" spans="2:35" ht="15" customHeight="1" thickBot="1">
      <c r="B5" s="8">
        <v>2010</v>
      </c>
      <c r="C5" s="38">
        <f>'Transição 9 H e 13 M Anos'!C5</f>
        <v>147356</v>
      </c>
      <c r="D5" s="38">
        <f>'Transição 9 H e 13 M Anos'!D5</f>
        <v>684213</v>
      </c>
      <c r="E5" s="10">
        <f t="shared" ref="E5:E19" si="0">C5/D5</f>
        <v>0.21536568290868488</v>
      </c>
      <c r="F5" s="38">
        <f>'Transição 9 H e 13 M Anos'!F5</f>
        <v>199978</v>
      </c>
      <c r="G5" s="38">
        <f>'Transição 9 H e 13 M Anos'!G5</f>
        <v>958517</v>
      </c>
      <c r="H5" s="10">
        <f t="shared" ref="H5:H19" si="1">F5/G5</f>
        <v>0.20863271073961129</v>
      </c>
      <c r="I5" s="86">
        <f>'Transição 9 H e 13 M Anos'!I5</f>
        <v>510</v>
      </c>
      <c r="J5" s="10">
        <f>'Transição 9 H e 13 M Anos'!J5</f>
        <v>6.4652000000000001E-2</v>
      </c>
      <c r="K5" s="13" t="s">
        <v>56</v>
      </c>
      <c r="L5" s="14" t="str">
        <f t="shared" ref="L5:L36" si="2">IF($B5&lt;$Z$18,$AA$14&amp;"M / "&amp;$Z$14&amp;"H",$AA$15&amp;"M / "&amp;$Z$15&amp;"H")</f>
        <v>55M / 60H</v>
      </c>
      <c r="M5" s="15" t="s">
        <v>56</v>
      </c>
      <c r="N5" s="16">
        <v>0</v>
      </c>
      <c r="O5" s="16">
        <v>0</v>
      </c>
      <c r="P5" s="16">
        <v>0</v>
      </c>
      <c r="Q5" s="17">
        <v>0</v>
      </c>
      <c r="R5" s="14" t="str">
        <f t="shared" ref="R5:R36" si="3">IF($B5&lt;$Z$18,$AA$14&amp;"M / "&amp;$Z$14&amp;"H",ROUND($AA$14+INDEX($F$65:$F$108,$B5-2026)/12,1)&amp;"M / "&amp;ROUND($Z$14+INDEX($E$65:$E$108,$B5-2026)/12,1)&amp;"H")</f>
        <v>55M / 60H</v>
      </c>
      <c r="S5" s="15" t="s">
        <v>56</v>
      </c>
      <c r="T5" s="16">
        <v>0</v>
      </c>
      <c r="U5" s="16">
        <v>0</v>
      </c>
      <c r="V5" s="16">
        <v>0</v>
      </c>
      <c r="W5" s="17">
        <v>0</v>
      </c>
      <c r="Y5" s="62" t="s">
        <v>57</v>
      </c>
      <c r="Z5" s="62"/>
      <c r="AA5" s="62"/>
      <c r="AC5" s="62" t="s">
        <v>58</v>
      </c>
      <c r="AD5" s="62"/>
      <c r="AE5" s="62"/>
      <c r="AG5" s="62" t="s">
        <v>59</v>
      </c>
      <c r="AH5" s="62"/>
      <c r="AI5" s="62"/>
    </row>
    <row r="6" spans="2:35" ht="15" customHeight="1">
      <c r="B6" s="8">
        <v>2011</v>
      </c>
      <c r="C6" s="38">
        <f>'Transição 9 H e 13 M Anos'!C6</f>
        <v>141310</v>
      </c>
      <c r="D6" s="38">
        <f>'Transição 9 H e 13 M Anos'!D6</f>
        <v>709218</v>
      </c>
      <c r="E6" s="10">
        <f t="shared" si="0"/>
        <v>0.19924762202876972</v>
      </c>
      <c r="F6" s="38">
        <f>'Transição 9 H e 13 M Anos'!F6</f>
        <v>201742</v>
      </c>
      <c r="G6" s="38">
        <f>'Transição 9 H e 13 M Anos'!G6</f>
        <v>991806</v>
      </c>
      <c r="H6" s="10">
        <f t="shared" si="1"/>
        <v>0.20340873114298563</v>
      </c>
      <c r="I6" s="86">
        <f>'Transição 9 H e 13 M Anos'!I6</f>
        <v>540</v>
      </c>
      <c r="J6" s="10">
        <f>'Transição 9 H e 13 M Anos'!J6</f>
        <v>6.0798999999999999E-2</v>
      </c>
      <c r="K6" s="13" t="s">
        <v>56</v>
      </c>
      <c r="L6" s="14" t="str">
        <f t="shared" si="2"/>
        <v>55M / 60H</v>
      </c>
      <c r="M6" s="15" t="s">
        <v>56</v>
      </c>
      <c r="N6" s="16">
        <v>0</v>
      </c>
      <c r="O6" s="16">
        <v>0</v>
      </c>
      <c r="P6" s="16">
        <v>0</v>
      </c>
      <c r="Q6" s="17">
        <v>0</v>
      </c>
      <c r="R6" s="14" t="str">
        <f t="shared" si="3"/>
        <v>55M / 60H</v>
      </c>
      <c r="S6" s="15" t="s">
        <v>56</v>
      </c>
      <c r="T6" s="16">
        <v>0</v>
      </c>
      <c r="U6" s="16">
        <v>0</v>
      </c>
      <c r="V6" s="16">
        <v>0</v>
      </c>
      <c r="W6" s="17">
        <v>0</v>
      </c>
      <c r="Y6" s="7" t="s">
        <v>60</v>
      </c>
      <c r="Z6" s="63" t="s">
        <v>61</v>
      </c>
      <c r="AA6" s="63"/>
      <c r="AC6" s="4" t="s">
        <v>62</v>
      </c>
      <c r="AD6" s="5" t="s">
        <v>63</v>
      </c>
      <c r="AE6" s="6" t="s">
        <v>64</v>
      </c>
      <c r="AG6" s="4" t="s">
        <v>40</v>
      </c>
      <c r="AH6" s="5" t="s">
        <v>65</v>
      </c>
      <c r="AI6" s="6" t="s">
        <v>66</v>
      </c>
    </row>
    <row r="7" spans="2:35" ht="15" customHeight="1">
      <c r="B7" s="8">
        <v>2012</v>
      </c>
      <c r="C7" s="38">
        <f>'Transição 9 H e 13 M Anos'!C7</f>
        <v>148810</v>
      </c>
      <c r="D7" s="38">
        <f>'Transição 9 H e 13 M Anos'!D7</f>
        <v>734954</v>
      </c>
      <c r="E7" s="10">
        <f t="shared" si="0"/>
        <v>0.20247525695485705</v>
      </c>
      <c r="F7" s="38">
        <f>'Transição 9 H e 13 M Anos'!F7</f>
        <v>203190</v>
      </c>
      <c r="G7" s="38">
        <f>'Transição 9 H e 13 M Anos'!G7</f>
        <v>1024678</v>
      </c>
      <c r="H7" s="10">
        <f t="shared" si="1"/>
        <v>0.19829644044275371</v>
      </c>
      <c r="I7" s="86">
        <f>'Transição 9 H e 13 M Anos'!I7</f>
        <v>622</v>
      </c>
      <c r="J7" s="10">
        <f>'Transição 9 H e 13 M Anos'!J7</f>
        <v>6.1977999999999998E-2</v>
      </c>
      <c r="K7" s="13" t="s">
        <v>56</v>
      </c>
      <c r="L7" s="14" t="str">
        <f t="shared" si="2"/>
        <v>55M / 60H</v>
      </c>
      <c r="M7" s="15" t="s">
        <v>56</v>
      </c>
      <c r="N7" s="16">
        <v>0</v>
      </c>
      <c r="O7" s="16">
        <v>0</v>
      </c>
      <c r="P7" s="16">
        <v>0</v>
      </c>
      <c r="Q7" s="17">
        <v>0</v>
      </c>
      <c r="R7" s="14" t="str">
        <f t="shared" si="3"/>
        <v>55M / 60H</v>
      </c>
      <c r="S7" s="15" t="s">
        <v>56</v>
      </c>
      <c r="T7" s="16">
        <v>0</v>
      </c>
      <c r="U7" s="16">
        <v>0</v>
      </c>
      <c r="V7" s="16">
        <v>0</v>
      </c>
      <c r="W7" s="17">
        <v>0</v>
      </c>
      <c r="Y7" s="78" t="s">
        <v>67</v>
      </c>
      <c r="Z7" s="79"/>
      <c r="AA7" s="80"/>
      <c r="AC7" s="8" t="s">
        <v>39</v>
      </c>
      <c r="AD7" s="18">
        <f>Q25</f>
        <v>40476721909.348824</v>
      </c>
      <c r="AE7" s="19">
        <f>Q55</f>
        <v>2123062847063.9658</v>
      </c>
      <c r="AG7" s="8">
        <v>2020</v>
      </c>
      <c r="AH7" s="87">
        <f>'Transição 9 H e 13 M Anos'!AH7</f>
        <v>60.56</v>
      </c>
      <c r="AI7" s="88">
        <f>'Transição 9 H e 13 M Anos'!AI7</f>
        <v>56.08</v>
      </c>
    </row>
    <row r="8" spans="2:35" ht="15" customHeight="1" thickBot="1">
      <c r="B8" s="8">
        <v>2013</v>
      </c>
      <c r="C8" s="38">
        <f>'Transição 9 H e 13 M Anos'!C8</f>
        <v>148885</v>
      </c>
      <c r="D8" s="38">
        <f>'Transição 9 H e 13 M Anos'!D8</f>
        <v>761573</v>
      </c>
      <c r="E8" s="10">
        <f t="shared" si="0"/>
        <v>0.19549668908955542</v>
      </c>
      <c r="F8" s="38">
        <f>'Transição 9 H e 13 M Anos'!F8</f>
        <v>209735</v>
      </c>
      <c r="G8" s="38">
        <f>'Transição 9 H e 13 M Anos'!G8</f>
        <v>1057683</v>
      </c>
      <c r="H8" s="10">
        <f t="shared" si="1"/>
        <v>0.19829665410146519</v>
      </c>
      <c r="I8" s="86">
        <f>'Transição 9 H e 13 M Anos'!I8</f>
        <v>678</v>
      </c>
      <c r="J8" s="10">
        <f>'Transição 9 H e 13 M Anos'!J8</f>
        <v>5.5627000000000003E-2</v>
      </c>
      <c r="K8" s="13" t="s">
        <v>56</v>
      </c>
      <c r="L8" s="14" t="str">
        <f t="shared" si="2"/>
        <v>55M / 60H</v>
      </c>
      <c r="M8" s="15" t="s">
        <v>56</v>
      </c>
      <c r="N8" s="16">
        <v>0</v>
      </c>
      <c r="O8" s="16">
        <v>0</v>
      </c>
      <c r="P8" s="16">
        <v>0</v>
      </c>
      <c r="Q8" s="17">
        <v>0</v>
      </c>
      <c r="R8" s="14" t="str">
        <f t="shared" si="3"/>
        <v>55M / 60H</v>
      </c>
      <c r="S8" s="15" t="s">
        <v>56</v>
      </c>
      <c r="T8" s="16">
        <v>0</v>
      </c>
      <c r="U8" s="16">
        <v>0</v>
      </c>
      <c r="V8" s="16">
        <v>0</v>
      </c>
      <c r="W8" s="17">
        <v>0</v>
      </c>
      <c r="Y8" s="68" t="s">
        <v>68</v>
      </c>
      <c r="Z8" s="69"/>
      <c r="AA8" s="70"/>
      <c r="AC8" s="22" t="str">
        <f>"Transição Uniforme de "&amp;$Z$19&amp;" anos (H e M)"</f>
        <v>Transição Uniforme de 10 anos (H e M)</v>
      </c>
      <c r="AD8" s="23">
        <f>W25</f>
        <v>17664393827.728172</v>
      </c>
      <c r="AE8" s="82">
        <f>W55</f>
        <v>2026357124035.1006</v>
      </c>
      <c r="AG8" s="8">
        <v>2021</v>
      </c>
      <c r="AH8" s="87">
        <f>'Transição 9 H e 13 M Anos'!AH8</f>
        <v>60.74</v>
      </c>
      <c r="AI8" s="88">
        <f>'Transição 9 H e 13 M Anos'!AI8</f>
        <v>56.24</v>
      </c>
    </row>
    <row r="9" spans="2:35" ht="15" customHeight="1">
      <c r="B9" s="8">
        <v>2014</v>
      </c>
      <c r="C9" s="38">
        <f>'Transição 9 H e 13 M Anos'!C9</f>
        <v>148068</v>
      </c>
      <c r="D9" s="38">
        <f>'Transição 9 H e 13 M Anos'!D9</f>
        <v>789185</v>
      </c>
      <c r="E9" s="10">
        <f t="shared" si="0"/>
        <v>0.18762140689445442</v>
      </c>
      <c r="F9" s="38">
        <f>'Transição 9 H e 13 M Anos'!F9</f>
        <v>189793</v>
      </c>
      <c r="G9" s="38">
        <f>'Transição 9 H e 13 M Anos'!G9</f>
        <v>1090856</v>
      </c>
      <c r="H9" s="10">
        <f t="shared" si="1"/>
        <v>0.17398538395535249</v>
      </c>
      <c r="I9" s="86">
        <f>'Transição 9 H e 13 M Anos'!I9</f>
        <v>724</v>
      </c>
      <c r="J9" s="10">
        <f>'Transição 9 H e 13 M Anos'!J9</f>
        <v>6.2282999999999998E-2</v>
      </c>
      <c r="K9" s="13" t="s">
        <v>56</v>
      </c>
      <c r="L9" s="14" t="str">
        <f t="shared" si="2"/>
        <v>55M / 60H</v>
      </c>
      <c r="M9" s="15" t="s">
        <v>56</v>
      </c>
      <c r="N9" s="16">
        <v>0</v>
      </c>
      <c r="O9" s="16">
        <v>0</v>
      </c>
      <c r="P9" s="16">
        <v>0</v>
      </c>
      <c r="Q9" s="17">
        <v>0</v>
      </c>
      <c r="R9" s="14" t="str">
        <f t="shared" si="3"/>
        <v>55M / 60H</v>
      </c>
      <c r="S9" s="15" t="s">
        <v>56</v>
      </c>
      <c r="T9" s="16">
        <v>0</v>
      </c>
      <c r="U9" s="16">
        <v>0</v>
      </c>
      <c r="V9" s="16">
        <v>0</v>
      </c>
      <c r="W9" s="17">
        <v>0</v>
      </c>
      <c r="Y9" s="24" t="s">
        <v>69</v>
      </c>
      <c r="AC9" s="24" t="str">
        <f>IF($C$118="OK","R$ bi deflacionados; atualizam com o seletor ao lado.","ATENÇÃO: ampliar as colunas j da memória de cálculo.")</f>
        <v>R$ bi deflacionados; atualizam com o seletor ao lado.</v>
      </c>
      <c r="AG9" s="8">
        <v>2022</v>
      </c>
      <c r="AH9" s="87">
        <f>'Transição 9 H e 13 M Anos'!AH9</f>
        <v>60.78</v>
      </c>
      <c r="AI9" s="88">
        <f>'Transição 9 H e 13 M Anos'!AI9</f>
        <v>56.31</v>
      </c>
    </row>
    <row r="10" spans="2:35" ht="15" customHeight="1">
      <c r="B10" s="8">
        <v>2015</v>
      </c>
      <c r="C10" s="38">
        <f>'Transição 9 H e 13 M Anos'!C10</f>
        <v>123166</v>
      </c>
      <c r="D10" s="38">
        <f>'Transição 9 H e 13 M Anos'!D10</f>
        <v>817332</v>
      </c>
      <c r="E10" s="10">
        <f t="shared" si="0"/>
        <v>0.15069274174998654</v>
      </c>
      <c r="F10" s="38">
        <f>'Transição 9 H e 13 M Anos'!F10</f>
        <v>163510</v>
      </c>
      <c r="G10" s="38">
        <f>'Transição 9 H e 13 M Anos'!G10</f>
        <v>1123521</v>
      </c>
      <c r="H10" s="10">
        <f t="shared" si="1"/>
        <v>0.14553355032972237</v>
      </c>
      <c r="I10" s="86">
        <f>'Transição 9 H e 13 M Anos'!I10</f>
        <v>788</v>
      </c>
      <c r="J10" s="10">
        <f>'Transição 9 H e 13 M Anos'!J10</f>
        <v>0.112762</v>
      </c>
      <c r="K10" s="13" t="s">
        <v>56</v>
      </c>
      <c r="L10" s="14" t="str">
        <f t="shared" si="2"/>
        <v>55M / 60H</v>
      </c>
      <c r="M10" s="15" t="s">
        <v>56</v>
      </c>
      <c r="N10" s="16">
        <v>0</v>
      </c>
      <c r="O10" s="16">
        <v>0</v>
      </c>
      <c r="P10" s="16">
        <v>0</v>
      </c>
      <c r="Q10" s="17">
        <v>0</v>
      </c>
      <c r="R10" s="14" t="str">
        <f t="shared" si="3"/>
        <v>55M / 60H</v>
      </c>
      <c r="S10" s="15" t="s">
        <v>56</v>
      </c>
      <c r="T10" s="16">
        <v>0</v>
      </c>
      <c r="U10" s="16">
        <v>0</v>
      </c>
      <c r="V10" s="16">
        <v>0</v>
      </c>
      <c r="W10" s="17">
        <v>0</v>
      </c>
      <c r="AG10" s="8">
        <v>2023</v>
      </c>
      <c r="AH10" s="87">
        <f>'Transição 9 H e 13 M Anos'!AH10</f>
        <v>60.82</v>
      </c>
      <c r="AI10" s="88">
        <f>'Transição 9 H e 13 M Anos'!AI10</f>
        <v>56.48</v>
      </c>
    </row>
    <row r="11" spans="2:35" ht="15" customHeight="1" thickBot="1">
      <c r="B11" s="8">
        <v>2016</v>
      </c>
      <c r="C11" s="38">
        <f>'Transição 9 H e 13 M Anos'!C11</f>
        <v>137321</v>
      </c>
      <c r="D11" s="38">
        <f>'Transição 9 H e 13 M Anos'!D11</f>
        <v>845348</v>
      </c>
      <c r="E11" s="10">
        <f t="shared" si="0"/>
        <v>0.16244315950354174</v>
      </c>
      <c r="F11" s="38">
        <f>'Transição 9 H e 13 M Anos'!F11</f>
        <v>168089</v>
      </c>
      <c r="G11" s="38">
        <f>'Transição 9 H e 13 M Anos'!G11</f>
        <v>1155913</v>
      </c>
      <c r="H11" s="10">
        <f t="shared" si="1"/>
        <v>0.14541665332944606</v>
      </c>
      <c r="I11" s="86">
        <f>'Transição 9 H e 13 M Anos'!I11</f>
        <v>880</v>
      </c>
      <c r="J11" s="10">
        <f>'Transição 9 H e 13 M Anos'!J11</f>
        <v>6.5799999999999997E-2</v>
      </c>
      <c r="K11" s="13" t="s">
        <v>56</v>
      </c>
      <c r="L11" s="14" t="str">
        <f t="shared" si="2"/>
        <v>55M / 60H</v>
      </c>
      <c r="M11" s="15" t="s">
        <v>56</v>
      </c>
      <c r="N11" s="16">
        <v>0</v>
      </c>
      <c r="O11" s="16">
        <v>0</v>
      </c>
      <c r="P11" s="16">
        <v>0</v>
      </c>
      <c r="Q11" s="17">
        <v>0</v>
      </c>
      <c r="R11" s="14" t="str">
        <f t="shared" si="3"/>
        <v>55M / 60H</v>
      </c>
      <c r="S11" s="15" t="s">
        <v>56</v>
      </c>
      <c r="T11" s="16">
        <v>0</v>
      </c>
      <c r="U11" s="16">
        <v>0</v>
      </c>
      <c r="V11" s="16">
        <v>0</v>
      </c>
      <c r="W11" s="17">
        <v>0</v>
      </c>
      <c r="AC11" s="62" t="s">
        <v>128</v>
      </c>
      <c r="AD11" s="62"/>
      <c r="AE11" s="62"/>
      <c r="AG11" s="8">
        <v>2024</v>
      </c>
      <c r="AH11" s="87">
        <f>'Transição 9 H e 13 M Anos'!AH11</f>
        <v>60.79</v>
      </c>
      <c r="AI11" s="88">
        <f>'Transição 9 H e 13 M Anos'!AI11</f>
        <v>56.58</v>
      </c>
    </row>
    <row r="12" spans="2:35" ht="15" customHeight="1" thickBot="1">
      <c r="B12" s="8">
        <v>2017</v>
      </c>
      <c r="C12" s="38">
        <f>'Transição 9 H e 13 M Anos'!C12</f>
        <v>143953</v>
      </c>
      <c r="D12" s="38">
        <f>'Transição 9 H e 13 M Anos'!D12</f>
        <v>872932</v>
      </c>
      <c r="E12" s="10">
        <f t="shared" si="0"/>
        <v>0.16490746129137207</v>
      </c>
      <c r="F12" s="38">
        <f>'Transição 9 H e 13 M Anos'!F12</f>
        <v>180043</v>
      </c>
      <c r="G12" s="38">
        <f>'Transição 9 H e 13 M Anos'!G12</f>
        <v>1186329</v>
      </c>
      <c r="H12" s="10">
        <f t="shared" si="1"/>
        <v>0.1517648139765613</v>
      </c>
      <c r="I12" s="86">
        <f>'Transição 9 H e 13 M Anos'!I12</f>
        <v>937</v>
      </c>
      <c r="J12" s="10">
        <f>'Transição 9 H e 13 M Anos'!J12</f>
        <v>2.0669E-2</v>
      </c>
      <c r="K12" s="13" t="s">
        <v>56</v>
      </c>
      <c r="L12" s="14" t="str">
        <f t="shared" si="2"/>
        <v>55M / 60H</v>
      </c>
      <c r="M12" s="15" t="s">
        <v>56</v>
      </c>
      <c r="N12" s="16">
        <v>0</v>
      </c>
      <c r="O12" s="16">
        <v>0</v>
      </c>
      <c r="P12" s="16">
        <v>0</v>
      </c>
      <c r="Q12" s="17">
        <v>0</v>
      </c>
      <c r="R12" s="14" t="str">
        <f t="shared" si="3"/>
        <v>55M / 60H</v>
      </c>
      <c r="S12" s="15" t="s">
        <v>56</v>
      </c>
      <c r="T12" s="16">
        <v>0</v>
      </c>
      <c r="U12" s="16">
        <v>0</v>
      </c>
      <c r="V12" s="16">
        <v>0</v>
      </c>
      <c r="W12" s="17">
        <v>0</v>
      </c>
      <c r="Y12" s="75" t="s">
        <v>70</v>
      </c>
      <c r="Z12" s="76"/>
      <c r="AA12" s="77"/>
      <c r="AC12" s="4" t="s">
        <v>62</v>
      </c>
      <c r="AD12" s="5" t="s">
        <v>63</v>
      </c>
      <c r="AE12" s="6" t="s">
        <v>64</v>
      </c>
      <c r="AG12" s="8">
        <v>2025</v>
      </c>
      <c r="AH12" s="87">
        <f>'Transição 9 H e 13 M Anos'!AH12</f>
        <v>60.72</v>
      </c>
      <c r="AI12" s="88">
        <f>'Transição 9 H e 13 M Anos'!AI12</f>
        <v>56.29</v>
      </c>
    </row>
    <row r="13" spans="2:35" ht="15" customHeight="1">
      <c r="B13" s="8">
        <v>2018</v>
      </c>
      <c r="C13" s="38">
        <f>'Transição 9 H e 13 M Anos'!C13</f>
        <v>128360</v>
      </c>
      <c r="D13" s="38">
        <f>'Transição 9 H e 13 M Anos'!D13</f>
        <v>900259</v>
      </c>
      <c r="E13" s="10">
        <f t="shared" si="0"/>
        <v>0.14258119052406029</v>
      </c>
      <c r="F13" s="38">
        <f>'Transição 9 H e 13 M Anos'!F13</f>
        <v>166897</v>
      </c>
      <c r="G13" s="38">
        <f>'Transição 9 H e 13 M Anos'!G13</f>
        <v>1211645</v>
      </c>
      <c r="H13" s="10">
        <f t="shared" si="1"/>
        <v>0.13774414122948553</v>
      </c>
      <c r="I13" s="86">
        <f>'Transição 9 H e 13 M Anos'!I13</f>
        <v>954</v>
      </c>
      <c r="J13" s="10">
        <f>'Transição 9 H e 13 M Anos'!J13</f>
        <v>3.4340000000000002E-2</v>
      </c>
      <c r="K13" s="13" t="s">
        <v>56</v>
      </c>
      <c r="L13" s="14" t="str">
        <f t="shared" si="2"/>
        <v>55M / 60H</v>
      </c>
      <c r="M13" s="15" t="s">
        <v>56</v>
      </c>
      <c r="N13" s="16">
        <v>0</v>
      </c>
      <c r="O13" s="16">
        <v>0</v>
      </c>
      <c r="P13" s="16">
        <v>0</v>
      </c>
      <c r="Q13" s="17">
        <v>0</v>
      </c>
      <c r="R13" s="14" t="str">
        <f t="shared" si="3"/>
        <v>55M / 60H</v>
      </c>
      <c r="S13" s="15" t="s">
        <v>56</v>
      </c>
      <c r="T13" s="16">
        <v>0</v>
      </c>
      <c r="U13" s="16">
        <v>0</v>
      </c>
      <c r="V13" s="16">
        <v>0</v>
      </c>
      <c r="W13" s="17">
        <v>0</v>
      </c>
      <c r="Y13" s="4" t="s">
        <v>71</v>
      </c>
      <c r="Z13" s="5" t="s">
        <v>65</v>
      </c>
      <c r="AA13" s="6" t="s">
        <v>66</v>
      </c>
      <c r="AC13" s="8" t="str">
        <f>'Transição 9 H e 13 M Anos'!AC8</f>
        <v>Transição de 9 anos (H) e 13 anos (M)</v>
      </c>
      <c r="AD13" s="18">
        <f>'Transição 9 H e 13 M Anos'!AD8</f>
        <v>15394883169.044863</v>
      </c>
      <c r="AE13" s="19">
        <f>'Transição 9 H e 13 M Anos'!AE8</f>
        <v>1967451264564.7085</v>
      </c>
      <c r="AG13" s="28" t="s">
        <v>72</v>
      </c>
      <c r="AH13" s="29">
        <f>AVERAGE(AH7:AH12)</f>
        <v>60.734999999999992</v>
      </c>
      <c r="AI13" s="30">
        <f>AVERAGE(AI7:AI12)</f>
        <v>56.330000000000005</v>
      </c>
    </row>
    <row r="14" spans="2:35" ht="15" customHeight="1" thickBot="1">
      <c r="B14" s="8">
        <v>2019</v>
      </c>
      <c r="C14" s="38">
        <f>'Transição 9 H e 13 M Anos'!C14</f>
        <v>112392</v>
      </c>
      <c r="D14" s="38">
        <f>'Transição 9 H e 13 M Anos'!D14</f>
        <v>927304</v>
      </c>
      <c r="E14" s="10">
        <f t="shared" si="0"/>
        <v>0.12120297119391267</v>
      </c>
      <c r="F14" s="38">
        <f>'Transição 9 H e 13 M Anos'!F14</f>
        <v>146999</v>
      </c>
      <c r="G14" s="38">
        <f>'Transição 9 H e 13 M Anos'!G14</f>
        <v>1238650</v>
      </c>
      <c r="H14" s="10">
        <f t="shared" si="1"/>
        <v>0.11867678520970411</v>
      </c>
      <c r="I14" s="86">
        <f>'Transição 9 H e 13 M Anos'!I14</f>
        <v>998</v>
      </c>
      <c r="J14" s="10">
        <f>'Transição 9 H e 13 M Anos'!J14</f>
        <v>4.4816000000000002E-2</v>
      </c>
      <c r="K14" s="13" t="s">
        <v>56</v>
      </c>
      <c r="L14" s="14" t="str">
        <f t="shared" si="2"/>
        <v>55M / 60H</v>
      </c>
      <c r="M14" s="15" t="s">
        <v>56</v>
      </c>
      <c r="N14" s="16">
        <v>0</v>
      </c>
      <c r="O14" s="16">
        <v>0</v>
      </c>
      <c r="P14" s="16">
        <v>0</v>
      </c>
      <c r="Q14" s="17">
        <v>0</v>
      </c>
      <c r="R14" s="14" t="str">
        <f t="shared" si="3"/>
        <v>55M / 60H</v>
      </c>
      <c r="S14" s="15" t="s">
        <v>56</v>
      </c>
      <c r="T14" s="16">
        <v>0</v>
      </c>
      <c r="U14" s="16">
        <v>0</v>
      </c>
      <c r="V14" s="16">
        <v>0</v>
      </c>
      <c r="W14" s="17">
        <v>0</v>
      </c>
      <c r="Y14" s="25" t="s">
        <v>73</v>
      </c>
      <c r="Z14" s="34">
        <f>'Transição 9 H e 13 M Anos'!Z14</f>
        <v>60</v>
      </c>
      <c r="AA14" s="35">
        <f>'Transição 9 H e 13 M Anos'!AA14</f>
        <v>55</v>
      </c>
      <c r="AC14" s="8" t="str">
        <f>AC8</f>
        <v>Transição Uniforme de 10 anos (H e M)</v>
      </c>
      <c r="AD14" s="18">
        <f>AD8</f>
        <v>17664393827.728172</v>
      </c>
      <c r="AE14" s="19">
        <f>AE8</f>
        <v>2026357124035.1006</v>
      </c>
      <c r="AG14" s="22" t="s">
        <v>74</v>
      </c>
      <c r="AH14" s="33">
        <f>AH13</f>
        <v>60.734999999999992</v>
      </c>
      <c r="AI14" s="83">
        <f>AI13</f>
        <v>56.330000000000005</v>
      </c>
    </row>
    <row r="15" spans="2:35" ht="15" customHeight="1">
      <c r="B15" s="8">
        <v>2020</v>
      </c>
      <c r="C15" s="38">
        <f>'Transição 9 H e 13 M Anos'!C15</f>
        <v>125151</v>
      </c>
      <c r="D15" s="38">
        <f>'Transição 9 H e 13 M Anos'!D15</f>
        <v>952510</v>
      </c>
      <c r="E15" s="10">
        <f t="shared" si="0"/>
        <v>0.13139074655384195</v>
      </c>
      <c r="F15" s="38">
        <f>'Transição 9 H e 13 M Anos'!F15</f>
        <v>154416</v>
      </c>
      <c r="G15" s="38">
        <f>'Transição 9 H e 13 M Anos'!G15</f>
        <v>1259472</v>
      </c>
      <c r="H15" s="10">
        <f t="shared" si="1"/>
        <v>0.12260375776515874</v>
      </c>
      <c r="I15" s="86">
        <f>'Transição 9 H e 13 M Anos'!I15</f>
        <v>1045</v>
      </c>
      <c r="J15" s="10">
        <f>'Transição 9 H e 13 M Anos'!J15</f>
        <v>5.4473000000000001E-2</v>
      </c>
      <c r="K15" s="13" t="s">
        <v>56</v>
      </c>
      <c r="L15" s="14" t="str">
        <f t="shared" si="2"/>
        <v>55M / 60H</v>
      </c>
      <c r="M15" s="15" t="s">
        <v>56</v>
      </c>
      <c r="N15" s="16">
        <v>0</v>
      </c>
      <c r="O15" s="16">
        <v>0</v>
      </c>
      <c r="P15" s="16">
        <v>0</v>
      </c>
      <c r="Q15" s="17">
        <v>0</v>
      </c>
      <c r="R15" s="14" t="str">
        <f t="shared" si="3"/>
        <v>55M / 60H</v>
      </c>
      <c r="S15" s="15" t="s">
        <v>56</v>
      </c>
      <c r="T15" s="16">
        <v>0</v>
      </c>
      <c r="U15" s="16">
        <v>0</v>
      </c>
      <c r="V15" s="16">
        <v>0</v>
      </c>
      <c r="W15" s="17">
        <v>0</v>
      </c>
      <c r="Y15" s="25" t="s">
        <v>75</v>
      </c>
      <c r="Z15" s="34">
        <f>'Transição 9 H e 13 M Anos'!Z15</f>
        <v>65</v>
      </c>
      <c r="AA15" s="35">
        <f>'Transição 9 H e 13 M Anos'!AA15</f>
        <v>62</v>
      </c>
      <c r="AC15" s="22" t="s">
        <v>129</v>
      </c>
      <c r="AD15" s="23">
        <f>AD14-AD13</f>
        <v>2269510658.6833096</v>
      </c>
      <c r="AE15" s="82">
        <f>AE14-AE13</f>
        <v>58905859470.39209</v>
      </c>
      <c r="AG15" s="24" t="s">
        <v>76</v>
      </c>
    </row>
    <row r="16" spans="2:35" ht="15" customHeight="1">
      <c r="B16" s="8">
        <v>2021</v>
      </c>
      <c r="C16" s="38">
        <f>'Transição 9 H e 13 M Anos'!C16</f>
        <v>144418</v>
      </c>
      <c r="D16" s="38">
        <f>'Transição 9 H e 13 M Anos'!D16</f>
        <v>974702</v>
      </c>
      <c r="E16" s="10">
        <f t="shared" si="0"/>
        <v>0.1481663113443904</v>
      </c>
      <c r="F16" s="38">
        <f>'Transição 9 H e 13 M Anos'!F16</f>
        <v>177797</v>
      </c>
      <c r="G16" s="38">
        <f>'Transição 9 H e 13 M Anos'!G16</f>
        <v>1271298</v>
      </c>
      <c r="H16" s="10">
        <f t="shared" si="1"/>
        <v>0.13985469968488898</v>
      </c>
      <c r="I16" s="86">
        <f>'Transição 9 H e 13 M Anos'!I16</f>
        <v>1100</v>
      </c>
      <c r="J16" s="10">
        <f>'Transição 9 H e 13 M Anos'!J16</f>
        <v>0.101602</v>
      </c>
      <c r="K16" s="13" t="s">
        <v>56</v>
      </c>
      <c r="L16" s="14" t="str">
        <f t="shared" si="2"/>
        <v>55M / 60H</v>
      </c>
      <c r="M16" s="15" t="s">
        <v>56</v>
      </c>
      <c r="N16" s="16">
        <v>0</v>
      </c>
      <c r="O16" s="16">
        <v>0</v>
      </c>
      <c r="P16" s="16">
        <v>0</v>
      </c>
      <c r="Q16" s="17">
        <v>0</v>
      </c>
      <c r="R16" s="14" t="str">
        <f t="shared" si="3"/>
        <v>55M / 60H</v>
      </c>
      <c r="S16" s="15" t="s">
        <v>56</v>
      </c>
      <c r="T16" s="16">
        <v>0</v>
      </c>
      <c r="U16" s="16">
        <v>0</v>
      </c>
      <c r="V16" s="16">
        <v>0</v>
      </c>
      <c r="W16" s="17">
        <v>0</v>
      </c>
      <c r="Y16" s="25" t="s">
        <v>77</v>
      </c>
      <c r="Z16" s="31">
        <f>AH14</f>
        <v>60.734999999999992</v>
      </c>
      <c r="AA16" s="32">
        <f>AI14</f>
        <v>56.330000000000005</v>
      </c>
      <c r="AC16" s="24" t="str">
        <f>IF($Z$6='Transição 9 H e 13 M Anos'!$Z$6,"Seletores iguais nas duas abas.","ATENÇÃO: seletores distintos; comparação entre bases de Δ diferentes.")</f>
        <v>Seletores iguais nas duas abas.</v>
      </c>
      <c r="AG16" s="36" t="s">
        <v>78</v>
      </c>
    </row>
    <row r="17" spans="2:27" ht="15" customHeight="1">
      <c r="B17" s="8">
        <v>2022</v>
      </c>
      <c r="C17" s="38">
        <f>'Transição 9 H e 13 M Anos'!C17</f>
        <v>181243</v>
      </c>
      <c r="D17" s="38">
        <f>'Transição 9 H e 13 M Anos'!D17</f>
        <v>996419</v>
      </c>
      <c r="E17" s="10">
        <f t="shared" si="0"/>
        <v>0.18189436371646867</v>
      </c>
      <c r="F17" s="38">
        <f>'Transição 9 H e 13 M Anos'!F17</f>
        <v>219393</v>
      </c>
      <c r="G17" s="38">
        <f>'Transição 9 H e 13 M Anos'!G17</f>
        <v>1278635</v>
      </c>
      <c r="H17" s="10">
        <f t="shared" si="1"/>
        <v>0.1715837592432555</v>
      </c>
      <c r="I17" s="86">
        <f>'Transição 9 H e 13 M Anos'!I17</f>
        <v>1212</v>
      </c>
      <c r="J17" s="10">
        <f>'Transição 9 H e 13 M Anos'!J17</f>
        <v>5.9324000000000002E-2</v>
      </c>
      <c r="K17" s="13" t="s">
        <v>56</v>
      </c>
      <c r="L17" s="14" t="str">
        <f t="shared" si="2"/>
        <v>55M / 60H</v>
      </c>
      <c r="M17" s="15" t="s">
        <v>56</v>
      </c>
      <c r="N17" s="16">
        <v>0</v>
      </c>
      <c r="O17" s="16">
        <v>0</v>
      </c>
      <c r="P17" s="16">
        <v>0</v>
      </c>
      <c r="Q17" s="17">
        <v>0</v>
      </c>
      <c r="R17" s="14" t="str">
        <f t="shared" si="3"/>
        <v>55M / 60H</v>
      </c>
      <c r="S17" s="15" t="s">
        <v>56</v>
      </c>
      <c r="T17" s="16">
        <v>0</v>
      </c>
      <c r="U17" s="16">
        <v>0</v>
      </c>
      <c r="V17" s="16">
        <v>0</v>
      </c>
      <c r="W17" s="17">
        <v>0</v>
      </c>
      <c r="Y17" s="25" t="s">
        <v>79</v>
      </c>
      <c r="Z17" s="34">
        <f>IF($Z$6="Idade média efetiva",ROUND(12*(Z16-Z14),0),0)</f>
        <v>9</v>
      </c>
      <c r="AA17" s="35">
        <f>IF($Z$6="Idade média efetiva",ROUND(12*(AA16-AA14),0),0)</f>
        <v>16</v>
      </c>
    </row>
    <row r="18" spans="2:27" ht="15" customHeight="1">
      <c r="B18" s="8">
        <v>2023</v>
      </c>
      <c r="C18" s="38">
        <f>'Transição 9 H e 13 M Anos'!C18</f>
        <v>198543</v>
      </c>
      <c r="D18" s="38">
        <f>'Transição 9 H e 13 M Anos'!D18</f>
        <v>1018596</v>
      </c>
      <c r="E18" s="10">
        <f t="shared" si="0"/>
        <v>0.19491829930610369</v>
      </c>
      <c r="F18" s="38">
        <f>'Transição 9 H e 13 M Anos'!F18</f>
        <v>240257</v>
      </c>
      <c r="G18" s="38">
        <f>'Transição 9 H e 13 M Anos'!G18</f>
        <v>1286407</v>
      </c>
      <c r="H18" s="10">
        <f t="shared" si="1"/>
        <v>0.18676593022270557</v>
      </c>
      <c r="I18" s="86">
        <f>'Transição 9 H e 13 M Anos'!I18</f>
        <v>1320</v>
      </c>
      <c r="J18" s="10">
        <f>'Transição 9 H e 13 M Anos'!J18</f>
        <v>3.7069999999999999E-2</v>
      </c>
      <c r="K18" s="13" t="s">
        <v>56</v>
      </c>
      <c r="L18" s="14" t="str">
        <f t="shared" si="2"/>
        <v>55M / 60H</v>
      </c>
      <c r="M18" s="15" t="s">
        <v>56</v>
      </c>
      <c r="N18" s="16">
        <v>0</v>
      </c>
      <c r="O18" s="16">
        <v>0</v>
      </c>
      <c r="P18" s="16">
        <v>0</v>
      </c>
      <c r="Q18" s="17">
        <v>0</v>
      </c>
      <c r="R18" s="14" t="str">
        <f t="shared" si="3"/>
        <v>55M / 60H</v>
      </c>
      <c r="S18" s="15" t="s">
        <v>56</v>
      </c>
      <c r="T18" s="16">
        <v>0</v>
      </c>
      <c r="U18" s="16">
        <v>0</v>
      </c>
      <c r="V18" s="16">
        <v>0</v>
      </c>
      <c r="W18" s="17">
        <v>0</v>
      </c>
      <c r="Y18" s="25" t="s">
        <v>80</v>
      </c>
      <c r="Z18" s="89">
        <f>'Transição 9 H e 13 M Anos'!Z18</f>
        <v>2027</v>
      </c>
      <c r="AA18" s="72"/>
    </row>
    <row r="19" spans="2:27" ht="15" customHeight="1">
      <c r="B19" s="8">
        <v>2024</v>
      </c>
      <c r="C19" s="38">
        <f>'Transição 9 H e 13 M Anos'!C19</f>
        <v>180610</v>
      </c>
      <c r="D19" s="38">
        <f>'Transição 9 H e 13 M Anos'!D19</f>
        <v>1041403</v>
      </c>
      <c r="E19" s="10">
        <f t="shared" si="0"/>
        <v>0.17342949847465391</v>
      </c>
      <c r="F19" s="38">
        <f>'Transição 9 H e 13 M Anos'!F19</f>
        <v>211739</v>
      </c>
      <c r="G19" s="38">
        <f>'Transição 9 H e 13 M Anos'!G19</f>
        <v>1296107</v>
      </c>
      <c r="H19" s="10">
        <f t="shared" si="1"/>
        <v>0.1633653702973597</v>
      </c>
      <c r="I19" s="86">
        <f>'Transição 9 H e 13 M Anos'!I19</f>
        <v>1412</v>
      </c>
      <c r="J19" s="10">
        <f>'Transição 9 H e 13 M Anos'!J19</f>
        <v>4.7699999999999999E-2</v>
      </c>
      <c r="K19" s="13" t="s">
        <v>56</v>
      </c>
      <c r="L19" s="14" t="str">
        <f t="shared" si="2"/>
        <v>55M / 60H</v>
      </c>
      <c r="M19" s="15" t="s">
        <v>56</v>
      </c>
      <c r="N19" s="16">
        <v>0</v>
      </c>
      <c r="O19" s="16">
        <v>0</v>
      </c>
      <c r="P19" s="16">
        <v>0</v>
      </c>
      <c r="Q19" s="17">
        <v>0</v>
      </c>
      <c r="R19" s="14" t="str">
        <f t="shared" si="3"/>
        <v>55M / 60H</v>
      </c>
      <c r="S19" s="15" t="s">
        <v>56</v>
      </c>
      <c r="T19" s="16">
        <v>0</v>
      </c>
      <c r="U19" s="16">
        <v>0</v>
      </c>
      <c r="V19" s="16">
        <v>0</v>
      </c>
      <c r="W19" s="17">
        <v>0</v>
      </c>
      <c r="Y19" s="25" t="s">
        <v>130</v>
      </c>
      <c r="Z19" s="71">
        <v>10</v>
      </c>
      <c r="AA19" s="72"/>
    </row>
    <row r="20" spans="2:27" ht="15" customHeight="1" thickBot="1">
      <c r="B20" s="8">
        <v>2025</v>
      </c>
      <c r="C20" s="38">
        <f t="shared" ref="C20:C55" si="4">D20*E20</f>
        <v>176201.88968424601</v>
      </c>
      <c r="D20" s="38">
        <f>'Transição 9 H e 13 M Anos'!D20</f>
        <v>1061714</v>
      </c>
      <c r="E20" s="10">
        <f t="shared" ref="E20:E55" si="5">AVERAGE($E$15:$E$19)</f>
        <v>0.16595984387909174</v>
      </c>
      <c r="F20" s="38">
        <f t="shared" ref="F20:F55" si="6">G20*H20</f>
        <v>205285.49154251546</v>
      </c>
      <c r="G20" s="38">
        <f>'Transição 9 H e 13 M Anos'!G20</f>
        <v>1308929</v>
      </c>
      <c r="H20" s="10">
        <f t="shared" ref="H20:H55" si="7">AVERAGE($H$15:$H$19)</f>
        <v>0.15683470344267372</v>
      </c>
      <c r="I20" s="86">
        <f>'Transição 9 H e 13 M Anos'!I20</f>
        <v>1518</v>
      </c>
      <c r="J20" s="10">
        <f>'Transição 9 H e 13 M Anos'!J20</f>
        <v>3.9E-2</v>
      </c>
      <c r="K20" s="13" t="s">
        <v>56</v>
      </c>
      <c r="L20" s="14" t="str">
        <f t="shared" si="2"/>
        <v>55M / 60H</v>
      </c>
      <c r="M20" s="15" t="s">
        <v>56</v>
      </c>
      <c r="N20" s="16">
        <v>0</v>
      </c>
      <c r="O20" s="16">
        <v>0</v>
      </c>
      <c r="P20" s="16">
        <v>0</v>
      </c>
      <c r="Q20" s="17">
        <v>0</v>
      </c>
      <c r="R20" s="14" t="str">
        <f t="shared" si="3"/>
        <v>55M / 60H</v>
      </c>
      <c r="S20" s="15" t="s">
        <v>56</v>
      </c>
      <c r="T20" s="16">
        <v>0</v>
      </c>
      <c r="U20" s="16">
        <v>0</v>
      </c>
      <c r="V20" s="16">
        <v>0</v>
      </c>
      <c r="W20" s="17">
        <v>0</v>
      </c>
      <c r="Y20" s="37" t="s">
        <v>82</v>
      </c>
      <c r="Z20" s="90">
        <f>'Transição 9 H e 13 M Anos'!Z20</f>
        <v>13</v>
      </c>
      <c r="AA20" s="74"/>
    </row>
    <row r="21" spans="2:27" ht="15" customHeight="1">
      <c r="B21" s="8">
        <v>2026</v>
      </c>
      <c r="C21" s="38">
        <f t="shared" si="4"/>
        <v>178600.83922751827</v>
      </c>
      <c r="D21" s="38">
        <f>'Transição 9 H e 13 M Anos'!D21</f>
        <v>1076169</v>
      </c>
      <c r="E21" s="10">
        <f t="shared" si="5"/>
        <v>0.16595984387909174</v>
      </c>
      <c r="F21" s="38">
        <f t="shared" si="6"/>
        <v>207827.46841591434</v>
      </c>
      <c r="G21" s="38">
        <f>'Transição 9 H e 13 M Anos'!G21</f>
        <v>1325137</v>
      </c>
      <c r="H21" s="10">
        <f t="shared" si="7"/>
        <v>0.15683470344267372</v>
      </c>
      <c r="I21" s="86">
        <f>'Transição 9 H e 13 M Anos'!I21</f>
        <v>1621</v>
      </c>
      <c r="J21" s="10">
        <f>'Transição 9 H e 13 M Anos'!J21</f>
        <v>3.7600000000000001E-2</v>
      </c>
      <c r="K21" s="41">
        <f>'Transição 9 H e 13 M Anos'!K21</f>
        <v>1</v>
      </c>
      <c r="L21" s="14" t="str">
        <f t="shared" si="2"/>
        <v>55M / 60H</v>
      </c>
      <c r="M21" s="15" t="s">
        <v>56</v>
      </c>
      <c r="N21" s="16">
        <v>0</v>
      </c>
      <c r="O21" s="16">
        <v>0</v>
      </c>
      <c r="P21" s="16">
        <v>0</v>
      </c>
      <c r="Q21" s="17">
        <v>0</v>
      </c>
      <c r="R21" s="14" t="str">
        <f t="shared" si="3"/>
        <v>55M / 60H</v>
      </c>
      <c r="S21" s="15" t="s">
        <v>56</v>
      </c>
      <c r="T21" s="16">
        <v>0</v>
      </c>
      <c r="U21" s="16">
        <v>0</v>
      </c>
      <c r="V21" s="16">
        <v>0</v>
      </c>
      <c r="W21" s="17">
        <v>0</v>
      </c>
      <c r="Y21" s="24" t="s">
        <v>131</v>
      </c>
    </row>
    <row r="22" spans="2:27" ht="15" customHeight="1">
      <c r="B22" s="8">
        <v>2027</v>
      </c>
      <c r="C22" s="38">
        <f t="shared" si="4"/>
        <v>180313.87673603828</v>
      </c>
      <c r="D22" s="38">
        <f>'Transição 9 H e 13 M Anos'!D22</f>
        <v>1086491</v>
      </c>
      <c r="E22" s="10">
        <f t="shared" si="5"/>
        <v>0.16595984387909174</v>
      </c>
      <c r="F22" s="38">
        <f t="shared" si="6"/>
        <v>210859.08323346122</v>
      </c>
      <c r="G22" s="38">
        <f>'Transição 9 H e 13 M Anos'!G22</f>
        <v>1344467</v>
      </c>
      <c r="H22" s="10">
        <f t="shared" si="7"/>
        <v>0.15683470344267372</v>
      </c>
      <c r="I22" s="86">
        <f>'Transição 9 H e 13 M Anos'!I22</f>
        <v>1716.9631999999999</v>
      </c>
      <c r="J22" s="10">
        <f>'Transição 9 H e 13 M Anos'!J22</f>
        <v>3.0599999999999999E-2</v>
      </c>
      <c r="K22" s="41">
        <f t="shared" ref="K22:K55" si="8">K21*(1+J22)</f>
        <v>1.0306</v>
      </c>
      <c r="L22" s="14" t="str">
        <f t="shared" si="2"/>
        <v>62M / 65H</v>
      </c>
      <c r="M22" s="38">
        <f t="shared" ref="M22:M55" si="9">SUMPRODUCT(($B$120:$B$1751="Sem Transição")*$F$120:$F$1751*((ABS(((12*($B22-$D$120:$D$1751+1)-$E$120:$E$1751+1)-$G$120:$G$1751))-ABS(((12*($B22-$D$120:$D$1751+1)-$E$120:$E$1751+1)-$G$120:$G$1751)-12))-(ABS(((12*($B22-$D$120:$D$1751+1)-$E$120:$E$1751+1)-$S$120:$S$1751))-ABS(((12*($B22-$D$120:$D$1751+1)-$E$120:$E$1751+1)-$S$120:$S$1751)-12)))/2)*$Z$20/12</f>
        <v>97670.016565354075</v>
      </c>
      <c r="N22" s="16">
        <f t="shared" ref="N22:N55" si="10">M22*I22</f>
        <v>167695824.18610334</v>
      </c>
      <c r="O22" s="16">
        <f>SUM(N$22:N22)</f>
        <v>167695824.18610334</v>
      </c>
      <c r="P22" s="42">
        <f t="shared" ref="P22:P55" si="11">N22/$K22</f>
        <v>162716693.36901158</v>
      </c>
      <c r="Q22" s="43">
        <f>SUM(P$22:P22)</f>
        <v>162716693.36901158</v>
      </c>
      <c r="R22" s="14" t="str">
        <f t="shared" si="3"/>
        <v>55,7M / 60,5H</v>
      </c>
      <c r="S22" s="38">
        <f t="shared" ref="S22:S55" si="12">SUMPRODUCT(($B$120:$B$1751="Com Transição")*$F$120:$F$1751*((ABS(((12*($B22-$D$120:$D$1751+1)-$E$120:$E$1751+1)-$G$120:$G$1751))-ABS(((12*($B22-$D$120:$D$1751+1)-$E$120:$E$1751+1)-$G$120:$G$1751)-12))-(ABS(((12*($B22-$D$120:$D$1751+1)-$E$120:$E$1751+1)-$S$120:$S$1751))-ABS(((12*($B22-$D$120:$D$1751+1)-$E$120:$E$1751+1)-$S$120:$S$1751)-12)))/2)*$Z$20/12</f>
        <v>0</v>
      </c>
      <c r="T22" s="16">
        <f t="shared" ref="T22:T55" si="13">S22*I22</f>
        <v>0</v>
      </c>
      <c r="U22" s="16">
        <f>SUM(T$22:T22)</f>
        <v>0</v>
      </c>
      <c r="V22" s="42">
        <f t="shared" ref="V22:V55" si="14">T22/$K22</f>
        <v>0</v>
      </c>
      <c r="W22" s="43">
        <f>SUM(V$22:V22)</f>
        <v>0</v>
      </c>
      <c r="Y22" s="36" t="s">
        <v>132</v>
      </c>
    </row>
    <row r="23" spans="2:27" ht="15" customHeight="1">
      <c r="B23" s="8">
        <v>2028</v>
      </c>
      <c r="C23" s="38">
        <f t="shared" si="4"/>
        <v>181823.44747596249</v>
      </c>
      <c r="D23" s="38">
        <f>'Transição 9 H e 13 M Anos'!D23</f>
        <v>1095587</v>
      </c>
      <c r="E23" s="10">
        <f t="shared" si="5"/>
        <v>0.16595984387909174</v>
      </c>
      <c r="F23" s="38">
        <f t="shared" si="6"/>
        <v>213564.01136373699</v>
      </c>
      <c r="G23" s="38">
        <f>'Transição 9 H e 13 M Anos'!G23</f>
        <v>1361714</v>
      </c>
      <c r="H23" s="10">
        <f t="shared" si="7"/>
        <v>0.15683470344267372</v>
      </c>
      <c r="I23" s="86">
        <f>'Transição 9 H e 13 M Anos'!I23</f>
        <v>1811.9112649599999</v>
      </c>
      <c r="J23" s="10">
        <f>'Transição 9 H e 13 M Anos'!J23</f>
        <v>0.03</v>
      </c>
      <c r="K23" s="41">
        <f t="shared" si="8"/>
        <v>1.061518</v>
      </c>
      <c r="L23" s="14" t="str">
        <f t="shared" si="2"/>
        <v>62M / 65H</v>
      </c>
      <c r="M23" s="38">
        <f t="shared" si="9"/>
        <v>2541840.0194012686</v>
      </c>
      <c r="N23" s="16">
        <f t="shared" si="10"/>
        <v>4605588564.879303</v>
      </c>
      <c r="O23" s="16">
        <f>SUM(N$22:N23)</f>
        <v>4773284389.0654068</v>
      </c>
      <c r="P23" s="42">
        <f t="shared" si="11"/>
        <v>4338681553.0959463</v>
      </c>
      <c r="Q23" s="43">
        <f>SUM(P$22:P23)</f>
        <v>4501398246.4649582</v>
      </c>
      <c r="R23" s="14" t="str">
        <f t="shared" si="3"/>
        <v>56,4M / 61H</v>
      </c>
      <c r="S23" s="38">
        <f t="shared" si="12"/>
        <v>690289.89092885063</v>
      </c>
      <c r="T23" s="16">
        <f t="shared" si="13"/>
        <v>1250744029.4619942</v>
      </c>
      <c r="U23" s="16">
        <f>SUM(T$22:T23)</f>
        <v>1250744029.4619942</v>
      </c>
      <c r="V23" s="42">
        <f t="shared" si="14"/>
        <v>1178259840.588661</v>
      </c>
      <c r="W23" s="43">
        <f>SUM(V$22:V23)</f>
        <v>1178259840.588661</v>
      </c>
    </row>
    <row r="24" spans="2:27" ht="15" customHeight="1">
      <c r="B24" s="8">
        <v>2029</v>
      </c>
      <c r="C24" s="38">
        <f t="shared" si="4"/>
        <v>183806.0037709421</v>
      </c>
      <c r="D24" s="38">
        <f>'Transição 9 H e 13 M Anos'!D24</f>
        <v>1107533</v>
      </c>
      <c r="E24" s="10">
        <f t="shared" si="5"/>
        <v>0.16595984387909174</v>
      </c>
      <c r="F24" s="38">
        <f t="shared" si="6"/>
        <v>216512.66062316272</v>
      </c>
      <c r="G24" s="38">
        <f>'Transição 9 H e 13 M Anos'!G24</f>
        <v>1380515</v>
      </c>
      <c r="H24" s="10">
        <f t="shared" si="7"/>
        <v>0.15683470344267372</v>
      </c>
      <c r="I24" s="86">
        <f>'Transição 9 H e 13 M Anos'!I24</f>
        <v>1912.8347224182701</v>
      </c>
      <c r="J24" s="10">
        <f>'Transição 9 H e 13 M Anos'!J24</f>
        <v>0.03</v>
      </c>
      <c r="K24" s="41">
        <f t="shared" si="8"/>
        <v>1.0933635399999999</v>
      </c>
      <c r="L24" s="14" t="str">
        <f t="shared" si="2"/>
        <v>62M / 65H</v>
      </c>
      <c r="M24" s="38">
        <f t="shared" si="9"/>
        <v>7537456.378050738</v>
      </c>
      <c r="N24" s="16">
        <f t="shared" si="10"/>
        <v>14417908278.648502</v>
      </c>
      <c r="O24" s="16">
        <f>SUM(N$22:N24)</f>
        <v>19191192667.713909</v>
      </c>
      <c r="P24" s="42">
        <f t="shared" si="11"/>
        <v>13186746906.384407</v>
      </c>
      <c r="Q24" s="43">
        <f>SUM(P$22:P24)</f>
        <v>17688145152.849365</v>
      </c>
      <c r="R24" s="14" t="str">
        <f t="shared" si="3"/>
        <v>57,1M / 61,5H</v>
      </c>
      <c r="S24" s="38">
        <f t="shared" si="12"/>
        <v>3059295.4188695545</v>
      </c>
      <c r="T24" s="16">
        <f t="shared" si="13"/>
        <v>5851926503.3488293</v>
      </c>
      <c r="U24" s="16">
        <f>SUM(T$22:T24)</f>
        <v>7102670532.8108234</v>
      </c>
      <c r="V24" s="42">
        <f t="shared" si="14"/>
        <v>5352223930.3396101</v>
      </c>
      <c r="W24" s="43">
        <f>SUM(V$22:V24)</f>
        <v>6530483770.9282713</v>
      </c>
      <c r="Y24" s="39"/>
    </row>
    <row r="25" spans="2:27" ht="15" customHeight="1">
      <c r="B25" s="8">
        <v>2030</v>
      </c>
      <c r="C25" s="38">
        <f t="shared" si="4"/>
        <v>186296.89506772341</v>
      </c>
      <c r="D25" s="38">
        <f>'Transição 9 H e 13 M Anos'!D25</f>
        <v>1122542</v>
      </c>
      <c r="E25" s="10">
        <f t="shared" si="5"/>
        <v>0.16595984387909174</v>
      </c>
      <c r="F25" s="38">
        <f t="shared" si="6"/>
        <v>221038.75332981485</v>
      </c>
      <c r="G25" s="38">
        <f>'Transição 9 H e 13 M Anos'!G25</f>
        <v>1409374</v>
      </c>
      <c r="H25" s="10">
        <f t="shared" si="7"/>
        <v>0.15683470344267372</v>
      </c>
      <c r="I25" s="86">
        <f>'Transição 9 H e 13 M Anos'!I25</f>
        <v>2019.7621834014501</v>
      </c>
      <c r="J25" s="10">
        <f>'Transição 9 H e 13 M Anos'!J25</f>
        <v>0.03</v>
      </c>
      <c r="K25" s="41">
        <f t="shared" si="8"/>
        <v>1.1261644462</v>
      </c>
      <c r="L25" s="14" t="str">
        <f t="shared" si="2"/>
        <v>62M / 65H</v>
      </c>
      <c r="M25" s="38">
        <f t="shared" si="9"/>
        <v>12706290.440317875</v>
      </c>
      <c r="N25" s="16">
        <f t="shared" si="10"/>
        <v>25663684922.669403</v>
      </c>
      <c r="O25" s="16">
        <f>SUM(N$22:N25)</f>
        <v>44854877590.383316</v>
      </c>
      <c r="P25" s="42">
        <f t="shared" si="11"/>
        <v>22788576756.499458</v>
      </c>
      <c r="Q25" s="43">
        <f>SUM(P$22:P25)</f>
        <v>40476721909.348824</v>
      </c>
      <c r="R25" s="14" t="str">
        <f t="shared" si="3"/>
        <v>57,8M / 62H</v>
      </c>
      <c r="S25" s="38">
        <f t="shared" si="12"/>
        <v>6207965.3516636239</v>
      </c>
      <c r="T25" s="16">
        <f t="shared" si="13"/>
        <v>12538613653.156672</v>
      </c>
      <c r="U25" s="16">
        <f>SUM(T$22:T25)</f>
        <v>19641284185.967495</v>
      </c>
      <c r="V25" s="42">
        <f t="shared" si="14"/>
        <v>11133910056.799902</v>
      </c>
      <c r="W25" s="43">
        <f>SUM(V$22:V25)</f>
        <v>17664393827.728172</v>
      </c>
      <c r="Y25" s="39"/>
    </row>
    <row r="26" spans="2:27" ht="15" customHeight="1">
      <c r="B26" s="8">
        <v>2031</v>
      </c>
      <c r="C26" s="38">
        <f t="shared" si="4"/>
        <v>189167.33652745618</v>
      </c>
      <c r="D26" s="38">
        <f>'Transição 9 H e 13 M Anos'!D26</f>
        <v>1139838</v>
      </c>
      <c r="E26" s="10">
        <f t="shared" si="5"/>
        <v>0.16595984387909174</v>
      </c>
      <c r="F26" s="38">
        <f t="shared" si="6"/>
        <v>227465.99631159904</v>
      </c>
      <c r="G26" s="38">
        <f>'Transição 9 H e 13 M Anos'!G26</f>
        <v>1450355</v>
      </c>
      <c r="H26" s="10">
        <f t="shared" si="7"/>
        <v>0.15683470344267372</v>
      </c>
      <c r="I26" s="86">
        <f>'Transição 9 H e 13 M Anos'!I26</f>
        <v>2132.2629370169202</v>
      </c>
      <c r="J26" s="10">
        <f>'Transição 9 H e 13 M Anos'!J26</f>
        <v>0.03</v>
      </c>
      <c r="K26" s="41">
        <f t="shared" si="8"/>
        <v>1.1599493795860001</v>
      </c>
      <c r="L26" s="14" t="str">
        <f t="shared" si="2"/>
        <v>62M / 65H</v>
      </c>
      <c r="M26" s="38">
        <f t="shared" si="9"/>
        <v>17949386.706323303</v>
      </c>
      <c r="N26" s="16">
        <f t="shared" si="10"/>
        <v>38272812016.077393</v>
      </c>
      <c r="O26" s="16">
        <f>SUM(N$22:N26)</f>
        <v>83127689606.460709</v>
      </c>
      <c r="P26" s="42">
        <f t="shared" si="11"/>
        <v>32995243318.06395</v>
      </c>
      <c r="Q26" s="43">
        <f>SUM(P$22:P26)</f>
        <v>73471965227.412781</v>
      </c>
      <c r="R26" s="14" t="str">
        <f t="shared" si="3"/>
        <v>58,5M / 62,5H</v>
      </c>
      <c r="S26" s="38">
        <f t="shared" si="12"/>
        <v>9496444.99250287</v>
      </c>
      <c r="T26" s="16">
        <f t="shared" si="13"/>
        <v>20248917690.933796</v>
      </c>
      <c r="U26" s="16">
        <f>SUM(T$22:T26)</f>
        <v>39890201876.901291</v>
      </c>
      <c r="V26" s="42">
        <f t="shared" si="14"/>
        <v>17456725308.2724</v>
      </c>
      <c r="W26" s="43">
        <f>SUM(V$22:V26)</f>
        <v>35121119136.000572</v>
      </c>
      <c r="Y26" s="39"/>
    </row>
    <row r="27" spans="2:27" ht="15" customHeight="1">
      <c r="B27" s="8">
        <v>2032</v>
      </c>
      <c r="C27" s="38">
        <f t="shared" si="4"/>
        <v>192404.21732247397</v>
      </c>
      <c r="D27" s="38">
        <f>'Transição 9 H e 13 M Anos'!D27</f>
        <v>1159342</v>
      </c>
      <c r="E27" s="10">
        <f t="shared" si="5"/>
        <v>0.16595984387909174</v>
      </c>
      <c r="F27" s="38">
        <f t="shared" si="6"/>
        <v>235068.87223038953</v>
      </c>
      <c r="G27" s="38">
        <f>'Transição 9 H e 13 M Anos'!G27</f>
        <v>1498832</v>
      </c>
      <c r="H27" s="10">
        <f t="shared" si="7"/>
        <v>0.15683470344267372</v>
      </c>
      <c r="I27" s="86">
        <f>'Transição 9 H e 13 M Anos'!I27</f>
        <v>2251.0299826087598</v>
      </c>
      <c r="J27" s="10">
        <f>'Transição 9 H e 13 M Anos'!J27</f>
        <v>0.03</v>
      </c>
      <c r="K27" s="41">
        <f t="shared" si="8"/>
        <v>1.1947478609735802</v>
      </c>
      <c r="L27" s="14" t="str">
        <f t="shared" si="2"/>
        <v>62M / 65H</v>
      </c>
      <c r="M27" s="38">
        <f t="shared" si="9"/>
        <v>22023216.940946076</v>
      </c>
      <c r="N27" s="16">
        <f t="shared" si="10"/>
        <v>49574921647.566788</v>
      </c>
      <c r="O27" s="16">
        <f>SUM(N$22:N27)</f>
        <v>132702611254.0275</v>
      </c>
      <c r="P27" s="42">
        <f t="shared" si="11"/>
        <v>41494045117.744766</v>
      </c>
      <c r="Q27" s="43">
        <f>SUM(P$22:P27)</f>
        <v>114966010345.15755</v>
      </c>
      <c r="R27" s="14" t="str">
        <f t="shared" si="3"/>
        <v>59,2M / 63H</v>
      </c>
      <c r="S27" s="38">
        <f t="shared" si="12"/>
        <v>12719802.368721282</v>
      </c>
      <c r="T27" s="16">
        <f t="shared" si="13"/>
        <v>28632656504.849529</v>
      </c>
      <c r="U27" s="16">
        <f>SUM(T$22:T27)</f>
        <v>68522858381.750824</v>
      </c>
      <c r="V27" s="42">
        <f t="shared" si="14"/>
        <v>23965438600.172302</v>
      </c>
      <c r="W27" s="43">
        <f>SUM(V$22:V27)</f>
        <v>59086557736.172874</v>
      </c>
      <c r="Y27" s="39"/>
    </row>
    <row r="28" spans="2:27" ht="15" customHeight="1">
      <c r="B28" s="8">
        <v>2033</v>
      </c>
      <c r="C28" s="38">
        <f t="shared" si="4"/>
        <v>195333.74048662771</v>
      </c>
      <c r="D28" s="38">
        <f>'Transição 9 H e 13 M Anos'!D28</f>
        <v>1176994</v>
      </c>
      <c r="E28" s="10">
        <f t="shared" si="5"/>
        <v>0.16595984387909174</v>
      </c>
      <c r="F28" s="38">
        <f t="shared" si="6"/>
        <v>243047.05359451837</v>
      </c>
      <c r="G28" s="38">
        <f>'Transição 9 H e 13 M Anos'!G28</f>
        <v>1549702</v>
      </c>
      <c r="H28" s="10">
        <f t="shared" si="7"/>
        <v>0.15683470344267372</v>
      </c>
      <c r="I28" s="86">
        <f>'Transição 9 H e 13 M Anos'!I28</f>
        <v>2361.7806577531101</v>
      </c>
      <c r="J28" s="10">
        <f>'Transição 9 H e 13 M Anos'!J28</f>
        <v>0.03</v>
      </c>
      <c r="K28" s="41">
        <f t="shared" si="8"/>
        <v>1.2305902968027878</v>
      </c>
      <c r="L28" s="14" t="str">
        <f t="shared" si="2"/>
        <v>62M / 65H</v>
      </c>
      <c r="M28" s="38">
        <f t="shared" si="9"/>
        <v>25139114.312577937</v>
      </c>
      <c r="N28" s="16">
        <f t="shared" si="10"/>
        <v>59373073936.490944</v>
      </c>
      <c r="O28" s="16">
        <f>SUM(N$22:N28)</f>
        <v>192075685190.51843</v>
      </c>
      <c r="P28" s="42">
        <f t="shared" si="11"/>
        <v>48247637000.510147</v>
      </c>
      <c r="Q28" s="43">
        <f>SUM(P$22:P28)</f>
        <v>163213647345.66769</v>
      </c>
      <c r="R28" s="14" t="str">
        <f t="shared" si="3"/>
        <v>59,9M / 63,5H</v>
      </c>
      <c r="S28" s="38">
        <f t="shared" si="12"/>
        <v>16142358.783312127</v>
      </c>
      <c r="T28" s="16">
        <f t="shared" si="13"/>
        <v>38124710744.937607</v>
      </c>
      <c r="U28" s="16">
        <f>SUM(T$22:T28)</f>
        <v>106647569126.68843</v>
      </c>
      <c r="V28" s="42">
        <f t="shared" si="14"/>
        <v>30980831592.76479</v>
      </c>
      <c r="W28" s="43">
        <f>SUM(V$22:V28)</f>
        <v>90067389328.937668</v>
      </c>
      <c r="Y28" s="39"/>
    </row>
    <row r="29" spans="2:27" ht="15" customHeight="1">
      <c r="B29" s="8">
        <v>2034</v>
      </c>
      <c r="C29" s="38">
        <f t="shared" si="4"/>
        <v>198579.91503290273</v>
      </c>
      <c r="D29" s="38">
        <f>'Transição 9 H e 13 M Anos'!D29</f>
        <v>1196554</v>
      </c>
      <c r="E29" s="10">
        <f t="shared" si="5"/>
        <v>0.16595984387909174</v>
      </c>
      <c r="F29" s="38">
        <f t="shared" si="6"/>
        <v>250194.79520391821</v>
      </c>
      <c r="G29" s="38">
        <f>'Transição 9 H e 13 M Anos'!G29</f>
        <v>1595277</v>
      </c>
      <c r="H29" s="10">
        <f t="shared" si="7"/>
        <v>0.15683470344267372</v>
      </c>
      <c r="I29" s="86">
        <f>'Transição 9 H e 13 M Anos'!I29</f>
        <v>2476.7993757856798</v>
      </c>
      <c r="J29" s="10">
        <f>'Transição 9 H e 13 M Anos'!J29</f>
        <v>0.03</v>
      </c>
      <c r="K29" s="41">
        <f t="shared" si="8"/>
        <v>1.2675080057068715</v>
      </c>
      <c r="L29" s="14" t="str">
        <f t="shared" si="2"/>
        <v>62M / 65H</v>
      </c>
      <c r="M29" s="38">
        <f t="shared" si="9"/>
        <v>26885931.841605339</v>
      </c>
      <c r="N29" s="16">
        <f t="shared" si="10"/>
        <v>66591059202.704437</v>
      </c>
      <c r="O29" s="16">
        <f>SUM(N$22:N29)</f>
        <v>258666744393.22287</v>
      </c>
      <c r="P29" s="42">
        <f t="shared" si="11"/>
        <v>52536992983.778069</v>
      </c>
      <c r="Q29" s="43">
        <f>SUM(P$22:P29)</f>
        <v>215750640329.44577</v>
      </c>
      <c r="R29" s="14" t="str">
        <f t="shared" si="3"/>
        <v>60,6M / 64H</v>
      </c>
      <c r="S29" s="38">
        <f t="shared" si="12"/>
        <v>19763917.668009583</v>
      </c>
      <c r="T29" s="16">
        <f t="shared" si="13"/>
        <v>48951258943.205704</v>
      </c>
      <c r="U29" s="16">
        <f>SUM(T$22:T29)</f>
        <v>155598828069.89413</v>
      </c>
      <c r="V29" s="42">
        <f t="shared" si="14"/>
        <v>38620078707.831329</v>
      </c>
      <c r="W29" s="43">
        <f>SUM(V$22:V29)</f>
        <v>128687468036.769</v>
      </c>
      <c r="Y29" s="39"/>
    </row>
    <row r="30" spans="2:27" ht="15" customHeight="1">
      <c r="B30" s="8">
        <v>2035</v>
      </c>
      <c r="C30" s="38">
        <f t="shared" si="4"/>
        <v>203288.85964312809</v>
      </c>
      <c r="D30" s="38">
        <f>'Transição 9 H e 13 M Anos'!D30</f>
        <v>1224928</v>
      </c>
      <c r="E30" s="10">
        <f t="shared" si="5"/>
        <v>0.16595984387909174</v>
      </c>
      <c r="F30" s="38">
        <f t="shared" si="6"/>
        <v>255651.38820609573</v>
      </c>
      <c r="G30" s="38">
        <f>'Transição 9 H e 13 M Anos'!G30</f>
        <v>1630069</v>
      </c>
      <c r="H30" s="10">
        <f t="shared" si="7"/>
        <v>0.15683470344267372</v>
      </c>
      <c r="I30" s="86">
        <f>'Transição 9 H e 13 M Anos'!I30</f>
        <v>2596.4287856361302</v>
      </c>
      <c r="J30" s="10">
        <f>'Transição 9 H e 13 M Anos'!J30</f>
        <v>0.03</v>
      </c>
      <c r="K30" s="41">
        <f t="shared" si="8"/>
        <v>1.3055332458780777</v>
      </c>
      <c r="L30" s="14" t="str">
        <f t="shared" si="2"/>
        <v>62M / 65H</v>
      </c>
      <c r="M30" s="38">
        <f t="shared" si="9"/>
        <v>27470758.330619186</v>
      </c>
      <c r="N30" s="16">
        <f t="shared" si="10"/>
        <v>71325867692.873184</v>
      </c>
      <c r="O30" s="16">
        <f>SUM(N$22:N30)</f>
        <v>329992612086.09607</v>
      </c>
      <c r="P30" s="42">
        <f t="shared" si="11"/>
        <v>54633513101.308052</v>
      </c>
      <c r="Q30" s="43">
        <f>SUM(P$22:P30)</f>
        <v>270384153430.75381</v>
      </c>
      <c r="R30" s="14" t="str">
        <f t="shared" si="3"/>
        <v>61,3M / 64,5H</v>
      </c>
      <c r="S30" s="38">
        <f t="shared" si="12"/>
        <v>23439569.418085445</v>
      </c>
      <c r="T30" s="16">
        <f t="shared" si="13"/>
        <v>60859172760.033363</v>
      </c>
      <c r="U30" s="16">
        <f>SUM(T$22:T30)</f>
        <v>216458000829.92749</v>
      </c>
      <c r="V30" s="42">
        <f t="shared" si="14"/>
        <v>46616333174.342567</v>
      </c>
      <c r="W30" s="43">
        <f>SUM(V$22:V30)</f>
        <v>175303801211.11157</v>
      </c>
      <c r="Y30" s="39"/>
    </row>
    <row r="31" spans="2:27" ht="15" customHeight="1">
      <c r="B31" s="8">
        <v>2036</v>
      </c>
      <c r="C31" s="38">
        <f t="shared" si="4"/>
        <v>209615.41485164294</v>
      </c>
      <c r="D31" s="38">
        <f>'Transição 9 H e 13 M Anos'!D31</f>
        <v>1263049</v>
      </c>
      <c r="E31" s="10">
        <f t="shared" si="5"/>
        <v>0.16595984387909174</v>
      </c>
      <c r="F31" s="38">
        <f t="shared" si="6"/>
        <v>258603.01732488684</v>
      </c>
      <c r="G31" s="38">
        <f>'Transição 9 H e 13 M Anos'!G31</f>
        <v>1648889</v>
      </c>
      <c r="H31" s="10">
        <f t="shared" si="7"/>
        <v>0.15683470344267372</v>
      </c>
      <c r="I31" s="86">
        <f>'Transição 9 H e 13 M Anos'!I31</f>
        <v>2720.27843871098</v>
      </c>
      <c r="J31" s="10">
        <f>'Transição 9 H e 13 M Anos'!J31</f>
        <v>0.03</v>
      </c>
      <c r="K31" s="41">
        <f t="shared" si="8"/>
        <v>1.34469924325442</v>
      </c>
      <c r="L31" s="14" t="str">
        <f t="shared" si="2"/>
        <v>62M / 65H</v>
      </c>
      <c r="M31" s="38">
        <f t="shared" si="9"/>
        <v>28128863.010847759</v>
      </c>
      <c r="N31" s="16">
        <f t="shared" si="10"/>
        <v>76518339553.863983</v>
      </c>
      <c r="O31" s="16">
        <f>SUM(N$22:N31)</f>
        <v>406510951639.96008</v>
      </c>
      <c r="P31" s="42">
        <f t="shared" si="11"/>
        <v>56903683063.489716</v>
      </c>
      <c r="Q31" s="43">
        <f>SUM(P$22:P31)</f>
        <v>327287836494.24353</v>
      </c>
      <c r="R31" s="14" t="str">
        <f t="shared" si="3"/>
        <v>62M / 65H</v>
      </c>
      <c r="S31" s="38">
        <f t="shared" si="12"/>
        <v>27325403.017169397</v>
      </c>
      <c r="T31" s="16">
        <f t="shared" si="13"/>
        <v>74332704656.693878</v>
      </c>
      <c r="U31" s="16">
        <f>SUM(T$22:T31)</f>
        <v>290790705486.62134</v>
      </c>
      <c r="V31" s="42">
        <f t="shared" si="14"/>
        <v>55278312254.266632</v>
      </c>
      <c r="W31" s="43">
        <f>SUM(V$22:V31)</f>
        <v>230582113465.3782</v>
      </c>
      <c r="Y31" s="39"/>
    </row>
    <row r="32" spans="2:27" ht="15" customHeight="1">
      <c r="B32" s="8">
        <v>2037</v>
      </c>
      <c r="C32" s="38">
        <f t="shared" si="4"/>
        <v>216931.75456905269</v>
      </c>
      <c r="D32" s="38">
        <f>'Transição 9 H e 13 M Anos'!D32</f>
        <v>1307134</v>
      </c>
      <c r="E32" s="10">
        <f t="shared" si="5"/>
        <v>0.16595984387909174</v>
      </c>
      <c r="F32" s="38">
        <f t="shared" si="6"/>
        <v>259555.4744788942</v>
      </c>
      <c r="G32" s="38">
        <f>'Transição 9 H e 13 M Anos'!G32</f>
        <v>1654962</v>
      </c>
      <c r="H32" s="10">
        <f t="shared" si="7"/>
        <v>0.15683470344267372</v>
      </c>
      <c r="I32" s="86">
        <f>'Transição 9 H e 13 M Anos'!I32</f>
        <v>2848.6755810181298</v>
      </c>
      <c r="J32" s="10">
        <f>'Transição 9 H e 13 M Anos'!J32</f>
        <v>0.03</v>
      </c>
      <c r="K32" s="41">
        <f t="shared" si="8"/>
        <v>1.3850402205520527</v>
      </c>
      <c r="L32" s="14" t="str">
        <f t="shared" si="2"/>
        <v>62M / 65H</v>
      </c>
      <c r="M32" s="38">
        <f t="shared" si="9"/>
        <v>28838866.068911865</v>
      </c>
      <c r="N32" s="16">
        <f t="shared" si="10"/>
        <v>82152573554.761536</v>
      </c>
      <c r="O32" s="16">
        <f>SUM(N$22:N32)</f>
        <v>488663525194.72162</v>
      </c>
      <c r="P32" s="42">
        <f t="shared" si="11"/>
        <v>59314215093.347229</v>
      </c>
      <c r="Q32" s="43">
        <f>SUM(P$22:P32)</f>
        <v>386602051587.59076</v>
      </c>
      <c r="R32" s="14" t="str">
        <f t="shared" si="3"/>
        <v>62M / 65H</v>
      </c>
      <c r="S32" s="38">
        <f t="shared" si="12"/>
        <v>28838866.068911865</v>
      </c>
      <c r="T32" s="16">
        <f t="shared" si="13"/>
        <v>82152573554.761536</v>
      </c>
      <c r="U32" s="16">
        <f>SUM(T$22:T32)</f>
        <v>372943279041.38287</v>
      </c>
      <c r="V32" s="42">
        <f t="shared" si="14"/>
        <v>59314215093.347229</v>
      </c>
      <c r="W32" s="43">
        <f>SUM(V$22:V32)</f>
        <v>289896328558.72546</v>
      </c>
      <c r="Y32" s="39"/>
    </row>
    <row r="33" spans="2:25" ht="15" customHeight="1">
      <c r="B33" s="8">
        <v>2038</v>
      </c>
      <c r="C33" s="38">
        <f t="shared" si="4"/>
        <v>224518.11095245375</v>
      </c>
      <c r="D33" s="38">
        <f>'Transição 9 H e 13 M Anos'!D33</f>
        <v>1352846</v>
      </c>
      <c r="E33" s="10">
        <f t="shared" si="5"/>
        <v>0.16595984387909174</v>
      </c>
      <c r="F33" s="38">
        <f t="shared" si="6"/>
        <v>260004.02173074023</v>
      </c>
      <c r="G33" s="38">
        <f>'Transição 9 H e 13 M Anos'!G33</f>
        <v>1657822</v>
      </c>
      <c r="H33" s="10">
        <f t="shared" si="7"/>
        <v>0.15683470344267372</v>
      </c>
      <c r="I33" s="86">
        <f>'Transição 9 H e 13 M Anos'!I33</f>
        <v>2980.8541279773799</v>
      </c>
      <c r="J33" s="10">
        <f>'Transição 9 H e 13 M Anos'!J33</f>
        <v>0.03</v>
      </c>
      <c r="K33" s="41">
        <f t="shared" si="8"/>
        <v>1.4265914271686142</v>
      </c>
      <c r="L33" s="14" t="str">
        <f t="shared" si="2"/>
        <v>62M / 65H</v>
      </c>
      <c r="M33" s="38">
        <f t="shared" si="9"/>
        <v>29562000.115712944</v>
      </c>
      <c r="N33" s="16">
        <f t="shared" si="10"/>
        <v>88120010076.19072</v>
      </c>
      <c r="O33" s="16">
        <f>SUM(N$22:N33)</f>
        <v>576783535270.91235</v>
      </c>
      <c r="P33" s="42">
        <f t="shared" si="11"/>
        <v>61769619807.041985</v>
      </c>
      <c r="Q33" s="43">
        <f>SUM(P$22:P33)</f>
        <v>448371671394.63275</v>
      </c>
      <c r="R33" s="14" t="str">
        <f t="shared" si="3"/>
        <v>62M / 65H</v>
      </c>
      <c r="S33" s="38">
        <f t="shared" si="12"/>
        <v>29562000.115712944</v>
      </c>
      <c r="T33" s="16">
        <f t="shared" si="13"/>
        <v>88120010076.19072</v>
      </c>
      <c r="U33" s="16">
        <f>SUM(T$22:T33)</f>
        <v>461063289117.57361</v>
      </c>
      <c r="V33" s="42">
        <f t="shared" si="14"/>
        <v>61769619807.041985</v>
      </c>
      <c r="W33" s="43">
        <f>SUM(V$22:V33)</f>
        <v>351665948365.76746</v>
      </c>
      <c r="Y33" s="39"/>
    </row>
    <row r="34" spans="2:25" ht="15" customHeight="1">
      <c r="B34" s="8">
        <v>2039</v>
      </c>
      <c r="C34" s="38">
        <f t="shared" si="4"/>
        <v>231423.20217673111</v>
      </c>
      <c r="D34" s="38">
        <f>'Transição 9 H e 13 M Anos'!D34</f>
        <v>1394453</v>
      </c>
      <c r="E34" s="10">
        <f t="shared" si="5"/>
        <v>0.16595984387909174</v>
      </c>
      <c r="F34" s="38">
        <f t="shared" si="6"/>
        <v>260414.30131494626</v>
      </c>
      <c r="G34" s="38">
        <f>'Transição 9 H e 13 M Anos'!G34</f>
        <v>1660438</v>
      </c>
      <c r="H34" s="10">
        <f t="shared" si="7"/>
        <v>0.15683470344267372</v>
      </c>
      <c r="I34" s="86">
        <f>'Transição 9 H e 13 M Anos'!I34</f>
        <v>3117.9734178643398</v>
      </c>
      <c r="J34" s="10">
        <f>'Transição 9 H e 13 M Anos'!J34</f>
        <v>0.03</v>
      </c>
      <c r="K34" s="41">
        <f t="shared" si="8"/>
        <v>1.4693891699836727</v>
      </c>
      <c r="L34" s="14" t="str">
        <f t="shared" si="2"/>
        <v>62M / 65H</v>
      </c>
      <c r="M34" s="38">
        <f t="shared" si="9"/>
        <v>30262191.21469586</v>
      </c>
      <c r="N34" s="16">
        <f t="shared" si="10"/>
        <v>94356707773.749451</v>
      </c>
      <c r="O34" s="16">
        <f>SUM(N$22:N34)</f>
        <v>671140243044.66187</v>
      </c>
      <c r="P34" s="42">
        <f t="shared" si="11"/>
        <v>64214919846.454224</v>
      </c>
      <c r="Q34" s="43">
        <f>SUM(P$22:P34)</f>
        <v>512586591241.08698</v>
      </c>
      <c r="R34" s="14" t="str">
        <f t="shared" si="3"/>
        <v>62M / 65H</v>
      </c>
      <c r="S34" s="38">
        <f t="shared" si="12"/>
        <v>30262191.21469586</v>
      </c>
      <c r="T34" s="16">
        <f t="shared" si="13"/>
        <v>94356707773.749451</v>
      </c>
      <c r="U34" s="16">
        <f>SUM(T$22:T34)</f>
        <v>555419996891.323</v>
      </c>
      <c r="V34" s="42">
        <f t="shared" si="14"/>
        <v>64214919846.454224</v>
      </c>
      <c r="W34" s="43">
        <f>SUM(V$22:V34)</f>
        <v>415880868212.22168</v>
      </c>
      <c r="Y34" s="39"/>
    </row>
    <row r="35" spans="2:25" ht="15" customHeight="1">
      <c r="B35" s="8">
        <v>2040</v>
      </c>
      <c r="C35" s="38">
        <f t="shared" si="4"/>
        <v>236972.56743636017</v>
      </c>
      <c r="D35" s="38">
        <f>'Transição 9 H e 13 M Anos'!D35</f>
        <v>1427891</v>
      </c>
      <c r="E35" s="10">
        <f t="shared" si="5"/>
        <v>0.16595984387909174</v>
      </c>
      <c r="F35" s="38">
        <f t="shared" si="6"/>
        <v>259758.73225455589</v>
      </c>
      <c r="G35" s="38">
        <f>'Transição 9 H e 13 M Anos'!G35</f>
        <v>1656258</v>
      </c>
      <c r="H35" s="10">
        <f t="shared" si="7"/>
        <v>0.15683470344267372</v>
      </c>
      <c r="I35" s="86">
        <f>'Transição 9 H e 13 M Anos'!I35</f>
        <v>3259.84120837716</v>
      </c>
      <c r="J35" s="10">
        <f>'Transição 9 H e 13 M Anos'!J35</f>
        <v>0.03</v>
      </c>
      <c r="K35" s="41">
        <f t="shared" si="8"/>
        <v>1.5134708450831831</v>
      </c>
      <c r="L35" s="14" t="str">
        <f t="shared" si="2"/>
        <v>62M / 65H</v>
      </c>
      <c r="M35" s="38">
        <f t="shared" si="9"/>
        <v>30905627.184258103</v>
      </c>
      <c r="N35" s="16">
        <f t="shared" si="10"/>
        <v>100747437065.98595</v>
      </c>
      <c r="O35" s="16">
        <f>SUM(N$22:N35)</f>
        <v>771887680110.64783</v>
      </c>
      <c r="P35" s="42">
        <f t="shared" si="11"/>
        <v>66567147555.755318</v>
      </c>
      <c r="Q35" s="43">
        <f>SUM(P$22:P35)</f>
        <v>579153738796.84229</v>
      </c>
      <c r="R35" s="14" t="str">
        <f t="shared" si="3"/>
        <v>62M / 65H</v>
      </c>
      <c r="S35" s="38">
        <f t="shared" si="12"/>
        <v>30905627.184258103</v>
      </c>
      <c r="T35" s="16">
        <f t="shared" si="13"/>
        <v>100747437065.98595</v>
      </c>
      <c r="U35" s="16">
        <f>SUM(T$22:T35)</f>
        <v>656167433957.30896</v>
      </c>
      <c r="V35" s="42">
        <f t="shared" si="14"/>
        <v>66567147555.755318</v>
      </c>
      <c r="W35" s="43">
        <f>SUM(V$22:V35)</f>
        <v>482448015767.97699</v>
      </c>
      <c r="Y35" s="39"/>
    </row>
    <row r="36" spans="2:25" ht="15" customHeight="1">
      <c r="B36" s="8">
        <v>2041</v>
      </c>
      <c r="C36" s="38">
        <f t="shared" si="4"/>
        <v>240439.46857499442</v>
      </c>
      <c r="D36" s="38">
        <f>'Transição 9 H e 13 M Anos'!D36</f>
        <v>1448781</v>
      </c>
      <c r="E36" s="10">
        <f t="shared" si="5"/>
        <v>0.16595984387909174</v>
      </c>
      <c r="F36" s="38">
        <f t="shared" si="6"/>
        <v>257874.67696209907</v>
      </c>
      <c r="G36" s="38">
        <f>'Transição 9 H e 13 M Anos'!G36</f>
        <v>1644245</v>
      </c>
      <c r="H36" s="10">
        <f t="shared" si="7"/>
        <v>0.15683470344267372</v>
      </c>
      <c r="I36" s="86">
        <f>'Transição 9 H e 13 M Anos'!I36</f>
        <v>3406.53406275414</v>
      </c>
      <c r="J36" s="10">
        <f>'Transição 9 H e 13 M Anos'!J36</f>
        <v>0.03</v>
      </c>
      <c r="K36" s="41">
        <f t="shared" si="8"/>
        <v>1.5588749704356786</v>
      </c>
      <c r="L36" s="14" t="str">
        <f t="shared" si="2"/>
        <v>62M / 65H</v>
      </c>
      <c r="M36" s="38">
        <f t="shared" si="9"/>
        <v>31455897.732644793</v>
      </c>
      <c r="N36" s="16">
        <f t="shared" si="10"/>
        <v>107155587100.76521</v>
      </c>
      <c r="O36" s="16">
        <f>SUM(N$22:N36)</f>
        <v>879043267211.41309</v>
      </c>
      <c r="P36" s="42">
        <f t="shared" si="11"/>
        <v>68739051644.928955</v>
      </c>
      <c r="Q36" s="43">
        <f>SUM(P$22:P36)</f>
        <v>647892790441.77124</v>
      </c>
      <c r="R36" s="14" t="str">
        <f t="shared" si="3"/>
        <v>62M / 65H</v>
      </c>
      <c r="S36" s="38">
        <f t="shared" si="12"/>
        <v>31455897.732644793</v>
      </c>
      <c r="T36" s="16">
        <f t="shared" si="13"/>
        <v>107155587100.76521</v>
      </c>
      <c r="U36" s="16">
        <f>SUM(T$22:T36)</f>
        <v>763323021058.07422</v>
      </c>
      <c r="V36" s="42">
        <f t="shared" si="14"/>
        <v>68739051644.928955</v>
      </c>
      <c r="W36" s="43">
        <f>SUM(V$22:V36)</f>
        <v>551187067412.90601</v>
      </c>
      <c r="Y36" s="39"/>
    </row>
    <row r="37" spans="2:25" ht="15" customHeight="1">
      <c r="B37" s="8">
        <v>2042</v>
      </c>
      <c r="C37" s="38">
        <f t="shared" si="4"/>
        <v>242206.4430327751</v>
      </c>
      <c r="D37" s="38">
        <f>'Transição 9 H e 13 M Anos'!D37</f>
        <v>1459428</v>
      </c>
      <c r="E37" s="10">
        <f t="shared" si="5"/>
        <v>0.16595984387909174</v>
      </c>
      <c r="F37" s="38">
        <f t="shared" si="6"/>
        <v>255152.18334503769</v>
      </c>
      <c r="G37" s="38">
        <f>'Transição 9 H e 13 M Anos'!G37</f>
        <v>1626886</v>
      </c>
      <c r="H37" s="10">
        <f t="shared" si="7"/>
        <v>0.15683470344267372</v>
      </c>
      <c r="I37" s="86">
        <f>'Transição 9 H e 13 M Anos'!I37</f>
        <v>3557.7841751404198</v>
      </c>
      <c r="J37" s="10">
        <f>'Transição 9 H e 13 M Anos'!J37</f>
        <v>0.03</v>
      </c>
      <c r="K37" s="41">
        <f t="shared" si="8"/>
        <v>1.6056412195487491</v>
      </c>
      <c r="L37" s="14" t="str">
        <f t="shared" ref="L37:L55" si="15">IF($B37&lt;$Z$18,$AA$14&amp;"M / "&amp;$Z$14&amp;"H",$AA$15&amp;"M / "&amp;$Z$15&amp;"H")</f>
        <v>62M / 65H</v>
      </c>
      <c r="M37" s="38">
        <f t="shared" si="9"/>
        <v>31874920.480810862</v>
      </c>
      <c r="N37" s="16">
        <f t="shared" si="10"/>
        <v>113404087670.48814</v>
      </c>
      <c r="O37" s="16">
        <f>SUM(N$22:N37)</f>
        <v>992447354881.90125</v>
      </c>
      <c r="P37" s="42">
        <f t="shared" si="11"/>
        <v>70628535372.528198</v>
      </c>
      <c r="Q37" s="43">
        <f>SUM(P$22:P37)</f>
        <v>718521325814.29944</v>
      </c>
      <c r="R37" s="14" t="str">
        <f t="shared" ref="R37:R55" si="16">IF($B37&lt;$Z$18,$AA$14&amp;"M / "&amp;$Z$14&amp;"H",ROUND($AA$14+INDEX($F$65:$F$108,$B37-2026)/12,1)&amp;"M / "&amp;ROUND($Z$14+INDEX($E$65:$E$108,$B37-2026)/12,1)&amp;"H")</f>
        <v>62M / 65H</v>
      </c>
      <c r="S37" s="38">
        <f t="shared" si="12"/>
        <v>31874920.480810862</v>
      </c>
      <c r="T37" s="16">
        <f t="shared" si="13"/>
        <v>113404087670.48814</v>
      </c>
      <c r="U37" s="16">
        <f>SUM(T$22:T37)</f>
        <v>876727108728.56238</v>
      </c>
      <c r="V37" s="42">
        <f t="shared" si="14"/>
        <v>70628535372.528198</v>
      </c>
      <c r="W37" s="43">
        <f>SUM(V$22:V37)</f>
        <v>621815602785.4342</v>
      </c>
      <c r="Y37" s="39"/>
    </row>
    <row r="38" spans="2:25" ht="15" customHeight="1">
      <c r="B38" s="8">
        <v>2043</v>
      </c>
      <c r="C38" s="38">
        <f t="shared" si="4"/>
        <v>243586.06721494198</v>
      </c>
      <c r="D38" s="38">
        <f>'Transição 9 H e 13 M Anos'!D38</f>
        <v>1467741</v>
      </c>
      <c r="E38" s="10">
        <f t="shared" si="5"/>
        <v>0.16595984387909174</v>
      </c>
      <c r="F38" s="38">
        <f t="shared" si="6"/>
        <v>251654.29895415573</v>
      </c>
      <c r="G38" s="38">
        <f>'Transição 9 H e 13 M Anos'!G38</f>
        <v>1604583</v>
      </c>
      <c r="H38" s="10">
        <f t="shared" si="7"/>
        <v>0.15683470344267372</v>
      </c>
      <c r="I38" s="86">
        <f>'Transição 9 H e 13 M Anos'!I38</f>
        <v>3713.9709004290798</v>
      </c>
      <c r="J38" s="10">
        <f>'Transição 9 H e 13 M Anos'!J38</f>
        <v>0.03</v>
      </c>
      <c r="K38" s="41">
        <f t="shared" si="8"/>
        <v>1.6538104561352116</v>
      </c>
      <c r="L38" s="14" t="str">
        <f t="shared" si="15"/>
        <v>62M / 65H</v>
      </c>
      <c r="M38" s="38">
        <f t="shared" si="9"/>
        <v>32145366.258561581</v>
      </c>
      <c r="N38" s="16">
        <f t="shared" si="10"/>
        <v>119386954867.93251</v>
      </c>
      <c r="O38" s="16">
        <f>SUM(N$22:N38)</f>
        <v>1111834309749.8337</v>
      </c>
      <c r="P38" s="42">
        <f t="shared" si="11"/>
        <v>72189019258.547806</v>
      </c>
      <c r="Q38" s="43">
        <f>SUM(P$22:P38)</f>
        <v>790710345072.84729</v>
      </c>
      <c r="R38" s="14" t="str">
        <f t="shared" si="16"/>
        <v>62M / 65H</v>
      </c>
      <c r="S38" s="38">
        <f t="shared" si="12"/>
        <v>32145366.258561581</v>
      </c>
      <c r="T38" s="16">
        <f t="shared" si="13"/>
        <v>119386954867.93251</v>
      </c>
      <c r="U38" s="16">
        <f>SUM(T$22:T38)</f>
        <v>996114063596.49487</v>
      </c>
      <c r="V38" s="42">
        <f t="shared" si="14"/>
        <v>72189019258.547806</v>
      </c>
      <c r="W38" s="43">
        <f>SUM(V$22:V38)</f>
        <v>694004622043.98206</v>
      </c>
      <c r="Y38" s="39"/>
    </row>
    <row r="39" spans="2:25" ht="15" customHeight="1">
      <c r="B39" s="8">
        <v>2044</v>
      </c>
      <c r="C39" s="38">
        <f t="shared" si="4"/>
        <v>244892.83502564597</v>
      </c>
      <c r="D39" s="38">
        <f>'Transição 9 H e 13 M Anos'!D39</f>
        <v>1475615</v>
      </c>
      <c r="E39" s="10">
        <f t="shared" si="5"/>
        <v>0.16595984387909174</v>
      </c>
      <c r="F39" s="38">
        <f t="shared" si="6"/>
        <v>248316.22912608186</v>
      </c>
      <c r="G39" s="38">
        <f>'Transição 9 H e 13 M Anos'!G39</f>
        <v>1583299</v>
      </c>
      <c r="H39" s="10">
        <f t="shared" si="7"/>
        <v>0.15683470344267372</v>
      </c>
      <c r="I39" s="86">
        <f>'Transição 9 H e 13 M Anos'!I39</f>
        <v>3875.5286345977502</v>
      </c>
      <c r="J39" s="10">
        <f>'Transição 9 H e 13 M Anos'!J39</f>
        <v>0.03</v>
      </c>
      <c r="K39" s="41">
        <f t="shared" si="8"/>
        <v>1.7034247698192679</v>
      </c>
      <c r="L39" s="14" t="str">
        <f t="shared" si="15"/>
        <v>62M / 65H</v>
      </c>
      <c r="M39" s="38">
        <f t="shared" si="9"/>
        <v>32279389.225483101</v>
      </c>
      <c r="N39" s="16">
        <f t="shared" si="10"/>
        <v>125099697250.68585</v>
      </c>
      <c r="O39" s="16">
        <f>SUM(N$22:N39)</f>
        <v>1236934007000.5195</v>
      </c>
      <c r="P39" s="42">
        <f t="shared" si="11"/>
        <v>73440106934.666</v>
      </c>
      <c r="Q39" s="43">
        <f>SUM(P$22:P39)</f>
        <v>864150452007.51331</v>
      </c>
      <c r="R39" s="14" t="str">
        <f t="shared" si="16"/>
        <v>62M / 65H</v>
      </c>
      <c r="S39" s="38">
        <f t="shared" si="12"/>
        <v>32279389.225483101</v>
      </c>
      <c r="T39" s="16">
        <f t="shared" si="13"/>
        <v>125099697250.68585</v>
      </c>
      <c r="U39" s="16">
        <f>SUM(T$22:T39)</f>
        <v>1121213760847.1807</v>
      </c>
      <c r="V39" s="42">
        <f t="shared" si="14"/>
        <v>73440106934.666</v>
      </c>
      <c r="W39" s="43">
        <f>SUM(V$22:V39)</f>
        <v>767444728978.64807</v>
      </c>
      <c r="Y39" s="39"/>
    </row>
    <row r="40" spans="2:25" ht="15" customHeight="1">
      <c r="B40" s="8">
        <v>2045</v>
      </c>
      <c r="C40" s="38">
        <f t="shared" si="4"/>
        <v>245117.04677472662</v>
      </c>
      <c r="D40" s="38">
        <f>'Transição 9 H e 13 M Anos'!D40</f>
        <v>1476966</v>
      </c>
      <c r="E40" s="10">
        <f t="shared" si="5"/>
        <v>0.16595984387909174</v>
      </c>
      <c r="F40" s="38">
        <f t="shared" si="6"/>
        <v>246159.90878844855</v>
      </c>
      <c r="G40" s="38">
        <f>'Transição 9 H e 13 M Anos'!G40</f>
        <v>1569550</v>
      </c>
      <c r="H40" s="10">
        <f t="shared" si="7"/>
        <v>0.15683470344267372</v>
      </c>
      <c r="I40" s="86">
        <f>'Transição 9 H e 13 M Anos'!I40</f>
        <v>4042.5639187489101</v>
      </c>
      <c r="J40" s="10">
        <f>'Transição 9 H e 13 M Anos'!J40</f>
        <v>0.03</v>
      </c>
      <c r="K40" s="41">
        <f t="shared" si="8"/>
        <v>1.754527512913846</v>
      </c>
      <c r="L40" s="14" t="str">
        <f t="shared" si="15"/>
        <v>62M / 65H</v>
      </c>
      <c r="M40" s="38">
        <f t="shared" si="9"/>
        <v>32296464.28317887</v>
      </c>
      <c r="N40" s="16">
        <f t="shared" si="10"/>
        <v>130560521214.34178</v>
      </c>
      <c r="O40" s="16">
        <f>SUM(N$22:N40)</f>
        <v>1367494528214.8613</v>
      </c>
      <c r="P40" s="42">
        <f t="shared" si="11"/>
        <v>74413493235.858307</v>
      </c>
      <c r="Q40" s="43">
        <f>SUM(P$22:P40)</f>
        <v>938563945243.37158</v>
      </c>
      <c r="R40" s="14" t="str">
        <f t="shared" si="16"/>
        <v>62M / 65H</v>
      </c>
      <c r="S40" s="38">
        <f t="shared" si="12"/>
        <v>32296464.28317887</v>
      </c>
      <c r="T40" s="16">
        <f t="shared" si="13"/>
        <v>130560521214.34178</v>
      </c>
      <c r="U40" s="16">
        <f>SUM(T$22:T40)</f>
        <v>1251774282061.5225</v>
      </c>
      <c r="V40" s="42">
        <f t="shared" si="14"/>
        <v>74413493235.858307</v>
      </c>
      <c r="W40" s="43">
        <f>SUM(V$22:V40)</f>
        <v>841858222214.50635</v>
      </c>
      <c r="Y40" s="39"/>
    </row>
    <row r="41" spans="2:25" ht="15" customHeight="1">
      <c r="B41" s="8">
        <v>2046</v>
      </c>
      <c r="C41" s="38">
        <f t="shared" si="4"/>
        <v>244020.71604606134</v>
      </c>
      <c r="D41" s="38">
        <f>'Transição 9 H e 13 M Anos'!D41</f>
        <v>1470360</v>
      </c>
      <c r="E41" s="10">
        <f t="shared" si="5"/>
        <v>0.16595984387909174</v>
      </c>
      <c r="F41" s="38">
        <f t="shared" si="6"/>
        <v>245733.4752297879</v>
      </c>
      <c r="G41" s="38">
        <f>'Transição 9 H e 13 M Anos'!G41</f>
        <v>1566831</v>
      </c>
      <c r="H41" s="10">
        <f t="shared" si="7"/>
        <v>0.15683470344267372</v>
      </c>
      <c r="I41" s="86">
        <f>'Transição 9 H e 13 M Anos'!I41</f>
        <v>4214.7771416876203</v>
      </c>
      <c r="J41" s="10">
        <f>'Transição 9 H e 13 M Anos'!J41</f>
        <v>0.03</v>
      </c>
      <c r="K41" s="41">
        <f t="shared" si="8"/>
        <v>1.8071633383012615</v>
      </c>
      <c r="L41" s="14" t="str">
        <f t="shared" si="15"/>
        <v>62M / 65H</v>
      </c>
      <c r="M41" s="38">
        <f t="shared" si="9"/>
        <v>32216576.942524064</v>
      </c>
      <c r="N41" s="16">
        <f t="shared" si="10"/>
        <v>135785692080.77087</v>
      </c>
      <c r="O41" s="16">
        <f>SUM(N$22:N41)</f>
        <v>1503280220295.6323</v>
      </c>
      <c r="P41" s="42">
        <f t="shared" si="11"/>
        <v>75137476067</v>
      </c>
      <c r="Q41" s="43">
        <f>SUM(P$22:P41)</f>
        <v>1013701421310.3716</v>
      </c>
      <c r="R41" s="14" t="str">
        <f t="shared" si="16"/>
        <v>62M / 65H</v>
      </c>
      <c r="S41" s="38">
        <f t="shared" si="12"/>
        <v>32216576.942524064</v>
      </c>
      <c r="T41" s="16">
        <f t="shared" si="13"/>
        <v>135785692080.77087</v>
      </c>
      <c r="U41" s="16">
        <f>SUM(T$22:T41)</f>
        <v>1387559974142.2935</v>
      </c>
      <c r="V41" s="42">
        <f t="shared" si="14"/>
        <v>75137476067</v>
      </c>
      <c r="W41" s="43">
        <f>SUM(V$22:V41)</f>
        <v>916995698281.50635</v>
      </c>
      <c r="Y41" s="39"/>
    </row>
    <row r="42" spans="2:25" ht="15" customHeight="1">
      <c r="B42" s="8">
        <v>2047</v>
      </c>
      <c r="C42" s="38">
        <f t="shared" si="4"/>
        <v>242007.9550594957</v>
      </c>
      <c r="D42" s="38">
        <f>'Transição 9 H e 13 M Anos'!D42</f>
        <v>1458232</v>
      </c>
      <c r="E42" s="10">
        <f t="shared" si="5"/>
        <v>0.16595984387909174</v>
      </c>
      <c r="F42" s="38">
        <f t="shared" si="6"/>
        <v>246539.91927489013</v>
      </c>
      <c r="G42" s="38">
        <f>'Transição 9 H e 13 M Anos'!G42</f>
        <v>1571973</v>
      </c>
      <c r="H42" s="10">
        <f t="shared" si="7"/>
        <v>0.15683470344267372</v>
      </c>
      <c r="I42" s="86">
        <f>'Transição 9 H e 13 M Anos'!I42</f>
        <v>4392.2192593526597</v>
      </c>
      <c r="J42" s="10">
        <f>'Transição 9 H e 13 M Anos'!J42</f>
        <v>0.03</v>
      </c>
      <c r="K42" s="41">
        <f t="shared" si="8"/>
        <v>1.8613782384502995</v>
      </c>
      <c r="L42" s="14" t="str">
        <f t="shared" si="15"/>
        <v>62M / 65H</v>
      </c>
      <c r="M42" s="38">
        <f t="shared" si="9"/>
        <v>32072254.837581202</v>
      </c>
      <c r="N42" s="16">
        <f t="shared" si="10"/>
        <v>140868375388.49066</v>
      </c>
      <c r="O42" s="16">
        <f>SUM(N$22:N42)</f>
        <v>1644148595684.123</v>
      </c>
      <c r="P42" s="42">
        <f t="shared" si="11"/>
        <v>75679607980.037094</v>
      </c>
      <c r="Q42" s="43">
        <f>SUM(P$22:P42)</f>
        <v>1089381029290.4087</v>
      </c>
      <c r="R42" s="14" t="str">
        <f t="shared" si="16"/>
        <v>62M / 65H</v>
      </c>
      <c r="S42" s="38">
        <f t="shared" si="12"/>
        <v>32072254.837581202</v>
      </c>
      <c r="T42" s="16">
        <f t="shared" si="13"/>
        <v>140868375388.49066</v>
      </c>
      <c r="U42" s="16">
        <f>SUM(T$22:T42)</f>
        <v>1528428349530.7842</v>
      </c>
      <c r="V42" s="42">
        <f t="shared" si="14"/>
        <v>75679607980.037094</v>
      </c>
      <c r="W42" s="43">
        <f>SUM(V$22:V42)</f>
        <v>992675306261.54346</v>
      </c>
      <c r="Y42" s="39"/>
    </row>
    <row r="43" spans="2:25" ht="15" customHeight="1">
      <c r="B43" s="8">
        <v>2048</v>
      </c>
      <c r="C43" s="38">
        <f t="shared" si="4"/>
        <v>239297.00100973074</v>
      </c>
      <c r="D43" s="38">
        <f>'Transição 9 H e 13 M Anos'!D43</f>
        <v>1441897</v>
      </c>
      <c r="E43" s="10">
        <f t="shared" si="5"/>
        <v>0.16595984387909174</v>
      </c>
      <c r="F43" s="38">
        <f t="shared" si="6"/>
        <v>247454.57926536782</v>
      </c>
      <c r="G43" s="38">
        <f>'Transição 9 H e 13 M Anos'!G43</f>
        <v>1577805</v>
      </c>
      <c r="H43" s="10">
        <f t="shared" si="7"/>
        <v>0.15683470344267372</v>
      </c>
      <c r="I43" s="86">
        <f>'Transição 9 H e 13 M Anos'!I43</f>
        <v>4575.3748024676697</v>
      </c>
      <c r="J43" s="10">
        <f>'Transição 9 H e 13 M Anos'!J43</f>
        <v>0.03</v>
      </c>
      <c r="K43" s="41">
        <f t="shared" si="8"/>
        <v>1.9172195856038086</v>
      </c>
      <c r="L43" s="14" t="str">
        <f t="shared" si="15"/>
        <v>62M / 65H</v>
      </c>
      <c r="M43" s="38">
        <f t="shared" si="9"/>
        <v>31898823.156095117</v>
      </c>
      <c r="N43" s="16">
        <f t="shared" si="10"/>
        <v>145949071696.76984</v>
      </c>
      <c r="O43" s="16">
        <f>SUM(N$22:N43)</f>
        <v>1790097667380.8928</v>
      </c>
      <c r="P43" s="42">
        <f t="shared" si="11"/>
        <v>76125381147.09729</v>
      </c>
      <c r="Q43" s="43">
        <f>SUM(P$22:P43)</f>
        <v>1165506410437.5059</v>
      </c>
      <c r="R43" s="14" t="str">
        <f t="shared" si="16"/>
        <v>62M / 65H</v>
      </c>
      <c r="S43" s="38">
        <f t="shared" si="12"/>
        <v>31898823.156095117</v>
      </c>
      <c r="T43" s="16">
        <f t="shared" si="13"/>
        <v>145949071696.76984</v>
      </c>
      <c r="U43" s="16">
        <f>SUM(T$22:T43)</f>
        <v>1674377421227.554</v>
      </c>
      <c r="V43" s="42">
        <f t="shared" si="14"/>
        <v>76125381147.09729</v>
      </c>
      <c r="W43" s="43">
        <f>SUM(V$22:V43)</f>
        <v>1068800687408.6407</v>
      </c>
      <c r="Y43" s="39"/>
    </row>
    <row r="44" spans="2:25" ht="15" customHeight="1">
      <c r="B44" s="8">
        <v>2049</v>
      </c>
      <c r="C44" s="38">
        <f t="shared" si="4"/>
        <v>236788.51796949827</v>
      </c>
      <c r="D44" s="38">
        <f>'Transição 9 H e 13 M Anos'!D44</f>
        <v>1426782</v>
      </c>
      <c r="E44" s="10">
        <f t="shared" si="5"/>
        <v>0.16595984387909174</v>
      </c>
      <c r="F44" s="38">
        <f t="shared" si="6"/>
        <v>247865.01568427728</v>
      </c>
      <c r="G44" s="38">
        <f>'Transição 9 H e 13 M Anos'!G44</f>
        <v>1580422</v>
      </c>
      <c r="H44" s="10">
        <f t="shared" si="7"/>
        <v>0.15683470344267372</v>
      </c>
      <c r="I44" s="86">
        <f>'Transição 9 H e 13 M Anos'!I44</f>
        <v>4764.7953192898303</v>
      </c>
      <c r="J44" s="10">
        <f>'Transição 9 H e 13 M Anos'!J44</f>
        <v>0.03</v>
      </c>
      <c r="K44" s="41">
        <f t="shared" si="8"/>
        <v>1.9747361731719228</v>
      </c>
      <c r="L44" s="14" t="str">
        <f t="shared" si="15"/>
        <v>62M / 65H</v>
      </c>
      <c r="M44" s="38">
        <f t="shared" si="9"/>
        <v>31715670.174839631</v>
      </c>
      <c r="N44" s="16">
        <f t="shared" si="10"/>
        <v>151118676797.21594</v>
      </c>
      <c r="O44" s="16">
        <f>SUM(N$22:N44)</f>
        <v>1941216344178.1089</v>
      </c>
      <c r="P44" s="42">
        <f t="shared" si="11"/>
        <v>76526008309.495514</v>
      </c>
      <c r="Q44" s="43">
        <f>SUM(P$22:P44)</f>
        <v>1242032418747.0015</v>
      </c>
      <c r="R44" s="14" t="str">
        <f t="shared" si="16"/>
        <v>62M / 65H</v>
      </c>
      <c r="S44" s="38">
        <f t="shared" si="12"/>
        <v>31715670.174839631</v>
      </c>
      <c r="T44" s="16">
        <f t="shared" si="13"/>
        <v>151118676797.21594</v>
      </c>
      <c r="U44" s="16">
        <f>SUM(T$22:T44)</f>
        <v>1825496098024.77</v>
      </c>
      <c r="V44" s="42">
        <f t="shared" si="14"/>
        <v>76526008309.495514</v>
      </c>
      <c r="W44" s="43">
        <f>SUM(V$22:V44)</f>
        <v>1145326695718.1362</v>
      </c>
      <c r="Y44" s="39"/>
    </row>
    <row r="45" spans="2:25" ht="15" customHeight="1">
      <c r="B45" s="8">
        <v>2050</v>
      </c>
      <c r="C45" s="38">
        <f t="shared" si="4"/>
        <v>235371.88474214636</v>
      </c>
      <c r="D45" s="38">
        <f>'Transição 9 H e 13 M Anos'!D45</f>
        <v>1418246</v>
      </c>
      <c r="E45" s="10">
        <f t="shared" si="5"/>
        <v>0.16595984387909174</v>
      </c>
      <c r="F45" s="38">
        <f t="shared" si="6"/>
        <v>248103.40443351015</v>
      </c>
      <c r="G45" s="38">
        <f>'Transição 9 H e 13 M Anos'!G45</f>
        <v>1581942</v>
      </c>
      <c r="H45" s="10">
        <f t="shared" si="7"/>
        <v>0.15683470344267372</v>
      </c>
      <c r="I45" s="86">
        <f>'Transição 9 H e 13 M Anos'!I45</f>
        <v>4960.6284069126395</v>
      </c>
      <c r="J45" s="10">
        <f>'Transição 9 H e 13 M Anos'!J45</f>
        <v>0.03</v>
      </c>
      <c r="K45" s="41">
        <f t="shared" si="8"/>
        <v>2.0339782583670805</v>
      </c>
      <c r="L45" s="14" t="str">
        <f t="shared" si="15"/>
        <v>62M / 65H</v>
      </c>
      <c r="M45" s="38">
        <f t="shared" si="9"/>
        <v>31541521.016009271</v>
      </c>
      <c r="N45" s="16">
        <f t="shared" si="10"/>
        <v>156465765149.24762</v>
      </c>
      <c r="O45" s="16">
        <f>SUM(N$22:N45)</f>
        <v>2097682109327.3564</v>
      </c>
      <c r="P45" s="42">
        <f t="shared" si="11"/>
        <v>76925977210.229156</v>
      </c>
      <c r="Q45" s="43">
        <f>SUM(P$22:P45)</f>
        <v>1318958395957.2307</v>
      </c>
      <c r="R45" s="14" t="str">
        <f t="shared" si="16"/>
        <v>62M / 65H</v>
      </c>
      <c r="S45" s="38">
        <f t="shared" si="12"/>
        <v>31541521.016009271</v>
      </c>
      <c r="T45" s="16">
        <f t="shared" si="13"/>
        <v>156465765149.24762</v>
      </c>
      <c r="U45" s="16">
        <f>SUM(T$22:T45)</f>
        <v>1981961863174.0176</v>
      </c>
      <c r="V45" s="42">
        <f t="shared" si="14"/>
        <v>76925977210.229156</v>
      </c>
      <c r="W45" s="43">
        <f>SUM(V$22:V45)</f>
        <v>1222252672928.3655</v>
      </c>
      <c r="Y45" s="39"/>
    </row>
    <row r="46" spans="2:25" ht="15" customHeight="1">
      <c r="B46" s="8">
        <v>2051</v>
      </c>
      <c r="C46" s="38">
        <f t="shared" si="4"/>
        <v>235542.15954196628</v>
      </c>
      <c r="D46" s="38">
        <f>'Transição 9 H e 13 M Anos'!D46</f>
        <v>1419272</v>
      </c>
      <c r="E46" s="10">
        <f t="shared" si="5"/>
        <v>0.16595984387909174</v>
      </c>
      <c r="F46" s="38">
        <f t="shared" si="6"/>
        <v>247972.44745613553</v>
      </c>
      <c r="G46" s="38">
        <f>'Transição 9 H e 13 M Anos'!G46</f>
        <v>1581107</v>
      </c>
      <c r="H46" s="10">
        <f t="shared" si="7"/>
        <v>0.15683470344267372</v>
      </c>
      <c r="I46" s="86">
        <f>'Transição 9 H e 13 M Anos'!I46</f>
        <v>5163.0220459146803</v>
      </c>
      <c r="J46" s="10">
        <f>'Transição 9 H e 13 M Anos'!J46</f>
        <v>0.03</v>
      </c>
      <c r="K46" s="41">
        <f t="shared" si="8"/>
        <v>2.0949976061180928</v>
      </c>
      <c r="L46" s="14" t="str">
        <f t="shared" si="15"/>
        <v>62M / 65H</v>
      </c>
      <c r="M46" s="38">
        <f t="shared" si="9"/>
        <v>31402047.531544521</v>
      </c>
      <c r="N46" s="16">
        <f t="shared" si="10"/>
        <v>162129463692.22504</v>
      </c>
      <c r="O46" s="16">
        <f>SUM(N$22:N46)</f>
        <v>2259811573019.5815</v>
      </c>
      <c r="P46" s="42">
        <f t="shared" si="11"/>
        <v>77388853915.036865</v>
      </c>
      <c r="Q46" s="43">
        <f>SUM(P$22:P46)</f>
        <v>1396347249872.2676</v>
      </c>
      <c r="R46" s="14" t="str">
        <f t="shared" si="16"/>
        <v>62M / 65H</v>
      </c>
      <c r="S46" s="38">
        <f t="shared" si="12"/>
        <v>31402047.531544521</v>
      </c>
      <c r="T46" s="16">
        <f t="shared" si="13"/>
        <v>162129463692.22504</v>
      </c>
      <c r="U46" s="16">
        <f>SUM(T$22:T46)</f>
        <v>2144091326866.2427</v>
      </c>
      <c r="V46" s="42">
        <f t="shared" si="14"/>
        <v>77388853915.036865</v>
      </c>
      <c r="W46" s="43">
        <f>SUM(V$22:V46)</f>
        <v>1299641526843.4023</v>
      </c>
      <c r="Y46" s="39"/>
    </row>
    <row r="47" spans="2:25" ht="15" customHeight="1">
      <c r="B47" s="8">
        <v>2052</v>
      </c>
      <c r="C47" s="38">
        <f t="shared" si="4"/>
        <v>236872.65961034497</v>
      </c>
      <c r="D47" s="38">
        <f>'Transição 9 H e 13 M Anos'!D47</f>
        <v>1427289</v>
      </c>
      <c r="E47" s="10">
        <f t="shared" si="5"/>
        <v>0.16595984387909174</v>
      </c>
      <c r="F47" s="38">
        <f t="shared" si="6"/>
        <v>247439.99363794766</v>
      </c>
      <c r="G47" s="38">
        <f>'Transição 9 H e 13 M Anos'!G47</f>
        <v>1577712</v>
      </c>
      <c r="H47" s="10">
        <f t="shared" si="7"/>
        <v>0.15683470344267372</v>
      </c>
      <c r="I47" s="86">
        <f>'Transição 9 H e 13 M Anos'!I47</f>
        <v>5371.60813656963</v>
      </c>
      <c r="J47" s="10">
        <f>'Transição 9 H e 13 M Anos'!J47</f>
        <v>0.03</v>
      </c>
      <c r="K47" s="41">
        <f t="shared" si="8"/>
        <v>2.1578475343016357</v>
      </c>
      <c r="L47" s="14" t="str">
        <f t="shared" si="15"/>
        <v>62M / 65H</v>
      </c>
      <c r="M47" s="38">
        <f t="shared" si="9"/>
        <v>31318029.414001107</v>
      </c>
      <c r="N47" s="16">
        <f t="shared" si="10"/>
        <v>168228181621.57535</v>
      </c>
      <c r="O47" s="16">
        <f>SUM(N$22:N47)</f>
        <v>2428039754641.1567</v>
      </c>
      <c r="P47" s="42">
        <f t="shared" si="11"/>
        <v>77961106587.644348</v>
      </c>
      <c r="Q47" s="43">
        <f>SUM(P$22:P47)</f>
        <v>1474308356459.9119</v>
      </c>
      <c r="R47" s="14" t="str">
        <f t="shared" si="16"/>
        <v>62M / 65H</v>
      </c>
      <c r="S47" s="38">
        <f t="shared" si="12"/>
        <v>31318029.414001107</v>
      </c>
      <c r="T47" s="16">
        <f t="shared" si="13"/>
        <v>168228181621.57535</v>
      </c>
      <c r="U47" s="16">
        <f>SUM(T$22:T47)</f>
        <v>2312319508487.8179</v>
      </c>
      <c r="V47" s="42">
        <f t="shared" si="14"/>
        <v>77961106587.644348</v>
      </c>
      <c r="W47" s="43">
        <f>SUM(V$22:V47)</f>
        <v>1377602633431.0466</v>
      </c>
      <c r="Y47" s="39"/>
    </row>
    <row r="48" spans="2:25" ht="15" customHeight="1">
      <c r="B48" s="8">
        <v>2053</v>
      </c>
      <c r="C48" s="38">
        <f t="shared" si="4"/>
        <v>238261.90946345686</v>
      </c>
      <c r="D48" s="38">
        <f>'Transição 9 H e 13 M Anos'!D48</f>
        <v>1435660</v>
      </c>
      <c r="E48" s="10">
        <f t="shared" si="5"/>
        <v>0.16595984387909174</v>
      </c>
      <c r="F48" s="38">
        <f t="shared" si="6"/>
        <v>246987.52551851553</v>
      </c>
      <c r="G48" s="38">
        <f>'Transição 9 H e 13 M Anos'!G48</f>
        <v>1574827</v>
      </c>
      <c r="H48" s="10">
        <f t="shared" si="7"/>
        <v>0.15683470344267372</v>
      </c>
      <c r="I48" s="86">
        <f>'Transição 9 H e 13 M Anos'!I48</f>
        <v>5586.4724620324196</v>
      </c>
      <c r="J48" s="10">
        <f>'Transição 9 H e 13 M Anos'!J48</f>
        <v>0.03</v>
      </c>
      <c r="K48" s="41">
        <f t="shared" si="8"/>
        <v>2.2225829603306848</v>
      </c>
      <c r="L48" s="14" t="str">
        <f t="shared" si="15"/>
        <v>62M / 65H</v>
      </c>
      <c r="M48" s="38">
        <f t="shared" si="9"/>
        <v>31291694.858819935</v>
      </c>
      <c r="N48" s="16">
        <f t="shared" si="10"/>
        <v>174810191619.11902</v>
      </c>
      <c r="O48" s="16">
        <f>SUM(N$22:N48)</f>
        <v>2602849946260.2759</v>
      </c>
      <c r="P48" s="42">
        <f t="shared" si="11"/>
        <v>78651818509.897171</v>
      </c>
      <c r="Q48" s="43">
        <f>SUM(P$22:P48)</f>
        <v>1552960174969.8091</v>
      </c>
      <c r="R48" s="14" t="str">
        <f t="shared" si="16"/>
        <v>62M / 65H</v>
      </c>
      <c r="S48" s="38">
        <f t="shared" si="12"/>
        <v>31291694.858819935</v>
      </c>
      <c r="T48" s="16">
        <f t="shared" si="13"/>
        <v>174810191619.11902</v>
      </c>
      <c r="U48" s="16">
        <f>SUM(T$22:T48)</f>
        <v>2487129700106.937</v>
      </c>
      <c r="V48" s="42">
        <f t="shared" si="14"/>
        <v>78651818509.897171</v>
      </c>
      <c r="W48" s="43">
        <f>SUM(V$22:V48)</f>
        <v>1456254451940.9438</v>
      </c>
      <c r="Y48" s="39"/>
    </row>
    <row r="49" spans="2:25" ht="15" customHeight="1">
      <c r="B49" s="8">
        <v>2054</v>
      </c>
      <c r="C49" s="38">
        <f t="shared" si="4"/>
        <v>239229.1234335842</v>
      </c>
      <c r="D49" s="38">
        <f>'Transição 9 H e 13 M Anos'!D49</f>
        <v>1441488</v>
      </c>
      <c r="E49" s="10">
        <f t="shared" si="5"/>
        <v>0.16595984387909174</v>
      </c>
      <c r="F49" s="38">
        <f t="shared" si="6"/>
        <v>246296.51181514713</v>
      </c>
      <c r="G49" s="38">
        <f>'Transição 9 H e 13 M Anos'!G49</f>
        <v>1570421</v>
      </c>
      <c r="H49" s="10">
        <f t="shared" si="7"/>
        <v>0.15683470344267372</v>
      </c>
      <c r="I49" s="86">
        <f>'Transição 9 H e 13 M Anos'!I49</f>
        <v>5808.8140660213103</v>
      </c>
      <c r="J49" s="10">
        <f>'Transição 9 H e 13 M Anos'!J49</f>
        <v>0.03</v>
      </c>
      <c r="K49" s="41">
        <f t="shared" si="8"/>
        <v>2.2892604491406052</v>
      </c>
      <c r="L49" s="14" t="str">
        <f t="shared" si="15"/>
        <v>62M / 65H</v>
      </c>
      <c r="M49" s="38">
        <f t="shared" si="9"/>
        <v>31307235.335923076</v>
      </c>
      <c r="N49" s="16">
        <f t="shared" si="10"/>
        <v>181857908987.54938</v>
      </c>
      <c r="O49" s="16">
        <f>SUM(N$22:N49)</f>
        <v>2784707855247.8252</v>
      </c>
      <c r="P49" s="42">
        <f t="shared" si="11"/>
        <v>79439588909.955322</v>
      </c>
      <c r="Q49" s="43">
        <f>SUM(P$22:P49)</f>
        <v>1632399763879.7644</v>
      </c>
      <c r="R49" s="14" t="str">
        <f t="shared" si="16"/>
        <v>62M / 65H</v>
      </c>
      <c r="S49" s="38">
        <f t="shared" si="12"/>
        <v>31307235.335923076</v>
      </c>
      <c r="T49" s="16">
        <f t="shared" si="13"/>
        <v>181857908987.54938</v>
      </c>
      <c r="U49" s="16">
        <f>SUM(T$22:T49)</f>
        <v>2668987609094.4863</v>
      </c>
      <c r="V49" s="42">
        <f t="shared" si="14"/>
        <v>79439588909.955322</v>
      </c>
      <c r="W49" s="43">
        <f>SUM(V$22:V49)</f>
        <v>1535694040850.8992</v>
      </c>
      <c r="Y49" s="39"/>
    </row>
    <row r="50" spans="2:25" ht="15" customHeight="1">
      <c r="B50" s="8">
        <v>2055</v>
      </c>
      <c r="C50" s="38">
        <f t="shared" si="4"/>
        <v>240288.7770367522</v>
      </c>
      <c r="D50" s="38">
        <f>'Transição 9 H e 13 M Anos'!D50</f>
        <v>1447873</v>
      </c>
      <c r="E50" s="10">
        <f t="shared" si="5"/>
        <v>0.16595984387909174</v>
      </c>
      <c r="F50" s="38">
        <f t="shared" si="6"/>
        <v>243837.02999575911</v>
      </c>
      <c r="G50" s="38">
        <f>'Transição 9 H e 13 M Anos'!G50</f>
        <v>1554739</v>
      </c>
      <c r="H50" s="10">
        <f t="shared" si="7"/>
        <v>0.15683470344267372</v>
      </c>
      <c r="I50" s="86">
        <f>'Transição 9 H e 13 M Anos'!I50</f>
        <v>6038.2622216291502</v>
      </c>
      <c r="J50" s="10">
        <f>'Transição 9 H e 13 M Anos'!J50</f>
        <v>0.03</v>
      </c>
      <c r="K50" s="41">
        <f t="shared" si="8"/>
        <v>2.3579382626148235</v>
      </c>
      <c r="L50" s="14" t="str">
        <f t="shared" si="15"/>
        <v>62M / 65H</v>
      </c>
      <c r="M50" s="38">
        <f t="shared" si="9"/>
        <v>31343746.642327201</v>
      </c>
      <c r="N50" s="16">
        <f t="shared" si="10"/>
        <v>189261761234.67987</v>
      </c>
      <c r="O50" s="16">
        <f>SUM(N$22:N50)</f>
        <v>2973969616482.5049</v>
      </c>
      <c r="P50" s="42">
        <f t="shared" si="11"/>
        <v>80265783135.814178</v>
      </c>
      <c r="Q50" s="43">
        <f>SUM(P$22:P50)</f>
        <v>1712665547015.5786</v>
      </c>
      <c r="R50" s="14" t="str">
        <f t="shared" si="16"/>
        <v>62M / 65H</v>
      </c>
      <c r="S50" s="38">
        <f t="shared" si="12"/>
        <v>31343746.642327201</v>
      </c>
      <c r="T50" s="16">
        <f t="shared" si="13"/>
        <v>189261761234.67987</v>
      </c>
      <c r="U50" s="16">
        <f>SUM(T$22:T50)</f>
        <v>2858249370329.166</v>
      </c>
      <c r="V50" s="42">
        <f t="shared" si="14"/>
        <v>80265783135.814178</v>
      </c>
      <c r="W50" s="43">
        <f>SUM(V$22:V50)</f>
        <v>1615959823986.7134</v>
      </c>
      <c r="Y50" s="39"/>
    </row>
    <row r="51" spans="2:25" ht="15" customHeight="1">
      <c r="B51" s="8">
        <v>2056</v>
      </c>
      <c r="C51" s="38">
        <f t="shared" si="4"/>
        <v>241363.53298571319</v>
      </c>
      <c r="D51" s="38">
        <f>'Transição 9 H e 13 M Anos'!D51</f>
        <v>1454349</v>
      </c>
      <c r="E51" s="10">
        <f t="shared" si="5"/>
        <v>0.16595984387909174</v>
      </c>
      <c r="F51" s="38">
        <f t="shared" si="6"/>
        <v>238874.62314412947</v>
      </c>
      <c r="G51" s="38">
        <f>'Transição 9 H e 13 M Anos'!G51</f>
        <v>1523098</v>
      </c>
      <c r="H51" s="10">
        <f t="shared" si="7"/>
        <v>0.15683470344267372</v>
      </c>
      <c r="I51" s="86">
        <f>'Transição 9 H e 13 M Anos'!I51</f>
        <v>6274.9621007170099</v>
      </c>
      <c r="J51" s="10">
        <f>'Transição 9 H e 13 M Anos'!J51</f>
        <v>0.03</v>
      </c>
      <c r="K51" s="41">
        <f t="shared" si="8"/>
        <v>2.4286764104932681</v>
      </c>
      <c r="L51" s="14" t="str">
        <f t="shared" si="15"/>
        <v>62M / 65H</v>
      </c>
      <c r="M51" s="38">
        <f t="shared" si="9"/>
        <v>31378041.458910644</v>
      </c>
      <c r="N51" s="16">
        <f t="shared" si="10"/>
        <v>196896020949.39136</v>
      </c>
      <c r="O51" s="16">
        <f>SUM(N$22:N51)</f>
        <v>3170865637431.8965</v>
      </c>
      <c r="P51" s="42">
        <f t="shared" si="11"/>
        <v>81071327616.428513</v>
      </c>
      <c r="Q51" s="43">
        <f>SUM(P$22:P51)</f>
        <v>1793736874632.0071</v>
      </c>
      <c r="R51" s="14" t="str">
        <f t="shared" si="16"/>
        <v>62M / 65H</v>
      </c>
      <c r="S51" s="38">
        <f t="shared" si="12"/>
        <v>31378041.458910644</v>
      </c>
      <c r="T51" s="16">
        <f t="shared" si="13"/>
        <v>196896020949.39136</v>
      </c>
      <c r="U51" s="16">
        <f>SUM(T$22:T51)</f>
        <v>3055145391278.5576</v>
      </c>
      <c r="V51" s="42">
        <f t="shared" si="14"/>
        <v>81071327616.428513</v>
      </c>
      <c r="W51" s="43">
        <f>SUM(V$22:V51)</f>
        <v>1697031151603.1418</v>
      </c>
      <c r="Y51" s="39"/>
    </row>
    <row r="52" spans="2:25" ht="15" customHeight="1">
      <c r="B52" s="8">
        <v>2057</v>
      </c>
      <c r="C52" s="38">
        <f t="shared" si="4"/>
        <v>242316.97228879857</v>
      </c>
      <c r="D52" s="38">
        <f>'Transição 9 H e 13 M Anos'!D52</f>
        <v>1460094</v>
      </c>
      <c r="E52" s="10">
        <f t="shared" si="5"/>
        <v>0.16595984387909174</v>
      </c>
      <c r="F52" s="38">
        <f t="shared" si="6"/>
        <v>234153.74173580154</v>
      </c>
      <c r="G52" s="38">
        <f>'Transição 9 H e 13 M Anos'!G52</f>
        <v>1492997</v>
      </c>
      <c r="H52" s="10">
        <f t="shared" si="7"/>
        <v>0.15683470344267372</v>
      </c>
      <c r="I52" s="86">
        <f>'Transição 9 H e 13 M Anos'!I52</f>
        <v>6518.4306302248297</v>
      </c>
      <c r="J52" s="10">
        <f>'Transição 9 H e 13 M Anos'!J52</f>
        <v>0.03</v>
      </c>
      <c r="K52" s="41">
        <f t="shared" si="8"/>
        <v>2.5015367028080662</v>
      </c>
      <c r="L52" s="14" t="str">
        <f t="shared" si="15"/>
        <v>62M / 65H</v>
      </c>
      <c r="M52" s="38">
        <f t="shared" si="9"/>
        <v>31372535.794144031</v>
      </c>
      <c r="N52" s="16">
        <f t="shared" si="10"/>
        <v>204499698268.37329</v>
      </c>
      <c r="O52" s="16">
        <f>SUM(N$22:N52)</f>
        <v>3375365335700.2695</v>
      </c>
      <c r="P52" s="42">
        <f t="shared" si="11"/>
        <v>81749629353.355042</v>
      </c>
      <c r="Q52" s="43">
        <f>SUM(P$22:P52)</f>
        <v>1875486503985.3621</v>
      </c>
      <c r="R52" s="14" t="str">
        <f t="shared" si="16"/>
        <v>62M / 65H</v>
      </c>
      <c r="S52" s="38">
        <f t="shared" si="12"/>
        <v>31372535.794144031</v>
      </c>
      <c r="T52" s="16">
        <f t="shared" si="13"/>
        <v>204499698268.37329</v>
      </c>
      <c r="U52" s="16">
        <f>SUM(T$22:T52)</f>
        <v>3259645089546.9307</v>
      </c>
      <c r="V52" s="42">
        <f t="shared" si="14"/>
        <v>81749629353.355042</v>
      </c>
      <c r="W52" s="43">
        <f>SUM(V$22:V52)</f>
        <v>1778780780956.4968</v>
      </c>
    </row>
    <row r="53" spans="2:25" ht="15" customHeight="1">
      <c r="B53" s="8">
        <v>2058</v>
      </c>
      <c r="C53" s="38">
        <f t="shared" si="4"/>
        <v>243404.50714573826</v>
      </c>
      <c r="D53" s="38">
        <f>'Transição 9 H e 13 M Anos'!D53</f>
        <v>1466647</v>
      </c>
      <c r="E53" s="10">
        <f t="shared" si="5"/>
        <v>0.16595984387909174</v>
      </c>
      <c r="F53" s="38">
        <f t="shared" si="6"/>
        <v>230221.26838167993</v>
      </c>
      <c r="G53" s="38">
        <f>'Transição 9 H e 13 M Anos'!G53</f>
        <v>1467923</v>
      </c>
      <c r="H53" s="10">
        <f t="shared" si="7"/>
        <v>0.15683470344267372</v>
      </c>
      <c r="I53" s="86">
        <f>'Transição 9 H e 13 M Anos'!I53</f>
        <v>6770.0420525515101</v>
      </c>
      <c r="J53" s="10">
        <f>'Transição 9 H e 13 M Anos'!J53</f>
        <v>0.03</v>
      </c>
      <c r="K53" s="41">
        <f t="shared" si="8"/>
        <v>2.5765828038923084</v>
      </c>
      <c r="L53" s="14" t="str">
        <f t="shared" si="15"/>
        <v>62M / 65H</v>
      </c>
      <c r="M53" s="38">
        <f t="shared" si="9"/>
        <v>31299312.732648689</v>
      </c>
      <c r="N53" s="16">
        <f t="shared" si="10"/>
        <v>211897663415.99255</v>
      </c>
      <c r="O53" s="16">
        <f>SUM(N$22:N53)</f>
        <v>3587262999116.2622</v>
      </c>
      <c r="P53" s="42">
        <f t="shared" si="11"/>
        <v>82239803469.886505</v>
      </c>
      <c r="Q53" s="43">
        <f>SUM(P$22:P53)</f>
        <v>1957726307455.2485</v>
      </c>
      <c r="R53" s="14" t="str">
        <f t="shared" si="16"/>
        <v>62M / 65H</v>
      </c>
      <c r="S53" s="38">
        <f t="shared" si="12"/>
        <v>31299312.732648689</v>
      </c>
      <c r="T53" s="16">
        <f t="shared" si="13"/>
        <v>211897663415.99255</v>
      </c>
      <c r="U53" s="16">
        <f>SUM(T$22:T53)</f>
        <v>3471542752962.9233</v>
      </c>
      <c r="V53" s="42">
        <f t="shared" si="14"/>
        <v>82239803469.886505</v>
      </c>
      <c r="W53" s="43">
        <f>SUM(V$22:V53)</f>
        <v>1861020584426.3833</v>
      </c>
    </row>
    <row r="54" spans="2:25" ht="15" customHeight="1">
      <c r="B54" s="8">
        <v>2059</v>
      </c>
      <c r="C54" s="38">
        <f t="shared" si="4"/>
        <v>244178.54385759035</v>
      </c>
      <c r="D54" s="38">
        <f>'Transição 9 H e 13 M Anos'!D54</f>
        <v>1471311</v>
      </c>
      <c r="E54" s="10">
        <f t="shared" si="5"/>
        <v>0.16595984387909174</v>
      </c>
      <c r="F54" s="38">
        <f t="shared" si="6"/>
        <v>227289.40043552261</v>
      </c>
      <c r="G54" s="38">
        <f>'Transição 9 H e 13 M Anos'!G54</f>
        <v>1449229</v>
      </c>
      <c r="H54" s="10">
        <f t="shared" si="7"/>
        <v>0.15683470344267372</v>
      </c>
      <c r="I54" s="86">
        <f>'Transição 9 H e 13 M Anos'!I54</f>
        <v>7030.0116673694902</v>
      </c>
      <c r="J54" s="10">
        <f>'Transição 9 H e 13 M Anos'!J54</f>
        <v>0.03</v>
      </c>
      <c r="K54" s="41">
        <f t="shared" si="8"/>
        <v>2.6538802880090779</v>
      </c>
      <c r="L54" s="14" t="str">
        <f t="shared" si="15"/>
        <v>62M / 65H</v>
      </c>
      <c r="M54" s="38">
        <f t="shared" si="9"/>
        <v>31170123.279379934</v>
      </c>
      <c r="N54" s="16">
        <f t="shared" si="10"/>
        <v>219126330327.38629</v>
      </c>
      <c r="O54" s="16">
        <f>SUM(N$22:N54)</f>
        <v>3806389329443.6484</v>
      </c>
      <c r="P54" s="42">
        <f t="shared" si="11"/>
        <v>82568279857.029007</v>
      </c>
      <c r="Q54" s="43">
        <f>SUM(P$22:P54)</f>
        <v>2040294587312.2776</v>
      </c>
      <c r="R54" s="14" t="str">
        <f t="shared" si="16"/>
        <v>62M / 65H</v>
      </c>
      <c r="S54" s="38">
        <f t="shared" si="12"/>
        <v>31170123.279379934</v>
      </c>
      <c r="T54" s="16">
        <f t="shared" si="13"/>
        <v>219126330327.38629</v>
      </c>
      <c r="U54" s="16">
        <f>SUM(T$22:T54)</f>
        <v>3690669083290.3096</v>
      </c>
      <c r="V54" s="42">
        <f t="shared" si="14"/>
        <v>82568279857.029007</v>
      </c>
      <c r="W54" s="43">
        <f>SUM(V$22:V54)</f>
        <v>1943588864283.4124</v>
      </c>
    </row>
    <row r="55" spans="2:25" ht="15" customHeight="1">
      <c r="B55" s="22">
        <v>2060</v>
      </c>
      <c r="C55" s="44">
        <f t="shared" si="4"/>
        <v>243093.33243846497</v>
      </c>
      <c r="D55" s="44">
        <f>'Transição 9 H e 13 M Anos'!D55</f>
        <v>1464772</v>
      </c>
      <c r="E55" s="46">
        <f t="shared" si="5"/>
        <v>0.16595984387909174</v>
      </c>
      <c r="F55" s="44">
        <f t="shared" si="6"/>
        <v>225132.60959377894</v>
      </c>
      <c r="G55" s="44">
        <f>'Transição 9 H e 13 M Anos'!G55</f>
        <v>1435477</v>
      </c>
      <c r="H55" s="46">
        <f t="shared" si="7"/>
        <v>0.15683470344267372</v>
      </c>
      <c r="I55" s="91">
        <f>'Transição 9 H e 13 M Anos'!I55</f>
        <v>7299.2611142297401</v>
      </c>
      <c r="J55" s="46">
        <f>'Transição 9 H e 13 M Anos'!J55</f>
        <v>0.03</v>
      </c>
      <c r="K55" s="84">
        <f t="shared" si="8"/>
        <v>2.7334966966493504</v>
      </c>
      <c r="L55" s="49" t="str">
        <f t="shared" si="15"/>
        <v>62M / 65H</v>
      </c>
      <c r="M55" s="44">
        <f t="shared" si="9"/>
        <v>30995844.795522172</v>
      </c>
      <c r="N55" s="50">
        <f t="shared" si="10"/>
        <v>226246764618.65527</v>
      </c>
      <c r="O55" s="50">
        <f>SUM(N$22:N55)</f>
        <v>4032636094062.3037</v>
      </c>
      <c r="P55" s="51">
        <f t="shared" si="11"/>
        <v>82768259751.688278</v>
      </c>
      <c r="Q55" s="85">
        <f>SUM(P$22:P55)</f>
        <v>2123062847063.9658</v>
      </c>
      <c r="R55" s="49" t="str">
        <f t="shared" si="16"/>
        <v>62M / 65H</v>
      </c>
      <c r="S55" s="44">
        <f t="shared" si="12"/>
        <v>30995844.795522172</v>
      </c>
      <c r="T55" s="50">
        <f t="shared" si="13"/>
        <v>226246764618.65527</v>
      </c>
      <c r="U55" s="50">
        <f>SUM(T$22:T55)</f>
        <v>3916915847908.9648</v>
      </c>
      <c r="V55" s="51">
        <f t="shared" si="14"/>
        <v>82768259751.688278</v>
      </c>
      <c r="W55" s="85">
        <f>SUM(V$22:V55)</f>
        <v>2026357124035.1006</v>
      </c>
    </row>
    <row r="56" spans="2:25" ht="15" customHeight="1">
      <c r="B56" s="24" t="s">
        <v>85</v>
      </c>
    </row>
    <row r="59" spans="2:25" ht="15" customHeight="1" collapsed="1" thickBot="1">
      <c r="B59" s="62" t="s">
        <v>86</v>
      </c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</row>
    <row r="60" spans="2:25" ht="15" hidden="1" customHeight="1" outlineLevel="1">
      <c r="B60" s="24" t="s">
        <v>133</v>
      </c>
    </row>
    <row r="61" spans="2:25" hidden="1" outlineLevel="1"/>
    <row r="62" spans="2:25" hidden="1" outlineLevel="1"/>
    <row r="63" spans="2:25" ht="30.95" hidden="1" customHeight="1" outlineLevel="1">
      <c r="B63" s="62" t="s">
        <v>134</v>
      </c>
      <c r="C63" s="62"/>
      <c r="D63" s="62"/>
      <c r="E63" s="62"/>
      <c r="F63" s="62"/>
    </row>
    <row r="64" spans="2:25" ht="42" hidden="1" customHeight="1" outlineLevel="1">
      <c r="B64" s="53" t="s">
        <v>40</v>
      </c>
      <c r="C64" s="54" t="s">
        <v>135</v>
      </c>
      <c r="D64" s="54" t="s">
        <v>136</v>
      </c>
      <c r="E64" s="54" t="s">
        <v>137</v>
      </c>
      <c r="F64" s="54" t="s">
        <v>138</v>
      </c>
    </row>
    <row r="65" spans="2:6" hidden="1" outlineLevel="1">
      <c r="B65" s="14">
        <v>2027</v>
      </c>
      <c r="C65" s="52">
        <f t="shared" ref="C65:C108" si="17">ROUND(12*($Z$15-$Z$14)*MIN(MAX($B65-$Z$18+1,0),1)/1,0)</f>
        <v>60</v>
      </c>
      <c r="D65" s="52">
        <f t="shared" ref="D65:D108" si="18">ROUND(12*($AA$15-$AA$14)*MIN(MAX($B65-$Z$18+1,0),1)/1,0)</f>
        <v>84</v>
      </c>
      <c r="E65" s="52">
        <f t="shared" ref="E65:E108" si="19">ROUND(12*($Z$15-$Z$14)*MIN(MAX($B65-$Z$18+1,0),$Z$19)/$Z$19,0)</f>
        <v>6</v>
      </c>
      <c r="F65" s="52">
        <f t="shared" ref="F65:F108" si="20">ROUND(12*($AA$15-$AA$14)*MIN(MAX($B65-$Z$18+1,0),$Z$19)/$Z$19,0)</f>
        <v>8</v>
      </c>
    </row>
    <row r="66" spans="2:6" hidden="1" outlineLevel="1">
      <c r="B66" s="14">
        <v>2028</v>
      </c>
      <c r="C66" s="52">
        <f t="shared" si="17"/>
        <v>60</v>
      </c>
      <c r="D66" s="52">
        <f t="shared" si="18"/>
        <v>84</v>
      </c>
      <c r="E66" s="52">
        <f t="shared" si="19"/>
        <v>12</v>
      </c>
      <c r="F66" s="52">
        <f t="shared" si="20"/>
        <v>17</v>
      </c>
    </row>
    <row r="67" spans="2:6" hidden="1" outlineLevel="1">
      <c r="B67" s="14">
        <v>2029</v>
      </c>
      <c r="C67" s="52">
        <f t="shared" si="17"/>
        <v>60</v>
      </c>
      <c r="D67" s="52">
        <f t="shared" si="18"/>
        <v>84</v>
      </c>
      <c r="E67" s="52">
        <f t="shared" si="19"/>
        <v>18</v>
      </c>
      <c r="F67" s="52">
        <f t="shared" si="20"/>
        <v>25</v>
      </c>
    </row>
    <row r="68" spans="2:6" hidden="1" outlineLevel="1">
      <c r="B68" s="14">
        <v>2030</v>
      </c>
      <c r="C68" s="52">
        <f t="shared" si="17"/>
        <v>60</v>
      </c>
      <c r="D68" s="52">
        <f t="shared" si="18"/>
        <v>84</v>
      </c>
      <c r="E68" s="52">
        <f t="shared" si="19"/>
        <v>24</v>
      </c>
      <c r="F68" s="52">
        <f t="shared" si="20"/>
        <v>34</v>
      </c>
    </row>
    <row r="69" spans="2:6" hidden="1" outlineLevel="1">
      <c r="B69" s="14">
        <v>2031</v>
      </c>
      <c r="C69" s="52">
        <f t="shared" si="17"/>
        <v>60</v>
      </c>
      <c r="D69" s="52">
        <f t="shared" si="18"/>
        <v>84</v>
      </c>
      <c r="E69" s="52">
        <f t="shared" si="19"/>
        <v>30</v>
      </c>
      <c r="F69" s="52">
        <f t="shared" si="20"/>
        <v>42</v>
      </c>
    </row>
    <row r="70" spans="2:6" hidden="1" outlineLevel="1">
      <c r="B70" s="14">
        <v>2032</v>
      </c>
      <c r="C70" s="52">
        <f t="shared" si="17"/>
        <v>60</v>
      </c>
      <c r="D70" s="52">
        <f t="shared" si="18"/>
        <v>84</v>
      </c>
      <c r="E70" s="52">
        <f t="shared" si="19"/>
        <v>36</v>
      </c>
      <c r="F70" s="52">
        <f t="shared" si="20"/>
        <v>50</v>
      </c>
    </row>
    <row r="71" spans="2:6" hidden="1" outlineLevel="1">
      <c r="B71" s="14">
        <v>2033</v>
      </c>
      <c r="C71" s="52">
        <f t="shared" si="17"/>
        <v>60</v>
      </c>
      <c r="D71" s="52">
        <f t="shared" si="18"/>
        <v>84</v>
      </c>
      <c r="E71" s="52">
        <f t="shared" si="19"/>
        <v>42</v>
      </c>
      <c r="F71" s="52">
        <f t="shared" si="20"/>
        <v>59</v>
      </c>
    </row>
    <row r="72" spans="2:6" hidden="1" outlineLevel="1">
      <c r="B72" s="14">
        <v>2034</v>
      </c>
      <c r="C72" s="52">
        <f t="shared" si="17"/>
        <v>60</v>
      </c>
      <c r="D72" s="52">
        <f t="shared" si="18"/>
        <v>84</v>
      </c>
      <c r="E72" s="52">
        <f t="shared" si="19"/>
        <v>48</v>
      </c>
      <c r="F72" s="52">
        <f t="shared" si="20"/>
        <v>67</v>
      </c>
    </row>
    <row r="73" spans="2:6" hidden="1" outlineLevel="1">
      <c r="B73" s="14">
        <v>2035</v>
      </c>
      <c r="C73" s="52">
        <f t="shared" si="17"/>
        <v>60</v>
      </c>
      <c r="D73" s="52">
        <f t="shared" si="18"/>
        <v>84</v>
      </c>
      <c r="E73" s="52">
        <f t="shared" si="19"/>
        <v>54</v>
      </c>
      <c r="F73" s="52">
        <f t="shared" si="20"/>
        <v>76</v>
      </c>
    </row>
    <row r="74" spans="2:6" hidden="1" outlineLevel="1">
      <c r="B74" s="14">
        <v>2036</v>
      </c>
      <c r="C74" s="52">
        <f t="shared" si="17"/>
        <v>60</v>
      </c>
      <c r="D74" s="52">
        <f t="shared" si="18"/>
        <v>84</v>
      </c>
      <c r="E74" s="52">
        <f t="shared" si="19"/>
        <v>60</v>
      </c>
      <c r="F74" s="52">
        <f t="shared" si="20"/>
        <v>84</v>
      </c>
    </row>
    <row r="75" spans="2:6" hidden="1" outlineLevel="1">
      <c r="B75" s="14">
        <v>2037</v>
      </c>
      <c r="C75" s="52">
        <f t="shared" si="17"/>
        <v>60</v>
      </c>
      <c r="D75" s="52">
        <f t="shared" si="18"/>
        <v>84</v>
      </c>
      <c r="E75" s="52">
        <f t="shared" si="19"/>
        <v>60</v>
      </c>
      <c r="F75" s="52">
        <f t="shared" si="20"/>
        <v>84</v>
      </c>
    </row>
    <row r="76" spans="2:6" hidden="1" outlineLevel="1">
      <c r="B76" s="14">
        <v>2038</v>
      </c>
      <c r="C76" s="52">
        <f t="shared" si="17"/>
        <v>60</v>
      </c>
      <c r="D76" s="52">
        <f t="shared" si="18"/>
        <v>84</v>
      </c>
      <c r="E76" s="52">
        <f t="shared" si="19"/>
        <v>60</v>
      </c>
      <c r="F76" s="52">
        <f t="shared" si="20"/>
        <v>84</v>
      </c>
    </row>
    <row r="77" spans="2:6" hidden="1" outlineLevel="1">
      <c r="B77" s="14">
        <v>2039</v>
      </c>
      <c r="C77" s="52">
        <f t="shared" si="17"/>
        <v>60</v>
      </c>
      <c r="D77" s="52">
        <f t="shared" si="18"/>
        <v>84</v>
      </c>
      <c r="E77" s="52">
        <f t="shared" si="19"/>
        <v>60</v>
      </c>
      <c r="F77" s="52">
        <f t="shared" si="20"/>
        <v>84</v>
      </c>
    </row>
    <row r="78" spans="2:6" hidden="1" outlineLevel="1">
      <c r="B78" s="14">
        <v>2040</v>
      </c>
      <c r="C78" s="52">
        <f t="shared" si="17"/>
        <v>60</v>
      </c>
      <c r="D78" s="52">
        <f t="shared" si="18"/>
        <v>84</v>
      </c>
      <c r="E78" s="52">
        <f t="shared" si="19"/>
        <v>60</v>
      </c>
      <c r="F78" s="52">
        <f t="shared" si="20"/>
        <v>84</v>
      </c>
    </row>
    <row r="79" spans="2:6" hidden="1" outlineLevel="1">
      <c r="B79" s="14">
        <v>2041</v>
      </c>
      <c r="C79" s="52">
        <f t="shared" si="17"/>
        <v>60</v>
      </c>
      <c r="D79" s="52">
        <f t="shared" si="18"/>
        <v>84</v>
      </c>
      <c r="E79" s="52">
        <f t="shared" si="19"/>
        <v>60</v>
      </c>
      <c r="F79" s="52">
        <f t="shared" si="20"/>
        <v>84</v>
      </c>
    </row>
    <row r="80" spans="2:6" hidden="1" outlineLevel="1">
      <c r="B80" s="14">
        <v>2042</v>
      </c>
      <c r="C80" s="52">
        <f t="shared" si="17"/>
        <v>60</v>
      </c>
      <c r="D80" s="52">
        <f t="shared" si="18"/>
        <v>84</v>
      </c>
      <c r="E80" s="52">
        <f t="shared" si="19"/>
        <v>60</v>
      </c>
      <c r="F80" s="52">
        <f t="shared" si="20"/>
        <v>84</v>
      </c>
    </row>
    <row r="81" spans="2:6" hidden="1" outlineLevel="1">
      <c r="B81" s="14">
        <v>2043</v>
      </c>
      <c r="C81" s="52">
        <f t="shared" si="17"/>
        <v>60</v>
      </c>
      <c r="D81" s="52">
        <f t="shared" si="18"/>
        <v>84</v>
      </c>
      <c r="E81" s="52">
        <f t="shared" si="19"/>
        <v>60</v>
      </c>
      <c r="F81" s="52">
        <f t="shared" si="20"/>
        <v>84</v>
      </c>
    </row>
    <row r="82" spans="2:6" hidden="1" outlineLevel="1">
      <c r="B82" s="14">
        <v>2044</v>
      </c>
      <c r="C82" s="52">
        <f t="shared" si="17"/>
        <v>60</v>
      </c>
      <c r="D82" s="52">
        <f t="shared" si="18"/>
        <v>84</v>
      </c>
      <c r="E82" s="52">
        <f t="shared" si="19"/>
        <v>60</v>
      </c>
      <c r="F82" s="52">
        <f t="shared" si="20"/>
        <v>84</v>
      </c>
    </row>
    <row r="83" spans="2:6" hidden="1" outlineLevel="1">
      <c r="B83" s="14">
        <v>2045</v>
      </c>
      <c r="C83" s="52">
        <f t="shared" si="17"/>
        <v>60</v>
      </c>
      <c r="D83" s="52">
        <f t="shared" si="18"/>
        <v>84</v>
      </c>
      <c r="E83" s="52">
        <f t="shared" si="19"/>
        <v>60</v>
      </c>
      <c r="F83" s="52">
        <f t="shared" si="20"/>
        <v>84</v>
      </c>
    </row>
    <row r="84" spans="2:6" hidden="1" outlineLevel="1">
      <c r="B84" s="14">
        <v>2046</v>
      </c>
      <c r="C84" s="52">
        <f t="shared" si="17"/>
        <v>60</v>
      </c>
      <c r="D84" s="52">
        <f t="shared" si="18"/>
        <v>84</v>
      </c>
      <c r="E84" s="52">
        <f t="shared" si="19"/>
        <v>60</v>
      </c>
      <c r="F84" s="52">
        <f t="shared" si="20"/>
        <v>84</v>
      </c>
    </row>
    <row r="85" spans="2:6" hidden="1" outlineLevel="1">
      <c r="B85" s="14">
        <v>2047</v>
      </c>
      <c r="C85" s="52">
        <f t="shared" si="17"/>
        <v>60</v>
      </c>
      <c r="D85" s="52">
        <f t="shared" si="18"/>
        <v>84</v>
      </c>
      <c r="E85" s="52">
        <f t="shared" si="19"/>
        <v>60</v>
      </c>
      <c r="F85" s="52">
        <f t="shared" si="20"/>
        <v>84</v>
      </c>
    </row>
    <row r="86" spans="2:6" hidden="1" outlineLevel="1">
      <c r="B86" s="14">
        <v>2048</v>
      </c>
      <c r="C86" s="52">
        <f t="shared" si="17"/>
        <v>60</v>
      </c>
      <c r="D86" s="52">
        <f t="shared" si="18"/>
        <v>84</v>
      </c>
      <c r="E86" s="52">
        <f t="shared" si="19"/>
        <v>60</v>
      </c>
      <c r="F86" s="52">
        <f t="shared" si="20"/>
        <v>84</v>
      </c>
    </row>
    <row r="87" spans="2:6" hidden="1" outlineLevel="1">
      <c r="B87" s="14">
        <v>2049</v>
      </c>
      <c r="C87" s="52">
        <f t="shared" si="17"/>
        <v>60</v>
      </c>
      <c r="D87" s="52">
        <f t="shared" si="18"/>
        <v>84</v>
      </c>
      <c r="E87" s="52">
        <f t="shared" si="19"/>
        <v>60</v>
      </c>
      <c r="F87" s="52">
        <f t="shared" si="20"/>
        <v>84</v>
      </c>
    </row>
    <row r="88" spans="2:6" hidden="1" outlineLevel="1">
      <c r="B88" s="14">
        <v>2050</v>
      </c>
      <c r="C88" s="52">
        <f t="shared" si="17"/>
        <v>60</v>
      </c>
      <c r="D88" s="52">
        <f t="shared" si="18"/>
        <v>84</v>
      </c>
      <c r="E88" s="52">
        <f t="shared" si="19"/>
        <v>60</v>
      </c>
      <c r="F88" s="52">
        <f t="shared" si="20"/>
        <v>84</v>
      </c>
    </row>
    <row r="89" spans="2:6" hidden="1" outlineLevel="1">
      <c r="B89" s="14">
        <v>2051</v>
      </c>
      <c r="C89" s="52">
        <f t="shared" si="17"/>
        <v>60</v>
      </c>
      <c r="D89" s="52">
        <f t="shared" si="18"/>
        <v>84</v>
      </c>
      <c r="E89" s="52">
        <f t="shared" si="19"/>
        <v>60</v>
      </c>
      <c r="F89" s="52">
        <f t="shared" si="20"/>
        <v>84</v>
      </c>
    </row>
    <row r="90" spans="2:6" hidden="1" outlineLevel="1">
      <c r="B90" s="14">
        <v>2052</v>
      </c>
      <c r="C90" s="52">
        <f t="shared" si="17"/>
        <v>60</v>
      </c>
      <c r="D90" s="52">
        <f t="shared" si="18"/>
        <v>84</v>
      </c>
      <c r="E90" s="52">
        <f t="shared" si="19"/>
        <v>60</v>
      </c>
      <c r="F90" s="52">
        <f t="shared" si="20"/>
        <v>84</v>
      </c>
    </row>
    <row r="91" spans="2:6" hidden="1" outlineLevel="1">
      <c r="B91" s="14">
        <v>2053</v>
      </c>
      <c r="C91" s="52">
        <f t="shared" si="17"/>
        <v>60</v>
      </c>
      <c r="D91" s="52">
        <f t="shared" si="18"/>
        <v>84</v>
      </c>
      <c r="E91" s="52">
        <f t="shared" si="19"/>
        <v>60</v>
      </c>
      <c r="F91" s="52">
        <f t="shared" si="20"/>
        <v>84</v>
      </c>
    </row>
    <row r="92" spans="2:6" hidden="1" outlineLevel="1">
      <c r="B92" s="14">
        <v>2054</v>
      </c>
      <c r="C92" s="52">
        <f t="shared" si="17"/>
        <v>60</v>
      </c>
      <c r="D92" s="52">
        <f t="shared" si="18"/>
        <v>84</v>
      </c>
      <c r="E92" s="52">
        <f t="shared" si="19"/>
        <v>60</v>
      </c>
      <c r="F92" s="52">
        <f t="shared" si="20"/>
        <v>84</v>
      </c>
    </row>
    <row r="93" spans="2:6" hidden="1" outlineLevel="1">
      <c r="B93" s="14">
        <v>2055</v>
      </c>
      <c r="C93" s="52">
        <f t="shared" si="17"/>
        <v>60</v>
      </c>
      <c r="D93" s="52">
        <f t="shared" si="18"/>
        <v>84</v>
      </c>
      <c r="E93" s="52">
        <f t="shared" si="19"/>
        <v>60</v>
      </c>
      <c r="F93" s="52">
        <f t="shared" si="20"/>
        <v>84</v>
      </c>
    </row>
    <row r="94" spans="2:6" hidden="1" outlineLevel="1">
      <c r="B94" s="14">
        <v>2056</v>
      </c>
      <c r="C94" s="52">
        <f t="shared" si="17"/>
        <v>60</v>
      </c>
      <c r="D94" s="52">
        <f t="shared" si="18"/>
        <v>84</v>
      </c>
      <c r="E94" s="52">
        <f t="shared" si="19"/>
        <v>60</v>
      </c>
      <c r="F94" s="52">
        <f t="shared" si="20"/>
        <v>84</v>
      </c>
    </row>
    <row r="95" spans="2:6" hidden="1" outlineLevel="1">
      <c r="B95" s="14">
        <v>2057</v>
      </c>
      <c r="C95" s="52">
        <f t="shared" si="17"/>
        <v>60</v>
      </c>
      <c r="D95" s="52">
        <f t="shared" si="18"/>
        <v>84</v>
      </c>
      <c r="E95" s="52">
        <f t="shared" si="19"/>
        <v>60</v>
      </c>
      <c r="F95" s="52">
        <f t="shared" si="20"/>
        <v>84</v>
      </c>
    </row>
    <row r="96" spans="2:6" hidden="1" outlineLevel="1">
      <c r="B96" s="14">
        <v>2058</v>
      </c>
      <c r="C96" s="52">
        <f t="shared" si="17"/>
        <v>60</v>
      </c>
      <c r="D96" s="52">
        <f t="shared" si="18"/>
        <v>84</v>
      </c>
      <c r="E96" s="52">
        <f t="shared" si="19"/>
        <v>60</v>
      </c>
      <c r="F96" s="52">
        <f t="shared" si="20"/>
        <v>84</v>
      </c>
    </row>
    <row r="97" spans="2:6" hidden="1" outlineLevel="1">
      <c r="B97" s="14">
        <v>2059</v>
      </c>
      <c r="C97" s="52">
        <f t="shared" si="17"/>
        <v>60</v>
      </c>
      <c r="D97" s="52">
        <f t="shared" si="18"/>
        <v>84</v>
      </c>
      <c r="E97" s="52">
        <f t="shared" si="19"/>
        <v>60</v>
      </c>
      <c r="F97" s="52">
        <f t="shared" si="20"/>
        <v>84</v>
      </c>
    </row>
    <row r="98" spans="2:6" hidden="1" outlineLevel="1">
      <c r="B98" s="14">
        <v>2060</v>
      </c>
      <c r="C98" s="52">
        <f t="shared" si="17"/>
        <v>60</v>
      </c>
      <c r="D98" s="52">
        <f t="shared" si="18"/>
        <v>84</v>
      </c>
      <c r="E98" s="52">
        <f t="shared" si="19"/>
        <v>60</v>
      </c>
      <c r="F98" s="52">
        <f t="shared" si="20"/>
        <v>84</v>
      </c>
    </row>
    <row r="99" spans="2:6" hidden="1" outlineLevel="1">
      <c r="B99" s="14">
        <v>2061</v>
      </c>
      <c r="C99" s="52">
        <f t="shared" si="17"/>
        <v>60</v>
      </c>
      <c r="D99" s="52">
        <f t="shared" si="18"/>
        <v>84</v>
      </c>
      <c r="E99" s="52">
        <f t="shared" si="19"/>
        <v>60</v>
      </c>
      <c r="F99" s="52">
        <f t="shared" si="20"/>
        <v>84</v>
      </c>
    </row>
    <row r="100" spans="2:6" hidden="1" outlineLevel="1">
      <c r="B100" s="14">
        <v>2062</v>
      </c>
      <c r="C100" s="52">
        <f t="shared" si="17"/>
        <v>60</v>
      </c>
      <c r="D100" s="52">
        <f t="shared" si="18"/>
        <v>84</v>
      </c>
      <c r="E100" s="52">
        <f t="shared" si="19"/>
        <v>60</v>
      </c>
      <c r="F100" s="52">
        <f t="shared" si="20"/>
        <v>84</v>
      </c>
    </row>
    <row r="101" spans="2:6" hidden="1" outlineLevel="1">
      <c r="B101" s="14">
        <v>2063</v>
      </c>
      <c r="C101" s="52">
        <f t="shared" si="17"/>
        <v>60</v>
      </c>
      <c r="D101" s="52">
        <f t="shared" si="18"/>
        <v>84</v>
      </c>
      <c r="E101" s="52">
        <f t="shared" si="19"/>
        <v>60</v>
      </c>
      <c r="F101" s="52">
        <f t="shared" si="20"/>
        <v>84</v>
      </c>
    </row>
    <row r="102" spans="2:6" hidden="1" outlineLevel="1">
      <c r="B102" s="14">
        <v>2064</v>
      </c>
      <c r="C102" s="52">
        <f t="shared" si="17"/>
        <v>60</v>
      </c>
      <c r="D102" s="52">
        <f t="shared" si="18"/>
        <v>84</v>
      </c>
      <c r="E102" s="52">
        <f t="shared" si="19"/>
        <v>60</v>
      </c>
      <c r="F102" s="52">
        <f t="shared" si="20"/>
        <v>84</v>
      </c>
    </row>
    <row r="103" spans="2:6" hidden="1" outlineLevel="1">
      <c r="B103" s="14">
        <v>2065</v>
      </c>
      <c r="C103" s="52">
        <f t="shared" si="17"/>
        <v>60</v>
      </c>
      <c r="D103" s="52">
        <f t="shared" si="18"/>
        <v>84</v>
      </c>
      <c r="E103" s="52">
        <f t="shared" si="19"/>
        <v>60</v>
      </c>
      <c r="F103" s="52">
        <f t="shared" si="20"/>
        <v>84</v>
      </c>
    </row>
    <row r="104" spans="2:6" hidden="1" outlineLevel="1">
      <c r="B104" s="14">
        <v>2066</v>
      </c>
      <c r="C104" s="52">
        <f t="shared" si="17"/>
        <v>60</v>
      </c>
      <c r="D104" s="52">
        <f t="shared" si="18"/>
        <v>84</v>
      </c>
      <c r="E104" s="52">
        <f t="shared" si="19"/>
        <v>60</v>
      </c>
      <c r="F104" s="52">
        <f t="shared" si="20"/>
        <v>84</v>
      </c>
    </row>
    <row r="105" spans="2:6" hidden="1" outlineLevel="1">
      <c r="B105" s="14">
        <v>2067</v>
      </c>
      <c r="C105" s="52">
        <f t="shared" si="17"/>
        <v>60</v>
      </c>
      <c r="D105" s="52">
        <f t="shared" si="18"/>
        <v>84</v>
      </c>
      <c r="E105" s="52">
        <f t="shared" si="19"/>
        <v>60</v>
      </c>
      <c r="F105" s="52">
        <f t="shared" si="20"/>
        <v>84</v>
      </c>
    </row>
    <row r="106" spans="2:6" hidden="1" outlineLevel="1">
      <c r="B106" s="14">
        <v>2068</v>
      </c>
      <c r="C106" s="52">
        <f t="shared" si="17"/>
        <v>60</v>
      </c>
      <c r="D106" s="52">
        <f t="shared" si="18"/>
        <v>84</v>
      </c>
      <c r="E106" s="52">
        <f t="shared" si="19"/>
        <v>60</v>
      </c>
      <c r="F106" s="52">
        <f t="shared" si="20"/>
        <v>84</v>
      </c>
    </row>
    <row r="107" spans="2:6" hidden="1" outlineLevel="1">
      <c r="B107" s="14">
        <v>2069</v>
      </c>
      <c r="C107" s="52">
        <f t="shared" si="17"/>
        <v>60</v>
      </c>
      <c r="D107" s="52">
        <f t="shared" si="18"/>
        <v>84</v>
      </c>
      <c r="E107" s="52">
        <f t="shared" si="19"/>
        <v>60</v>
      </c>
      <c r="F107" s="52">
        <f t="shared" si="20"/>
        <v>84</v>
      </c>
    </row>
    <row r="108" spans="2:6" hidden="1" outlineLevel="1">
      <c r="B108" s="49">
        <v>2070</v>
      </c>
      <c r="C108" s="58">
        <f t="shared" si="17"/>
        <v>60</v>
      </c>
      <c r="D108" s="58">
        <f t="shared" si="18"/>
        <v>84</v>
      </c>
      <c r="E108" s="58">
        <f t="shared" si="19"/>
        <v>60</v>
      </c>
      <c r="F108" s="58">
        <f t="shared" si="20"/>
        <v>84</v>
      </c>
    </row>
    <row r="109" spans="2:6" hidden="1" outlineLevel="1">
      <c r="B109" s="24" t="s">
        <v>139</v>
      </c>
    </row>
    <row r="110" spans="2:6" hidden="1" outlineLevel="1">
      <c r="B110" s="36" t="s">
        <v>140</v>
      </c>
    </row>
    <row r="111" spans="2:6" hidden="1" outlineLevel="1">
      <c r="B111" s="36" t="s">
        <v>141</v>
      </c>
    </row>
    <row r="112" spans="2:6" hidden="1" outlineLevel="1">
      <c r="B112" s="36" t="s">
        <v>142</v>
      </c>
    </row>
    <row r="113" spans="2:19" hidden="1" outlineLevel="1">
      <c r="B113" s="36" t="s">
        <v>143</v>
      </c>
    </row>
    <row r="114" spans="2:19" hidden="1" outlineLevel="1"/>
    <row r="115" spans="2:19" hidden="1" outlineLevel="1"/>
    <row r="116" spans="2:19" hidden="1" outlineLevel="1"/>
    <row r="117" spans="2:19" hidden="1" outlineLevel="1">
      <c r="B117" s="62" t="s">
        <v>144</v>
      </c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</row>
    <row r="118" spans="2:19" hidden="1" outlineLevel="1">
      <c r="B118" s="4" t="s">
        <v>145</v>
      </c>
      <c r="C118" s="52" t="str">
        <f>IF(MAX(MAX($C$65:$F$108),MAX($Z$17:$AA$17))&lt;=97,"OK","Ampliar j")</f>
        <v>OK</v>
      </c>
      <c r="I118" s="81" t="s">
        <v>146</v>
      </c>
      <c r="J118" s="81"/>
      <c r="K118" s="81"/>
      <c r="L118" s="81"/>
      <c r="M118" s="81"/>
      <c r="N118" s="81"/>
      <c r="O118" s="81"/>
      <c r="P118" s="81"/>
      <c r="Q118" s="81"/>
      <c r="R118" s="81"/>
    </row>
    <row r="119" spans="2:19" ht="42" hidden="1" customHeight="1" outlineLevel="1">
      <c r="B119" s="53" t="s">
        <v>104</v>
      </c>
      <c r="C119" s="54" t="s">
        <v>105</v>
      </c>
      <c r="D119" s="54" t="s">
        <v>106</v>
      </c>
      <c r="E119" s="54" t="s">
        <v>147</v>
      </c>
      <c r="F119" s="54" t="s">
        <v>148</v>
      </c>
      <c r="G119" s="54" t="s">
        <v>110</v>
      </c>
      <c r="H119" s="54" t="s">
        <v>149</v>
      </c>
      <c r="I119" s="54">
        <v>0</v>
      </c>
      <c r="J119" s="54">
        <v>1</v>
      </c>
      <c r="K119" s="54">
        <v>2</v>
      </c>
      <c r="L119" s="54">
        <v>3</v>
      </c>
      <c r="M119" s="54">
        <v>4</v>
      </c>
      <c r="N119" s="54">
        <v>5</v>
      </c>
      <c r="O119" s="54">
        <v>6</v>
      </c>
      <c r="P119" s="54">
        <v>7</v>
      </c>
      <c r="Q119" s="54">
        <v>8</v>
      </c>
      <c r="R119" s="54">
        <v>9</v>
      </c>
      <c r="S119" s="54" t="s">
        <v>150</v>
      </c>
    </row>
    <row r="120" spans="2:19" hidden="1" outlineLevel="1">
      <c r="B120" s="14" t="s">
        <v>39</v>
      </c>
      <c r="C120" s="15" t="s">
        <v>65</v>
      </c>
      <c r="D120" s="52">
        <v>2027</v>
      </c>
      <c r="E120" s="34">
        <v>1</v>
      </c>
      <c r="F120" s="38">
        <f t="shared" ref="F120:F183" si="21">IF($C120="Homens",INDEX($C$5:$C$55,MATCH($D120,$B$5:$B$55,0)),INDEX($F$5:$F$55,MATCH($D120,$B$5:$B$55,0)))/12</f>
        <v>15026.156394669857</v>
      </c>
      <c r="G120" s="34">
        <f t="shared" ref="G120:G183" si="22">IF($C120="Homens",$Z$17,$AA$17)</f>
        <v>9</v>
      </c>
      <c r="H120" s="34">
        <f t="shared" ref="H120:H183" si="23">1+2*($B120="Com Transição")+($C120="Mulheres")</f>
        <v>1</v>
      </c>
      <c r="I120" s="34" t="str">
        <f t="shared" ref="I120:R129" si="24">IF($D120&lt;$Z$18,"",IF(MAX($G120,INDEX($C$65:$F$108,$D120+I$119-2026,$H120))&lt;=12*I$119-$E120+12,MAX($G120,12*I$119-$E120+1,INDEX($C$65:$F$108,$D120+I$119-2026,$H120)),""))</f>
        <v/>
      </c>
      <c r="J120" s="34" t="str">
        <f t="shared" si="24"/>
        <v/>
      </c>
      <c r="K120" s="34" t="str">
        <f t="shared" si="24"/>
        <v/>
      </c>
      <c r="L120" s="34" t="str">
        <f t="shared" si="24"/>
        <v/>
      </c>
      <c r="M120" s="34" t="str">
        <f t="shared" si="24"/>
        <v/>
      </c>
      <c r="N120" s="34">
        <f t="shared" si="24"/>
        <v>60</v>
      </c>
      <c r="O120" s="34">
        <f t="shared" si="24"/>
        <v>72</v>
      </c>
      <c r="P120" s="34">
        <f t="shared" si="24"/>
        <v>84</v>
      </c>
      <c r="Q120" s="34">
        <f t="shared" si="24"/>
        <v>96</v>
      </c>
      <c r="R120" s="34">
        <f t="shared" si="24"/>
        <v>108</v>
      </c>
      <c r="S120" s="35">
        <f t="shared" ref="S120:S183" si="25">IF($D120&lt;$Z$18,$G120,MIN(I120:R120))</f>
        <v>60</v>
      </c>
    </row>
    <row r="121" spans="2:19" hidden="1" outlineLevel="1">
      <c r="B121" s="14" t="s">
        <v>39</v>
      </c>
      <c r="C121" s="15" t="s">
        <v>65</v>
      </c>
      <c r="D121" s="52">
        <v>2027</v>
      </c>
      <c r="E121" s="34">
        <v>2</v>
      </c>
      <c r="F121" s="38">
        <f t="shared" si="21"/>
        <v>15026.156394669857</v>
      </c>
      <c r="G121" s="34">
        <f t="shared" si="22"/>
        <v>9</v>
      </c>
      <c r="H121" s="34">
        <f t="shared" si="23"/>
        <v>1</v>
      </c>
      <c r="I121" s="34" t="str">
        <f t="shared" si="24"/>
        <v/>
      </c>
      <c r="J121" s="34" t="str">
        <f t="shared" si="24"/>
        <v/>
      </c>
      <c r="K121" s="34" t="str">
        <f t="shared" si="24"/>
        <v/>
      </c>
      <c r="L121" s="34" t="str">
        <f t="shared" si="24"/>
        <v/>
      </c>
      <c r="M121" s="34" t="str">
        <f t="shared" si="24"/>
        <v/>
      </c>
      <c r="N121" s="34">
        <f t="shared" si="24"/>
        <v>60</v>
      </c>
      <c r="O121" s="34">
        <f t="shared" si="24"/>
        <v>71</v>
      </c>
      <c r="P121" s="34">
        <f t="shared" si="24"/>
        <v>83</v>
      </c>
      <c r="Q121" s="34">
        <f t="shared" si="24"/>
        <v>95</v>
      </c>
      <c r="R121" s="34">
        <f t="shared" si="24"/>
        <v>107</v>
      </c>
      <c r="S121" s="35">
        <f t="shared" si="25"/>
        <v>60</v>
      </c>
    </row>
    <row r="122" spans="2:19" hidden="1" outlineLevel="1">
      <c r="B122" s="14" t="s">
        <v>39</v>
      </c>
      <c r="C122" s="15" t="s">
        <v>65</v>
      </c>
      <c r="D122" s="52">
        <v>2027</v>
      </c>
      <c r="E122" s="34">
        <v>3</v>
      </c>
      <c r="F122" s="38">
        <f t="shared" si="21"/>
        <v>15026.156394669857</v>
      </c>
      <c r="G122" s="34">
        <f t="shared" si="22"/>
        <v>9</v>
      </c>
      <c r="H122" s="34">
        <f t="shared" si="23"/>
        <v>1</v>
      </c>
      <c r="I122" s="34" t="str">
        <f t="shared" si="24"/>
        <v/>
      </c>
      <c r="J122" s="34" t="str">
        <f t="shared" si="24"/>
        <v/>
      </c>
      <c r="K122" s="34" t="str">
        <f t="shared" si="24"/>
        <v/>
      </c>
      <c r="L122" s="34" t="str">
        <f t="shared" si="24"/>
        <v/>
      </c>
      <c r="M122" s="34" t="str">
        <f t="shared" si="24"/>
        <v/>
      </c>
      <c r="N122" s="34">
        <f t="shared" si="24"/>
        <v>60</v>
      </c>
      <c r="O122" s="34">
        <f t="shared" si="24"/>
        <v>70</v>
      </c>
      <c r="P122" s="34">
        <f t="shared" si="24"/>
        <v>82</v>
      </c>
      <c r="Q122" s="34">
        <f t="shared" si="24"/>
        <v>94</v>
      </c>
      <c r="R122" s="34">
        <f t="shared" si="24"/>
        <v>106</v>
      </c>
      <c r="S122" s="35">
        <f t="shared" si="25"/>
        <v>60</v>
      </c>
    </row>
    <row r="123" spans="2:19" hidden="1" outlineLevel="1">
      <c r="B123" s="14" t="s">
        <v>39</v>
      </c>
      <c r="C123" s="15" t="s">
        <v>65</v>
      </c>
      <c r="D123" s="52">
        <v>2027</v>
      </c>
      <c r="E123" s="34">
        <v>4</v>
      </c>
      <c r="F123" s="38">
        <f t="shared" si="21"/>
        <v>15026.156394669857</v>
      </c>
      <c r="G123" s="34">
        <f t="shared" si="22"/>
        <v>9</v>
      </c>
      <c r="H123" s="34">
        <f t="shared" si="23"/>
        <v>1</v>
      </c>
      <c r="I123" s="34" t="str">
        <f t="shared" si="24"/>
        <v/>
      </c>
      <c r="J123" s="34" t="str">
        <f t="shared" si="24"/>
        <v/>
      </c>
      <c r="K123" s="34" t="str">
        <f t="shared" si="24"/>
        <v/>
      </c>
      <c r="L123" s="34" t="str">
        <f t="shared" si="24"/>
        <v/>
      </c>
      <c r="M123" s="34" t="str">
        <f t="shared" si="24"/>
        <v/>
      </c>
      <c r="N123" s="34">
        <f t="shared" si="24"/>
        <v>60</v>
      </c>
      <c r="O123" s="34">
        <f t="shared" si="24"/>
        <v>69</v>
      </c>
      <c r="P123" s="34">
        <f t="shared" si="24"/>
        <v>81</v>
      </c>
      <c r="Q123" s="34">
        <f t="shared" si="24"/>
        <v>93</v>
      </c>
      <c r="R123" s="34">
        <f t="shared" si="24"/>
        <v>105</v>
      </c>
      <c r="S123" s="35">
        <f t="shared" si="25"/>
        <v>60</v>
      </c>
    </row>
    <row r="124" spans="2:19" hidden="1" outlineLevel="1">
      <c r="B124" s="14" t="s">
        <v>39</v>
      </c>
      <c r="C124" s="15" t="s">
        <v>65</v>
      </c>
      <c r="D124" s="52">
        <v>2027</v>
      </c>
      <c r="E124" s="34">
        <v>5</v>
      </c>
      <c r="F124" s="38">
        <f t="shared" si="21"/>
        <v>15026.156394669857</v>
      </c>
      <c r="G124" s="34">
        <f t="shared" si="22"/>
        <v>9</v>
      </c>
      <c r="H124" s="34">
        <f t="shared" si="23"/>
        <v>1</v>
      </c>
      <c r="I124" s="34" t="str">
        <f t="shared" si="24"/>
        <v/>
      </c>
      <c r="J124" s="34" t="str">
        <f t="shared" si="24"/>
        <v/>
      </c>
      <c r="K124" s="34" t="str">
        <f t="shared" si="24"/>
        <v/>
      </c>
      <c r="L124" s="34" t="str">
        <f t="shared" si="24"/>
        <v/>
      </c>
      <c r="M124" s="34" t="str">
        <f t="shared" si="24"/>
        <v/>
      </c>
      <c r="N124" s="34">
        <f t="shared" si="24"/>
        <v>60</v>
      </c>
      <c r="O124" s="34">
        <f t="shared" si="24"/>
        <v>68</v>
      </c>
      <c r="P124" s="34">
        <f t="shared" si="24"/>
        <v>80</v>
      </c>
      <c r="Q124" s="34">
        <f t="shared" si="24"/>
        <v>92</v>
      </c>
      <c r="R124" s="34">
        <f t="shared" si="24"/>
        <v>104</v>
      </c>
      <c r="S124" s="35">
        <f t="shared" si="25"/>
        <v>60</v>
      </c>
    </row>
    <row r="125" spans="2:19" hidden="1" outlineLevel="1">
      <c r="B125" s="14" t="s">
        <v>39</v>
      </c>
      <c r="C125" s="15" t="s">
        <v>65</v>
      </c>
      <c r="D125" s="52">
        <v>2027</v>
      </c>
      <c r="E125" s="34">
        <v>6</v>
      </c>
      <c r="F125" s="38">
        <f t="shared" si="21"/>
        <v>15026.156394669857</v>
      </c>
      <c r="G125" s="34">
        <f t="shared" si="22"/>
        <v>9</v>
      </c>
      <c r="H125" s="34">
        <f t="shared" si="23"/>
        <v>1</v>
      </c>
      <c r="I125" s="34" t="str">
        <f t="shared" si="24"/>
        <v/>
      </c>
      <c r="J125" s="34" t="str">
        <f t="shared" si="24"/>
        <v/>
      </c>
      <c r="K125" s="34" t="str">
        <f t="shared" si="24"/>
        <v/>
      </c>
      <c r="L125" s="34" t="str">
        <f t="shared" si="24"/>
        <v/>
      </c>
      <c r="M125" s="34" t="str">
        <f t="shared" si="24"/>
        <v/>
      </c>
      <c r="N125" s="34">
        <f t="shared" si="24"/>
        <v>60</v>
      </c>
      <c r="O125" s="34">
        <f t="shared" si="24"/>
        <v>67</v>
      </c>
      <c r="P125" s="34">
        <f t="shared" si="24"/>
        <v>79</v>
      </c>
      <c r="Q125" s="34">
        <f t="shared" si="24"/>
        <v>91</v>
      </c>
      <c r="R125" s="34">
        <f t="shared" si="24"/>
        <v>103</v>
      </c>
      <c r="S125" s="35">
        <f t="shared" si="25"/>
        <v>60</v>
      </c>
    </row>
    <row r="126" spans="2:19" hidden="1" outlineLevel="1">
      <c r="B126" s="14" t="s">
        <v>39</v>
      </c>
      <c r="C126" s="15" t="s">
        <v>65</v>
      </c>
      <c r="D126" s="52">
        <v>2027</v>
      </c>
      <c r="E126" s="34">
        <v>7</v>
      </c>
      <c r="F126" s="38">
        <f t="shared" si="21"/>
        <v>15026.156394669857</v>
      </c>
      <c r="G126" s="34">
        <f t="shared" si="22"/>
        <v>9</v>
      </c>
      <c r="H126" s="34">
        <f t="shared" si="23"/>
        <v>1</v>
      </c>
      <c r="I126" s="34" t="str">
        <f t="shared" si="24"/>
        <v/>
      </c>
      <c r="J126" s="34" t="str">
        <f t="shared" si="24"/>
        <v/>
      </c>
      <c r="K126" s="34" t="str">
        <f t="shared" si="24"/>
        <v/>
      </c>
      <c r="L126" s="34" t="str">
        <f t="shared" si="24"/>
        <v/>
      </c>
      <c r="M126" s="34" t="str">
        <f t="shared" si="24"/>
        <v/>
      </c>
      <c r="N126" s="34">
        <f t="shared" si="24"/>
        <v>60</v>
      </c>
      <c r="O126" s="34">
        <f t="shared" si="24"/>
        <v>66</v>
      </c>
      <c r="P126" s="34">
        <f t="shared" si="24"/>
        <v>78</v>
      </c>
      <c r="Q126" s="34">
        <f t="shared" si="24"/>
        <v>90</v>
      </c>
      <c r="R126" s="34">
        <f t="shared" si="24"/>
        <v>102</v>
      </c>
      <c r="S126" s="35">
        <f t="shared" si="25"/>
        <v>60</v>
      </c>
    </row>
    <row r="127" spans="2:19" hidden="1" outlineLevel="1">
      <c r="B127" s="14" t="s">
        <v>39</v>
      </c>
      <c r="C127" s="15" t="s">
        <v>65</v>
      </c>
      <c r="D127" s="52">
        <v>2027</v>
      </c>
      <c r="E127" s="34">
        <v>8</v>
      </c>
      <c r="F127" s="38">
        <f t="shared" si="21"/>
        <v>15026.156394669857</v>
      </c>
      <c r="G127" s="34">
        <f t="shared" si="22"/>
        <v>9</v>
      </c>
      <c r="H127" s="34">
        <f t="shared" si="23"/>
        <v>1</v>
      </c>
      <c r="I127" s="34" t="str">
        <f t="shared" si="24"/>
        <v/>
      </c>
      <c r="J127" s="34" t="str">
        <f t="shared" si="24"/>
        <v/>
      </c>
      <c r="K127" s="34" t="str">
        <f t="shared" si="24"/>
        <v/>
      </c>
      <c r="L127" s="34" t="str">
        <f t="shared" si="24"/>
        <v/>
      </c>
      <c r="M127" s="34" t="str">
        <f t="shared" si="24"/>
        <v/>
      </c>
      <c r="N127" s="34">
        <f t="shared" si="24"/>
        <v>60</v>
      </c>
      <c r="O127" s="34">
        <f t="shared" si="24"/>
        <v>65</v>
      </c>
      <c r="P127" s="34">
        <f t="shared" si="24"/>
        <v>77</v>
      </c>
      <c r="Q127" s="34">
        <f t="shared" si="24"/>
        <v>89</v>
      </c>
      <c r="R127" s="34">
        <f t="shared" si="24"/>
        <v>101</v>
      </c>
      <c r="S127" s="35">
        <f t="shared" si="25"/>
        <v>60</v>
      </c>
    </row>
    <row r="128" spans="2:19" hidden="1" outlineLevel="1">
      <c r="B128" s="14" t="s">
        <v>39</v>
      </c>
      <c r="C128" s="15" t="s">
        <v>65</v>
      </c>
      <c r="D128" s="52">
        <v>2027</v>
      </c>
      <c r="E128" s="34">
        <v>9</v>
      </c>
      <c r="F128" s="38">
        <f t="shared" si="21"/>
        <v>15026.156394669857</v>
      </c>
      <c r="G128" s="34">
        <f t="shared" si="22"/>
        <v>9</v>
      </c>
      <c r="H128" s="34">
        <f t="shared" si="23"/>
        <v>1</v>
      </c>
      <c r="I128" s="34" t="str">
        <f t="shared" si="24"/>
        <v/>
      </c>
      <c r="J128" s="34" t="str">
        <f t="shared" si="24"/>
        <v/>
      </c>
      <c r="K128" s="34" t="str">
        <f t="shared" si="24"/>
        <v/>
      </c>
      <c r="L128" s="34" t="str">
        <f t="shared" si="24"/>
        <v/>
      </c>
      <c r="M128" s="34" t="str">
        <f t="shared" si="24"/>
        <v/>
      </c>
      <c r="N128" s="34">
        <f t="shared" si="24"/>
        <v>60</v>
      </c>
      <c r="O128" s="34">
        <f t="shared" si="24"/>
        <v>64</v>
      </c>
      <c r="P128" s="34">
        <f t="shared" si="24"/>
        <v>76</v>
      </c>
      <c r="Q128" s="34">
        <f t="shared" si="24"/>
        <v>88</v>
      </c>
      <c r="R128" s="34">
        <f t="shared" si="24"/>
        <v>100</v>
      </c>
      <c r="S128" s="35">
        <f t="shared" si="25"/>
        <v>60</v>
      </c>
    </row>
    <row r="129" spans="2:19" hidden="1" outlineLevel="1">
      <c r="B129" s="14" t="s">
        <v>39</v>
      </c>
      <c r="C129" s="15" t="s">
        <v>65</v>
      </c>
      <c r="D129" s="52">
        <v>2027</v>
      </c>
      <c r="E129" s="34">
        <v>10</v>
      </c>
      <c r="F129" s="38">
        <f t="shared" si="21"/>
        <v>15026.156394669857</v>
      </c>
      <c r="G129" s="34">
        <f t="shared" si="22"/>
        <v>9</v>
      </c>
      <c r="H129" s="34">
        <f t="shared" si="23"/>
        <v>1</v>
      </c>
      <c r="I129" s="34" t="str">
        <f t="shared" si="24"/>
        <v/>
      </c>
      <c r="J129" s="34" t="str">
        <f t="shared" si="24"/>
        <v/>
      </c>
      <c r="K129" s="34" t="str">
        <f t="shared" si="24"/>
        <v/>
      </c>
      <c r="L129" s="34" t="str">
        <f t="shared" si="24"/>
        <v/>
      </c>
      <c r="M129" s="34" t="str">
        <f t="shared" si="24"/>
        <v/>
      </c>
      <c r="N129" s="34">
        <f t="shared" si="24"/>
        <v>60</v>
      </c>
      <c r="O129" s="34">
        <f t="shared" si="24"/>
        <v>63</v>
      </c>
      <c r="P129" s="34">
        <f t="shared" si="24"/>
        <v>75</v>
      </c>
      <c r="Q129" s="34">
        <f t="shared" si="24"/>
        <v>87</v>
      </c>
      <c r="R129" s="34">
        <f t="shared" si="24"/>
        <v>99</v>
      </c>
      <c r="S129" s="35">
        <f t="shared" si="25"/>
        <v>60</v>
      </c>
    </row>
    <row r="130" spans="2:19" hidden="1" outlineLevel="1">
      <c r="B130" s="14" t="s">
        <v>39</v>
      </c>
      <c r="C130" s="15" t="s">
        <v>65</v>
      </c>
      <c r="D130" s="52">
        <v>2027</v>
      </c>
      <c r="E130" s="34">
        <v>11</v>
      </c>
      <c r="F130" s="38">
        <f t="shared" si="21"/>
        <v>15026.156394669857</v>
      </c>
      <c r="G130" s="34">
        <f t="shared" si="22"/>
        <v>9</v>
      </c>
      <c r="H130" s="34">
        <f t="shared" si="23"/>
        <v>1</v>
      </c>
      <c r="I130" s="34" t="str">
        <f t="shared" ref="I130:R139" si="26">IF($D130&lt;$Z$18,"",IF(MAX($G130,INDEX($C$65:$F$108,$D130+I$119-2026,$H130))&lt;=12*I$119-$E130+12,MAX($G130,12*I$119-$E130+1,INDEX($C$65:$F$108,$D130+I$119-2026,$H130)),""))</f>
        <v/>
      </c>
      <c r="J130" s="34" t="str">
        <f t="shared" si="26"/>
        <v/>
      </c>
      <c r="K130" s="34" t="str">
        <f t="shared" si="26"/>
        <v/>
      </c>
      <c r="L130" s="34" t="str">
        <f t="shared" si="26"/>
        <v/>
      </c>
      <c r="M130" s="34" t="str">
        <f t="shared" si="26"/>
        <v/>
      </c>
      <c r="N130" s="34">
        <f t="shared" si="26"/>
        <v>60</v>
      </c>
      <c r="O130" s="34">
        <f t="shared" si="26"/>
        <v>62</v>
      </c>
      <c r="P130" s="34">
        <f t="shared" si="26"/>
        <v>74</v>
      </c>
      <c r="Q130" s="34">
        <f t="shared" si="26"/>
        <v>86</v>
      </c>
      <c r="R130" s="34">
        <f t="shared" si="26"/>
        <v>98</v>
      </c>
      <c r="S130" s="35">
        <f t="shared" si="25"/>
        <v>60</v>
      </c>
    </row>
    <row r="131" spans="2:19" hidden="1" outlineLevel="1">
      <c r="B131" s="14" t="s">
        <v>39</v>
      </c>
      <c r="C131" s="15" t="s">
        <v>65</v>
      </c>
      <c r="D131" s="52">
        <v>2027</v>
      </c>
      <c r="E131" s="34">
        <v>12</v>
      </c>
      <c r="F131" s="38">
        <f t="shared" si="21"/>
        <v>15026.156394669857</v>
      </c>
      <c r="G131" s="34">
        <f t="shared" si="22"/>
        <v>9</v>
      </c>
      <c r="H131" s="34">
        <f t="shared" si="23"/>
        <v>1</v>
      </c>
      <c r="I131" s="34" t="str">
        <f t="shared" si="26"/>
        <v/>
      </c>
      <c r="J131" s="34" t="str">
        <f t="shared" si="26"/>
        <v/>
      </c>
      <c r="K131" s="34" t="str">
        <f t="shared" si="26"/>
        <v/>
      </c>
      <c r="L131" s="34" t="str">
        <f t="shared" si="26"/>
        <v/>
      </c>
      <c r="M131" s="34" t="str">
        <f t="shared" si="26"/>
        <v/>
      </c>
      <c r="N131" s="34">
        <f t="shared" si="26"/>
        <v>60</v>
      </c>
      <c r="O131" s="34">
        <f t="shared" si="26"/>
        <v>61</v>
      </c>
      <c r="P131" s="34">
        <f t="shared" si="26"/>
        <v>73</v>
      </c>
      <c r="Q131" s="34">
        <f t="shared" si="26"/>
        <v>85</v>
      </c>
      <c r="R131" s="34">
        <f t="shared" si="26"/>
        <v>97</v>
      </c>
      <c r="S131" s="35">
        <f t="shared" si="25"/>
        <v>60</v>
      </c>
    </row>
    <row r="132" spans="2:19" hidden="1" outlineLevel="1">
      <c r="B132" s="14" t="s">
        <v>39</v>
      </c>
      <c r="C132" s="15" t="s">
        <v>65</v>
      </c>
      <c r="D132" s="52">
        <v>2028</v>
      </c>
      <c r="E132" s="34">
        <v>1</v>
      </c>
      <c r="F132" s="38">
        <f t="shared" si="21"/>
        <v>15151.953956330208</v>
      </c>
      <c r="G132" s="34">
        <f t="shared" si="22"/>
        <v>9</v>
      </c>
      <c r="H132" s="34">
        <f t="shared" si="23"/>
        <v>1</v>
      </c>
      <c r="I132" s="34" t="str">
        <f t="shared" si="26"/>
        <v/>
      </c>
      <c r="J132" s="34" t="str">
        <f t="shared" si="26"/>
        <v/>
      </c>
      <c r="K132" s="34" t="str">
        <f t="shared" si="26"/>
        <v/>
      </c>
      <c r="L132" s="34" t="str">
        <f t="shared" si="26"/>
        <v/>
      </c>
      <c r="M132" s="34" t="str">
        <f t="shared" si="26"/>
        <v/>
      </c>
      <c r="N132" s="34">
        <f t="shared" si="26"/>
        <v>60</v>
      </c>
      <c r="O132" s="34">
        <f t="shared" si="26"/>
        <v>72</v>
      </c>
      <c r="P132" s="34">
        <f t="shared" si="26"/>
        <v>84</v>
      </c>
      <c r="Q132" s="34">
        <f t="shared" si="26"/>
        <v>96</v>
      </c>
      <c r="R132" s="34">
        <f t="shared" si="26"/>
        <v>108</v>
      </c>
      <c r="S132" s="35">
        <f t="shared" si="25"/>
        <v>60</v>
      </c>
    </row>
    <row r="133" spans="2:19" hidden="1" outlineLevel="1">
      <c r="B133" s="14" t="s">
        <v>39</v>
      </c>
      <c r="C133" s="15" t="s">
        <v>65</v>
      </c>
      <c r="D133" s="52">
        <v>2028</v>
      </c>
      <c r="E133" s="34">
        <v>2</v>
      </c>
      <c r="F133" s="38">
        <f t="shared" si="21"/>
        <v>15151.953956330208</v>
      </c>
      <c r="G133" s="34">
        <f t="shared" si="22"/>
        <v>9</v>
      </c>
      <c r="H133" s="34">
        <f t="shared" si="23"/>
        <v>1</v>
      </c>
      <c r="I133" s="34" t="str">
        <f t="shared" si="26"/>
        <v/>
      </c>
      <c r="J133" s="34" t="str">
        <f t="shared" si="26"/>
        <v/>
      </c>
      <c r="K133" s="34" t="str">
        <f t="shared" si="26"/>
        <v/>
      </c>
      <c r="L133" s="34" t="str">
        <f t="shared" si="26"/>
        <v/>
      </c>
      <c r="M133" s="34" t="str">
        <f t="shared" si="26"/>
        <v/>
      </c>
      <c r="N133" s="34">
        <f t="shared" si="26"/>
        <v>60</v>
      </c>
      <c r="O133" s="34">
        <f t="shared" si="26"/>
        <v>71</v>
      </c>
      <c r="P133" s="34">
        <f t="shared" si="26"/>
        <v>83</v>
      </c>
      <c r="Q133" s="34">
        <f t="shared" si="26"/>
        <v>95</v>
      </c>
      <c r="R133" s="34">
        <f t="shared" si="26"/>
        <v>107</v>
      </c>
      <c r="S133" s="35">
        <f t="shared" si="25"/>
        <v>60</v>
      </c>
    </row>
    <row r="134" spans="2:19" hidden="1" outlineLevel="1">
      <c r="B134" s="14" t="s">
        <v>39</v>
      </c>
      <c r="C134" s="15" t="s">
        <v>65</v>
      </c>
      <c r="D134" s="52">
        <v>2028</v>
      </c>
      <c r="E134" s="34">
        <v>3</v>
      </c>
      <c r="F134" s="38">
        <f t="shared" si="21"/>
        <v>15151.953956330208</v>
      </c>
      <c r="G134" s="34">
        <f t="shared" si="22"/>
        <v>9</v>
      </c>
      <c r="H134" s="34">
        <f t="shared" si="23"/>
        <v>1</v>
      </c>
      <c r="I134" s="34" t="str">
        <f t="shared" si="26"/>
        <v/>
      </c>
      <c r="J134" s="34" t="str">
        <f t="shared" si="26"/>
        <v/>
      </c>
      <c r="K134" s="34" t="str">
        <f t="shared" si="26"/>
        <v/>
      </c>
      <c r="L134" s="34" t="str">
        <f t="shared" si="26"/>
        <v/>
      </c>
      <c r="M134" s="34" t="str">
        <f t="shared" si="26"/>
        <v/>
      </c>
      <c r="N134" s="34">
        <f t="shared" si="26"/>
        <v>60</v>
      </c>
      <c r="O134" s="34">
        <f t="shared" si="26"/>
        <v>70</v>
      </c>
      <c r="P134" s="34">
        <f t="shared" si="26"/>
        <v>82</v>
      </c>
      <c r="Q134" s="34">
        <f t="shared" si="26"/>
        <v>94</v>
      </c>
      <c r="R134" s="34">
        <f t="shared" si="26"/>
        <v>106</v>
      </c>
      <c r="S134" s="35">
        <f t="shared" si="25"/>
        <v>60</v>
      </c>
    </row>
    <row r="135" spans="2:19" hidden="1" outlineLevel="1">
      <c r="B135" s="14" t="s">
        <v>39</v>
      </c>
      <c r="C135" s="15" t="s">
        <v>65</v>
      </c>
      <c r="D135" s="52">
        <v>2028</v>
      </c>
      <c r="E135" s="34">
        <v>4</v>
      </c>
      <c r="F135" s="38">
        <f t="shared" si="21"/>
        <v>15151.953956330208</v>
      </c>
      <c r="G135" s="34">
        <f t="shared" si="22"/>
        <v>9</v>
      </c>
      <c r="H135" s="34">
        <f t="shared" si="23"/>
        <v>1</v>
      </c>
      <c r="I135" s="34" t="str">
        <f t="shared" si="26"/>
        <v/>
      </c>
      <c r="J135" s="34" t="str">
        <f t="shared" si="26"/>
        <v/>
      </c>
      <c r="K135" s="34" t="str">
        <f t="shared" si="26"/>
        <v/>
      </c>
      <c r="L135" s="34" t="str">
        <f t="shared" si="26"/>
        <v/>
      </c>
      <c r="M135" s="34" t="str">
        <f t="shared" si="26"/>
        <v/>
      </c>
      <c r="N135" s="34">
        <f t="shared" si="26"/>
        <v>60</v>
      </c>
      <c r="O135" s="34">
        <f t="shared" si="26"/>
        <v>69</v>
      </c>
      <c r="P135" s="34">
        <f t="shared" si="26"/>
        <v>81</v>
      </c>
      <c r="Q135" s="34">
        <f t="shared" si="26"/>
        <v>93</v>
      </c>
      <c r="R135" s="34">
        <f t="shared" si="26"/>
        <v>105</v>
      </c>
      <c r="S135" s="35">
        <f t="shared" si="25"/>
        <v>60</v>
      </c>
    </row>
    <row r="136" spans="2:19" hidden="1" outlineLevel="1">
      <c r="B136" s="14" t="s">
        <v>39</v>
      </c>
      <c r="C136" s="15" t="s">
        <v>65</v>
      </c>
      <c r="D136" s="52">
        <v>2028</v>
      </c>
      <c r="E136" s="34">
        <v>5</v>
      </c>
      <c r="F136" s="38">
        <f t="shared" si="21"/>
        <v>15151.953956330208</v>
      </c>
      <c r="G136" s="34">
        <f t="shared" si="22"/>
        <v>9</v>
      </c>
      <c r="H136" s="34">
        <f t="shared" si="23"/>
        <v>1</v>
      </c>
      <c r="I136" s="34" t="str">
        <f t="shared" si="26"/>
        <v/>
      </c>
      <c r="J136" s="34" t="str">
        <f t="shared" si="26"/>
        <v/>
      </c>
      <c r="K136" s="34" t="str">
        <f t="shared" si="26"/>
        <v/>
      </c>
      <c r="L136" s="34" t="str">
        <f t="shared" si="26"/>
        <v/>
      </c>
      <c r="M136" s="34" t="str">
        <f t="shared" si="26"/>
        <v/>
      </c>
      <c r="N136" s="34">
        <f t="shared" si="26"/>
        <v>60</v>
      </c>
      <c r="O136" s="34">
        <f t="shared" si="26"/>
        <v>68</v>
      </c>
      <c r="P136" s="34">
        <f t="shared" si="26"/>
        <v>80</v>
      </c>
      <c r="Q136" s="34">
        <f t="shared" si="26"/>
        <v>92</v>
      </c>
      <c r="R136" s="34">
        <f t="shared" si="26"/>
        <v>104</v>
      </c>
      <c r="S136" s="35">
        <f t="shared" si="25"/>
        <v>60</v>
      </c>
    </row>
    <row r="137" spans="2:19" hidden="1" outlineLevel="1">
      <c r="B137" s="14" t="s">
        <v>39</v>
      </c>
      <c r="C137" s="15" t="s">
        <v>65</v>
      </c>
      <c r="D137" s="52">
        <v>2028</v>
      </c>
      <c r="E137" s="34">
        <v>6</v>
      </c>
      <c r="F137" s="38">
        <f t="shared" si="21"/>
        <v>15151.953956330208</v>
      </c>
      <c r="G137" s="34">
        <f t="shared" si="22"/>
        <v>9</v>
      </c>
      <c r="H137" s="34">
        <f t="shared" si="23"/>
        <v>1</v>
      </c>
      <c r="I137" s="34" t="str">
        <f t="shared" si="26"/>
        <v/>
      </c>
      <c r="J137" s="34" t="str">
        <f t="shared" si="26"/>
        <v/>
      </c>
      <c r="K137" s="34" t="str">
        <f t="shared" si="26"/>
        <v/>
      </c>
      <c r="L137" s="34" t="str">
        <f t="shared" si="26"/>
        <v/>
      </c>
      <c r="M137" s="34" t="str">
        <f t="shared" si="26"/>
        <v/>
      </c>
      <c r="N137" s="34">
        <f t="shared" si="26"/>
        <v>60</v>
      </c>
      <c r="O137" s="34">
        <f t="shared" si="26"/>
        <v>67</v>
      </c>
      <c r="P137" s="34">
        <f t="shared" si="26"/>
        <v>79</v>
      </c>
      <c r="Q137" s="34">
        <f t="shared" si="26"/>
        <v>91</v>
      </c>
      <c r="R137" s="34">
        <f t="shared" si="26"/>
        <v>103</v>
      </c>
      <c r="S137" s="35">
        <f t="shared" si="25"/>
        <v>60</v>
      </c>
    </row>
    <row r="138" spans="2:19" hidden="1" outlineLevel="1">
      <c r="B138" s="14" t="s">
        <v>39</v>
      </c>
      <c r="C138" s="15" t="s">
        <v>65</v>
      </c>
      <c r="D138" s="52">
        <v>2028</v>
      </c>
      <c r="E138" s="34">
        <v>7</v>
      </c>
      <c r="F138" s="38">
        <f t="shared" si="21"/>
        <v>15151.953956330208</v>
      </c>
      <c r="G138" s="34">
        <f t="shared" si="22"/>
        <v>9</v>
      </c>
      <c r="H138" s="34">
        <f t="shared" si="23"/>
        <v>1</v>
      </c>
      <c r="I138" s="34" t="str">
        <f t="shared" si="26"/>
        <v/>
      </c>
      <c r="J138" s="34" t="str">
        <f t="shared" si="26"/>
        <v/>
      </c>
      <c r="K138" s="34" t="str">
        <f t="shared" si="26"/>
        <v/>
      </c>
      <c r="L138" s="34" t="str">
        <f t="shared" si="26"/>
        <v/>
      </c>
      <c r="M138" s="34" t="str">
        <f t="shared" si="26"/>
        <v/>
      </c>
      <c r="N138" s="34">
        <f t="shared" si="26"/>
        <v>60</v>
      </c>
      <c r="O138" s="34">
        <f t="shared" si="26"/>
        <v>66</v>
      </c>
      <c r="P138" s="34">
        <f t="shared" si="26"/>
        <v>78</v>
      </c>
      <c r="Q138" s="34">
        <f t="shared" si="26"/>
        <v>90</v>
      </c>
      <c r="R138" s="34">
        <f t="shared" si="26"/>
        <v>102</v>
      </c>
      <c r="S138" s="35">
        <f t="shared" si="25"/>
        <v>60</v>
      </c>
    </row>
    <row r="139" spans="2:19" hidden="1" outlineLevel="1">
      <c r="B139" s="14" t="s">
        <v>39</v>
      </c>
      <c r="C139" s="15" t="s">
        <v>65</v>
      </c>
      <c r="D139" s="52">
        <v>2028</v>
      </c>
      <c r="E139" s="34">
        <v>8</v>
      </c>
      <c r="F139" s="38">
        <f t="shared" si="21"/>
        <v>15151.953956330208</v>
      </c>
      <c r="G139" s="34">
        <f t="shared" si="22"/>
        <v>9</v>
      </c>
      <c r="H139" s="34">
        <f t="shared" si="23"/>
        <v>1</v>
      </c>
      <c r="I139" s="34" t="str">
        <f t="shared" si="26"/>
        <v/>
      </c>
      <c r="J139" s="34" t="str">
        <f t="shared" si="26"/>
        <v/>
      </c>
      <c r="K139" s="34" t="str">
        <f t="shared" si="26"/>
        <v/>
      </c>
      <c r="L139" s="34" t="str">
        <f t="shared" si="26"/>
        <v/>
      </c>
      <c r="M139" s="34" t="str">
        <f t="shared" si="26"/>
        <v/>
      </c>
      <c r="N139" s="34">
        <f t="shared" si="26"/>
        <v>60</v>
      </c>
      <c r="O139" s="34">
        <f t="shared" si="26"/>
        <v>65</v>
      </c>
      <c r="P139" s="34">
        <f t="shared" si="26"/>
        <v>77</v>
      </c>
      <c r="Q139" s="34">
        <f t="shared" si="26"/>
        <v>89</v>
      </c>
      <c r="R139" s="34">
        <f t="shared" si="26"/>
        <v>101</v>
      </c>
      <c r="S139" s="35">
        <f t="shared" si="25"/>
        <v>60</v>
      </c>
    </row>
    <row r="140" spans="2:19" hidden="1" outlineLevel="1">
      <c r="B140" s="14" t="s">
        <v>39</v>
      </c>
      <c r="C140" s="15" t="s">
        <v>65</v>
      </c>
      <c r="D140" s="52">
        <v>2028</v>
      </c>
      <c r="E140" s="34">
        <v>9</v>
      </c>
      <c r="F140" s="38">
        <f t="shared" si="21"/>
        <v>15151.953956330208</v>
      </c>
      <c r="G140" s="34">
        <f t="shared" si="22"/>
        <v>9</v>
      </c>
      <c r="H140" s="34">
        <f t="shared" si="23"/>
        <v>1</v>
      </c>
      <c r="I140" s="34" t="str">
        <f t="shared" ref="I140:R149" si="27">IF($D140&lt;$Z$18,"",IF(MAX($G140,INDEX($C$65:$F$108,$D140+I$119-2026,$H140))&lt;=12*I$119-$E140+12,MAX($G140,12*I$119-$E140+1,INDEX($C$65:$F$108,$D140+I$119-2026,$H140)),""))</f>
        <v/>
      </c>
      <c r="J140" s="34" t="str">
        <f t="shared" si="27"/>
        <v/>
      </c>
      <c r="K140" s="34" t="str">
        <f t="shared" si="27"/>
        <v/>
      </c>
      <c r="L140" s="34" t="str">
        <f t="shared" si="27"/>
        <v/>
      </c>
      <c r="M140" s="34" t="str">
        <f t="shared" si="27"/>
        <v/>
      </c>
      <c r="N140" s="34">
        <f t="shared" si="27"/>
        <v>60</v>
      </c>
      <c r="O140" s="34">
        <f t="shared" si="27"/>
        <v>64</v>
      </c>
      <c r="P140" s="34">
        <f t="shared" si="27"/>
        <v>76</v>
      </c>
      <c r="Q140" s="34">
        <f t="shared" si="27"/>
        <v>88</v>
      </c>
      <c r="R140" s="34">
        <f t="shared" si="27"/>
        <v>100</v>
      </c>
      <c r="S140" s="35">
        <f t="shared" si="25"/>
        <v>60</v>
      </c>
    </row>
    <row r="141" spans="2:19" hidden="1" outlineLevel="1">
      <c r="B141" s="14" t="s">
        <v>39</v>
      </c>
      <c r="C141" s="15" t="s">
        <v>65</v>
      </c>
      <c r="D141" s="52">
        <v>2028</v>
      </c>
      <c r="E141" s="34">
        <v>10</v>
      </c>
      <c r="F141" s="38">
        <f t="shared" si="21"/>
        <v>15151.953956330208</v>
      </c>
      <c r="G141" s="34">
        <f t="shared" si="22"/>
        <v>9</v>
      </c>
      <c r="H141" s="34">
        <f t="shared" si="23"/>
        <v>1</v>
      </c>
      <c r="I141" s="34" t="str">
        <f t="shared" si="27"/>
        <v/>
      </c>
      <c r="J141" s="34" t="str">
        <f t="shared" si="27"/>
        <v/>
      </c>
      <c r="K141" s="34" t="str">
        <f t="shared" si="27"/>
        <v/>
      </c>
      <c r="L141" s="34" t="str">
        <f t="shared" si="27"/>
        <v/>
      </c>
      <c r="M141" s="34" t="str">
        <f t="shared" si="27"/>
        <v/>
      </c>
      <c r="N141" s="34">
        <f t="shared" si="27"/>
        <v>60</v>
      </c>
      <c r="O141" s="34">
        <f t="shared" si="27"/>
        <v>63</v>
      </c>
      <c r="P141" s="34">
        <f t="shared" si="27"/>
        <v>75</v>
      </c>
      <c r="Q141" s="34">
        <f t="shared" si="27"/>
        <v>87</v>
      </c>
      <c r="R141" s="34">
        <f t="shared" si="27"/>
        <v>99</v>
      </c>
      <c r="S141" s="35">
        <f t="shared" si="25"/>
        <v>60</v>
      </c>
    </row>
    <row r="142" spans="2:19" hidden="1" outlineLevel="1">
      <c r="B142" s="14" t="s">
        <v>39</v>
      </c>
      <c r="C142" s="15" t="s">
        <v>65</v>
      </c>
      <c r="D142" s="52">
        <v>2028</v>
      </c>
      <c r="E142" s="34">
        <v>11</v>
      </c>
      <c r="F142" s="38">
        <f t="shared" si="21"/>
        <v>15151.953956330208</v>
      </c>
      <c r="G142" s="34">
        <f t="shared" si="22"/>
        <v>9</v>
      </c>
      <c r="H142" s="34">
        <f t="shared" si="23"/>
        <v>1</v>
      </c>
      <c r="I142" s="34" t="str">
        <f t="shared" si="27"/>
        <v/>
      </c>
      <c r="J142" s="34" t="str">
        <f t="shared" si="27"/>
        <v/>
      </c>
      <c r="K142" s="34" t="str">
        <f t="shared" si="27"/>
        <v/>
      </c>
      <c r="L142" s="34" t="str">
        <f t="shared" si="27"/>
        <v/>
      </c>
      <c r="M142" s="34" t="str">
        <f t="shared" si="27"/>
        <v/>
      </c>
      <c r="N142" s="34">
        <f t="shared" si="27"/>
        <v>60</v>
      </c>
      <c r="O142" s="34">
        <f t="shared" si="27"/>
        <v>62</v>
      </c>
      <c r="P142" s="34">
        <f t="shared" si="27"/>
        <v>74</v>
      </c>
      <c r="Q142" s="34">
        <f t="shared" si="27"/>
        <v>86</v>
      </c>
      <c r="R142" s="34">
        <f t="shared" si="27"/>
        <v>98</v>
      </c>
      <c r="S142" s="35">
        <f t="shared" si="25"/>
        <v>60</v>
      </c>
    </row>
    <row r="143" spans="2:19" hidden="1" outlineLevel="1">
      <c r="B143" s="14" t="s">
        <v>39</v>
      </c>
      <c r="C143" s="15" t="s">
        <v>65</v>
      </c>
      <c r="D143" s="52">
        <v>2028</v>
      </c>
      <c r="E143" s="34">
        <v>12</v>
      </c>
      <c r="F143" s="38">
        <f t="shared" si="21"/>
        <v>15151.953956330208</v>
      </c>
      <c r="G143" s="34">
        <f t="shared" si="22"/>
        <v>9</v>
      </c>
      <c r="H143" s="34">
        <f t="shared" si="23"/>
        <v>1</v>
      </c>
      <c r="I143" s="34" t="str">
        <f t="shared" si="27"/>
        <v/>
      </c>
      <c r="J143" s="34" t="str">
        <f t="shared" si="27"/>
        <v/>
      </c>
      <c r="K143" s="34" t="str">
        <f t="shared" si="27"/>
        <v/>
      </c>
      <c r="L143" s="34" t="str">
        <f t="shared" si="27"/>
        <v/>
      </c>
      <c r="M143" s="34" t="str">
        <f t="shared" si="27"/>
        <v/>
      </c>
      <c r="N143" s="34">
        <f t="shared" si="27"/>
        <v>60</v>
      </c>
      <c r="O143" s="34">
        <f t="shared" si="27"/>
        <v>61</v>
      </c>
      <c r="P143" s="34">
        <f t="shared" si="27"/>
        <v>73</v>
      </c>
      <c r="Q143" s="34">
        <f t="shared" si="27"/>
        <v>85</v>
      </c>
      <c r="R143" s="34">
        <f t="shared" si="27"/>
        <v>97</v>
      </c>
      <c r="S143" s="35">
        <f t="shared" si="25"/>
        <v>60</v>
      </c>
    </row>
    <row r="144" spans="2:19" hidden="1" outlineLevel="1">
      <c r="B144" s="14" t="s">
        <v>39</v>
      </c>
      <c r="C144" s="15" t="s">
        <v>65</v>
      </c>
      <c r="D144" s="52">
        <v>2029</v>
      </c>
      <c r="E144" s="34">
        <v>1</v>
      </c>
      <c r="F144" s="38">
        <f t="shared" si="21"/>
        <v>15317.166980911841</v>
      </c>
      <c r="G144" s="34">
        <f t="shared" si="22"/>
        <v>9</v>
      </c>
      <c r="H144" s="34">
        <f t="shared" si="23"/>
        <v>1</v>
      </c>
      <c r="I144" s="34" t="str">
        <f t="shared" si="27"/>
        <v/>
      </c>
      <c r="J144" s="34" t="str">
        <f t="shared" si="27"/>
        <v/>
      </c>
      <c r="K144" s="34" t="str">
        <f t="shared" si="27"/>
        <v/>
      </c>
      <c r="L144" s="34" t="str">
        <f t="shared" si="27"/>
        <v/>
      </c>
      <c r="M144" s="34" t="str">
        <f t="shared" si="27"/>
        <v/>
      </c>
      <c r="N144" s="34">
        <f t="shared" si="27"/>
        <v>60</v>
      </c>
      <c r="O144" s="34">
        <f t="shared" si="27"/>
        <v>72</v>
      </c>
      <c r="P144" s="34">
        <f t="shared" si="27"/>
        <v>84</v>
      </c>
      <c r="Q144" s="34">
        <f t="shared" si="27"/>
        <v>96</v>
      </c>
      <c r="R144" s="34">
        <f t="shared" si="27"/>
        <v>108</v>
      </c>
      <c r="S144" s="35">
        <f t="shared" si="25"/>
        <v>60</v>
      </c>
    </row>
    <row r="145" spans="2:19" hidden="1" outlineLevel="1">
      <c r="B145" s="14" t="s">
        <v>39</v>
      </c>
      <c r="C145" s="15" t="s">
        <v>65</v>
      </c>
      <c r="D145" s="52">
        <v>2029</v>
      </c>
      <c r="E145" s="34">
        <v>2</v>
      </c>
      <c r="F145" s="38">
        <f t="shared" si="21"/>
        <v>15317.166980911841</v>
      </c>
      <c r="G145" s="34">
        <f t="shared" si="22"/>
        <v>9</v>
      </c>
      <c r="H145" s="34">
        <f t="shared" si="23"/>
        <v>1</v>
      </c>
      <c r="I145" s="34" t="str">
        <f t="shared" si="27"/>
        <v/>
      </c>
      <c r="J145" s="34" t="str">
        <f t="shared" si="27"/>
        <v/>
      </c>
      <c r="K145" s="34" t="str">
        <f t="shared" si="27"/>
        <v/>
      </c>
      <c r="L145" s="34" t="str">
        <f t="shared" si="27"/>
        <v/>
      </c>
      <c r="M145" s="34" t="str">
        <f t="shared" si="27"/>
        <v/>
      </c>
      <c r="N145" s="34">
        <f t="shared" si="27"/>
        <v>60</v>
      </c>
      <c r="O145" s="34">
        <f t="shared" si="27"/>
        <v>71</v>
      </c>
      <c r="P145" s="34">
        <f t="shared" si="27"/>
        <v>83</v>
      </c>
      <c r="Q145" s="34">
        <f t="shared" si="27"/>
        <v>95</v>
      </c>
      <c r="R145" s="34">
        <f t="shared" si="27"/>
        <v>107</v>
      </c>
      <c r="S145" s="35">
        <f t="shared" si="25"/>
        <v>60</v>
      </c>
    </row>
    <row r="146" spans="2:19" hidden="1" outlineLevel="1">
      <c r="B146" s="14" t="s">
        <v>39</v>
      </c>
      <c r="C146" s="15" t="s">
        <v>65</v>
      </c>
      <c r="D146" s="52">
        <v>2029</v>
      </c>
      <c r="E146" s="34">
        <v>3</v>
      </c>
      <c r="F146" s="38">
        <f t="shared" si="21"/>
        <v>15317.166980911841</v>
      </c>
      <c r="G146" s="34">
        <f t="shared" si="22"/>
        <v>9</v>
      </c>
      <c r="H146" s="34">
        <f t="shared" si="23"/>
        <v>1</v>
      </c>
      <c r="I146" s="34" t="str">
        <f t="shared" si="27"/>
        <v/>
      </c>
      <c r="J146" s="34" t="str">
        <f t="shared" si="27"/>
        <v/>
      </c>
      <c r="K146" s="34" t="str">
        <f t="shared" si="27"/>
        <v/>
      </c>
      <c r="L146" s="34" t="str">
        <f t="shared" si="27"/>
        <v/>
      </c>
      <c r="M146" s="34" t="str">
        <f t="shared" si="27"/>
        <v/>
      </c>
      <c r="N146" s="34">
        <f t="shared" si="27"/>
        <v>60</v>
      </c>
      <c r="O146" s="34">
        <f t="shared" si="27"/>
        <v>70</v>
      </c>
      <c r="P146" s="34">
        <f t="shared" si="27"/>
        <v>82</v>
      </c>
      <c r="Q146" s="34">
        <f t="shared" si="27"/>
        <v>94</v>
      </c>
      <c r="R146" s="34">
        <f t="shared" si="27"/>
        <v>106</v>
      </c>
      <c r="S146" s="35">
        <f t="shared" si="25"/>
        <v>60</v>
      </c>
    </row>
    <row r="147" spans="2:19" hidden="1" outlineLevel="1">
      <c r="B147" s="14" t="s">
        <v>39</v>
      </c>
      <c r="C147" s="15" t="s">
        <v>65</v>
      </c>
      <c r="D147" s="52">
        <v>2029</v>
      </c>
      <c r="E147" s="34">
        <v>4</v>
      </c>
      <c r="F147" s="38">
        <f t="shared" si="21"/>
        <v>15317.166980911841</v>
      </c>
      <c r="G147" s="34">
        <f t="shared" si="22"/>
        <v>9</v>
      </c>
      <c r="H147" s="34">
        <f t="shared" si="23"/>
        <v>1</v>
      </c>
      <c r="I147" s="34" t="str">
        <f t="shared" si="27"/>
        <v/>
      </c>
      <c r="J147" s="34" t="str">
        <f t="shared" si="27"/>
        <v/>
      </c>
      <c r="K147" s="34" t="str">
        <f t="shared" si="27"/>
        <v/>
      </c>
      <c r="L147" s="34" t="str">
        <f t="shared" si="27"/>
        <v/>
      </c>
      <c r="M147" s="34" t="str">
        <f t="shared" si="27"/>
        <v/>
      </c>
      <c r="N147" s="34">
        <f t="shared" si="27"/>
        <v>60</v>
      </c>
      <c r="O147" s="34">
        <f t="shared" si="27"/>
        <v>69</v>
      </c>
      <c r="P147" s="34">
        <f t="shared" si="27"/>
        <v>81</v>
      </c>
      <c r="Q147" s="34">
        <f t="shared" si="27"/>
        <v>93</v>
      </c>
      <c r="R147" s="34">
        <f t="shared" si="27"/>
        <v>105</v>
      </c>
      <c r="S147" s="35">
        <f t="shared" si="25"/>
        <v>60</v>
      </c>
    </row>
    <row r="148" spans="2:19" hidden="1" outlineLevel="1">
      <c r="B148" s="14" t="s">
        <v>39</v>
      </c>
      <c r="C148" s="15" t="s">
        <v>65</v>
      </c>
      <c r="D148" s="52">
        <v>2029</v>
      </c>
      <c r="E148" s="34">
        <v>5</v>
      </c>
      <c r="F148" s="38">
        <f t="shared" si="21"/>
        <v>15317.166980911841</v>
      </c>
      <c r="G148" s="34">
        <f t="shared" si="22"/>
        <v>9</v>
      </c>
      <c r="H148" s="34">
        <f t="shared" si="23"/>
        <v>1</v>
      </c>
      <c r="I148" s="34" t="str">
        <f t="shared" si="27"/>
        <v/>
      </c>
      <c r="J148" s="34" t="str">
        <f t="shared" si="27"/>
        <v/>
      </c>
      <c r="K148" s="34" t="str">
        <f t="shared" si="27"/>
        <v/>
      </c>
      <c r="L148" s="34" t="str">
        <f t="shared" si="27"/>
        <v/>
      </c>
      <c r="M148" s="34" t="str">
        <f t="shared" si="27"/>
        <v/>
      </c>
      <c r="N148" s="34">
        <f t="shared" si="27"/>
        <v>60</v>
      </c>
      <c r="O148" s="34">
        <f t="shared" si="27"/>
        <v>68</v>
      </c>
      <c r="P148" s="34">
        <f t="shared" si="27"/>
        <v>80</v>
      </c>
      <c r="Q148" s="34">
        <f t="shared" si="27"/>
        <v>92</v>
      </c>
      <c r="R148" s="34">
        <f t="shared" si="27"/>
        <v>104</v>
      </c>
      <c r="S148" s="35">
        <f t="shared" si="25"/>
        <v>60</v>
      </c>
    </row>
    <row r="149" spans="2:19" hidden="1" outlineLevel="1">
      <c r="B149" s="14" t="s">
        <v>39</v>
      </c>
      <c r="C149" s="15" t="s">
        <v>65</v>
      </c>
      <c r="D149" s="52">
        <v>2029</v>
      </c>
      <c r="E149" s="34">
        <v>6</v>
      </c>
      <c r="F149" s="38">
        <f t="shared" si="21"/>
        <v>15317.166980911841</v>
      </c>
      <c r="G149" s="34">
        <f t="shared" si="22"/>
        <v>9</v>
      </c>
      <c r="H149" s="34">
        <f t="shared" si="23"/>
        <v>1</v>
      </c>
      <c r="I149" s="34" t="str">
        <f t="shared" si="27"/>
        <v/>
      </c>
      <c r="J149" s="34" t="str">
        <f t="shared" si="27"/>
        <v/>
      </c>
      <c r="K149" s="34" t="str">
        <f t="shared" si="27"/>
        <v/>
      </c>
      <c r="L149" s="34" t="str">
        <f t="shared" si="27"/>
        <v/>
      </c>
      <c r="M149" s="34" t="str">
        <f t="shared" si="27"/>
        <v/>
      </c>
      <c r="N149" s="34">
        <f t="shared" si="27"/>
        <v>60</v>
      </c>
      <c r="O149" s="34">
        <f t="shared" si="27"/>
        <v>67</v>
      </c>
      <c r="P149" s="34">
        <f t="shared" si="27"/>
        <v>79</v>
      </c>
      <c r="Q149" s="34">
        <f t="shared" si="27"/>
        <v>91</v>
      </c>
      <c r="R149" s="34">
        <f t="shared" si="27"/>
        <v>103</v>
      </c>
      <c r="S149" s="35">
        <f t="shared" si="25"/>
        <v>60</v>
      </c>
    </row>
    <row r="150" spans="2:19" hidden="1" outlineLevel="1">
      <c r="B150" s="14" t="s">
        <v>39</v>
      </c>
      <c r="C150" s="15" t="s">
        <v>65</v>
      </c>
      <c r="D150" s="52">
        <v>2029</v>
      </c>
      <c r="E150" s="34">
        <v>7</v>
      </c>
      <c r="F150" s="38">
        <f t="shared" si="21"/>
        <v>15317.166980911841</v>
      </c>
      <c r="G150" s="34">
        <f t="shared" si="22"/>
        <v>9</v>
      </c>
      <c r="H150" s="34">
        <f t="shared" si="23"/>
        <v>1</v>
      </c>
      <c r="I150" s="34" t="str">
        <f t="shared" ref="I150:R159" si="28">IF($D150&lt;$Z$18,"",IF(MAX($G150,INDEX($C$65:$F$108,$D150+I$119-2026,$H150))&lt;=12*I$119-$E150+12,MAX($G150,12*I$119-$E150+1,INDEX($C$65:$F$108,$D150+I$119-2026,$H150)),""))</f>
        <v/>
      </c>
      <c r="J150" s="34" t="str">
        <f t="shared" si="28"/>
        <v/>
      </c>
      <c r="K150" s="34" t="str">
        <f t="shared" si="28"/>
        <v/>
      </c>
      <c r="L150" s="34" t="str">
        <f t="shared" si="28"/>
        <v/>
      </c>
      <c r="M150" s="34" t="str">
        <f t="shared" si="28"/>
        <v/>
      </c>
      <c r="N150" s="34">
        <f t="shared" si="28"/>
        <v>60</v>
      </c>
      <c r="O150" s="34">
        <f t="shared" si="28"/>
        <v>66</v>
      </c>
      <c r="P150" s="34">
        <f t="shared" si="28"/>
        <v>78</v>
      </c>
      <c r="Q150" s="34">
        <f t="shared" si="28"/>
        <v>90</v>
      </c>
      <c r="R150" s="34">
        <f t="shared" si="28"/>
        <v>102</v>
      </c>
      <c r="S150" s="35">
        <f t="shared" si="25"/>
        <v>60</v>
      </c>
    </row>
    <row r="151" spans="2:19" hidden="1" outlineLevel="1">
      <c r="B151" s="14" t="s">
        <v>39</v>
      </c>
      <c r="C151" s="15" t="s">
        <v>65</v>
      </c>
      <c r="D151" s="52">
        <v>2029</v>
      </c>
      <c r="E151" s="34">
        <v>8</v>
      </c>
      <c r="F151" s="38">
        <f t="shared" si="21"/>
        <v>15317.166980911841</v>
      </c>
      <c r="G151" s="34">
        <f t="shared" si="22"/>
        <v>9</v>
      </c>
      <c r="H151" s="34">
        <f t="shared" si="23"/>
        <v>1</v>
      </c>
      <c r="I151" s="34" t="str">
        <f t="shared" si="28"/>
        <v/>
      </c>
      <c r="J151" s="34" t="str">
        <f t="shared" si="28"/>
        <v/>
      </c>
      <c r="K151" s="34" t="str">
        <f t="shared" si="28"/>
        <v/>
      </c>
      <c r="L151" s="34" t="str">
        <f t="shared" si="28"/>
        <v/>
      </c>
      <c r="M151" s="34" t="str">
        <f t="shared" si="28"/>
        <v/>
      </c>
      <c r="N151" s="34">
        <f t="shared" si="28"/>
        <v>60</v>
      </c>
      <c r="O151" s="34">
        <f t="shared" si="28"/>
        <v>65</v>
      </c>
      <c r="P151" s="34">
        <f t="shared" si="28"/>
        <v>77</v>
      </c>
      <c r="Q151" s="34">
        <f t="shared" si="28"/>
        <v>89</v>
      </c>
      <c r="R151" s="34">
        <f t="shared" si="28"/>
        <v>101</v>
      </c>
      <c r="S151" s="35">
        <f t="shared" si="25"/>
        <v>60</v>
      </c>
    </row>
    <row r="152" spans="2:19" hidden="1" outlineLevel="1">
      <c r="B152" s="14" t="s">
        <v>39</v>
      </c>
      <c r="C152" s="15" t="s">
        <v>65</v>
      </c>
      <c r="D152" s="52">
        <v>2029</v>
      </c>
      <c r="E152" s="34">
        <v>9</v>
      </c>
      <c r="F152" s="38">
        <f t="shared" si="21"/>
        <v>15317.166980911841</v>
      </c>
      <c r="G152" s="34">
        <f t="shared" si="22"/>
        <v>9</v>
      </c>
      <c r="H152" s="34">
        <f t="shared" si="23"/>
        <v>1</v>
      </c>
      <c r="I152" s="34" t="str">
        <f t="shared" si="28"/>
        <v/>
      </c>
      <c r="J152" s="34" t="str">
        <f t="shared" si="28"/>
        <v/>
      </c>
      <c r="K152" s="34" t="str">
        <f t="shared" si="28"/>
        <v/>
      </c>
      <c r="L152" s="34" t="str">
        <f t="shared" si="28"/>
        <v/>
      </c>
      <c r="M152" s="34" t="str">
        <f t="shared" si="28"/>
        <v/>
      </c>
      <c r="N152" s="34">
        <f t="shared" si="28"/>
        <v>60</v>
      </c>
      <c r="O152" s="34">
        <f t="shared" si="28"/>
        <v>64</v>
      </c>
      <c r="P152" s="34">
        <f t="shared" si="28"/>
        <v>76</v>
      </c>
      <c r="Q152" s="34">
        <f t="shared" si="28"/>
        <v>88</v>
      </c>
      <c r="R152" s="34">
        <f t="shared" si="28"/>
        <v>100</v>
      </c>
      <c r="S152" s="35">
        <f t="shared" si="25"/>
        <v>60</v>
      </c>
    </row>
    <row r="153" spans="2:19" hidden="1" outlineLevel="1">
      <c r="B153" s="14" t="s">
        <v>39</v>
      </c>
      <c r="C153" s="15" t="s">
        <v>65</v>
      </c>
      <c r="D153" s="52">
        <v>2029</v>
      </c>
      <c r="E153" s="34">
        <v>10</v>
      </c>
      <c r="F153" s="38">
        <f t="shared" si="21"/>
        <v>15317.166980911841</v>
      </c>
      <c r="G153" s="34">
        <f t="shared" si="22"/>
        <v>9</v>
      </c>
      <c r="H153" s="34">
        <f t="shared" si="23"/>
        <v>1</v>
      </c>
      <c r="I153" s="34" t="str">
        <f t="shared" si="28"/>
        <v/>
      </c>
      <c r="J153" s="34" t="str">
        <f t="shared" si="28"/>
        <v/>
      </c>
      <c r="K153" s="34" t="str">
        <f t="shared" si="28"/>
        <v/>
      </c>
      <c r="L153" s="34" t="str">
        <f t="shared" si="28"/>
        <v/>
      </c>
      <c r="M153" s="34" t="str">
        <f t="shared" si="28"/>
        <v/>
      </c>
      <c r="N153" s="34">
        <f t="shared" si="28"/>
        <v>60</v>
      </c>
      <c r="O153" s="34">
        <f t="shared" si="28"/>
        <v>63</v>
      </c>
      <c r="P153" s="34">
        <f t="shared" si="28"/>
        <v>75</v>
      </c>
      <c r="Q153" s="34">
        <f t="shared" si="28"/>
        <v>87</v>
      </c>
      <c r="R153" s="34">
        <f t="shared" si="28"/>
        <v>99</v>
      </c>
      <c r="S153" s="35">
        <f t="shared" si="25"/>
        <v>60</v>
      </c>
    </row>
    <row r="154" spans="2:19" hidden="1" outlineLevel="1">
      <c r="B154" s="14" t="s">
        <v>39</v>
      </c>
      <c r="C154" s="15" t="s">
        <v>65</v>
      </c>
      <c r="D154" s="52">
        <v>2029</v>
      </c>
      <c r="E154" s="34">
        <v>11</v>
      </c>
      <c r="F154" s="38">
        <f t="shared" si="21"/>
        <v>15317.166980911841</v>
      </c>
      <c r="G154" s="34">
        <f t="shared" si="22"/>
        <v>9</v>
      </c>
      <c r="H154" s="34">
        <f t="shared" si="23"/>
        <v>1</v>
      </c>
      <c r="I154" s="34" t="str">
        <f t="shared" si="28"/>
        <v/>
      </c>
      <c r="J154" s="34" t="str">
        <f t="shared" si="28"/>
        <v/>
      </c>
      <c r="K154" s="34" t="str">
        <f t="shared" si="28"/>
        <v/>
      </c>
      <c r="L154" s="34" t="str">
        <f t="shared" si="28"/>
        <v/>
      </c>
      <c r="M154" s="34" t="str">
        <f t="shared" si="28"/>
        <v/>
      </c>
      <c r="N154" s="34">
        <f t="shared" si="28"/>
        <v>60</v>
      </c>
      <c r="O154" s="34">
        <f t="shared" si="28"/>
        <v>62</v>
      </c>
      <c r="P154" s="34">
        <f t="shared" si="28"/>
        <v>74</v>
      </c>
      <c r="Q154" s="34">
        <f t="shared" si="28"/>
        <v>86</v>
      </c>
      <c r="R154" s="34">
        <f t="shared" si="28"/>
        <v>98</v>
      </c>
      <c r="S154" s="35">
        <f t="shared" si="25"/>
        <v>60</v>
      </c>
    </row>
    <row r="155" spans="2:19" hidden="1" outlineLevel="1">
      <c r="B155" s="14" t="s">
        <v>39</v>
      </c>
      <c r="C155" s="15" t="s">
        <v>65</v>
      </c>
      <c r="D155" s="52">
        <v>2029</v>
      </c>
      <c r="E155" s="34">
        <v>12</v>
      </c>
      <c r="F155" s="38">
        <f t="shared" si="21"/>
        <v>15317.166980911841</v>
      </c>
      <c r="G155" s="34">
        <f t="shared" si="22"/>
        <v>9</v>
      </c>
      <c r="H155" s="34">
        <f t="shared" si="23"/>
        <v>1</v>
      </c>
      <c r="I155" s="34" t="str">
        <f t="shared" si="28"/>
        <v/>
      </c>
      <c r="J155" s="34" t="str">
        <f t="shared" si="28"/>
        <v/>
      </c>
      <c r="K155" s="34" t="str">
        <f t="shared" si="28"/>
        <v/>
      </c>
      <c r="L155" s="34" t="str">
        <f t="shared" si="28"/>
        <v/>
      </c>
      <c r="M155" s="34" t="str">
        <f t="shared" si="28"/>
        <v/>
      </c>
      <c r="N155" s="34">
        <f t="shared" si="28"/>
        <v>60</v>
      </c>
      <c r="O155" s="34">
        <f t="shared" si="28"/>
        <v>61</v>
      </c>
      <c r="P155" s="34">
        <f t="shared" si="28"/>
        <v>73</v>
      </c>
      <c r="Q155" s="34">
        <f t="shared" si="28"/>
        <v>85</v>
      </c>
      <c r="R155" s="34">
        <f t="shared" si="28"/>
        <v>97</v>
      </c>
      <c r="S155" s="35">
        <f t="shared" si="25"/>
        <v>60</v>
      </c>
    </row>
    <row r="156" spans="2:19" hidden="1" outlineLevel="1">
      <c r="B156" s="14" t="s">
        <v>39</v>
      </c>
      <c r="C156" s="15" t="s">
        <v>65</v>
      </c>
      <c r="D156" s="52">
        <v>2030</v>
      </c>
      <c r="E156" s="34">
        <v>1</v>
      </c>
      <c r="F156" s="38">
        <f t="shared" si="21"/>
        <v>15524.741255643617</v>
      </c>
      <c r="G156" s="34">
        <f t="shared" si="22"/>
        <v>9</v>
      </c>
      <c r="H156" s="34">
        <f t="shared" si="23"/>
        <v>1</v>
      </c>
      <c r="I156" s="34" t="str">
        <f t="shared" si="28"/>
        <v/>
      </c>
      <c r="J156" s="34" t="str">
        <f t="shared" si="28"/>
        <v/>
      </c>
      <c r="K156" s="34" t="str">
        <f t="shared" si="28"/>
        <v/>
      </c>
      <c r="L156" s="34" t="str">
        <f t="shared" si="28"/>
        <v/>
      </c>
      <c r="M156" s="34" t="str">
        <f t="shared" si="28"/>
        <v/>
      </c>
      <c r="N156" s="34">
        <f t="shared" si="28"/>
        <v>60</v>
      </c>
      <c r="O156" s="34">
        <f t="shared" si="28"/>
        <v>72</v>
      </c>
      <c r="P156" s="34">
        <f t="shared" si="28"/>
        <v>84</v>
      </c>
      <c r="Q156" s="34">
        <f t="shared" si="28"/>
        <v>96</v>
      </c>
      <c r="R156" s="34">
        <f t="shared" si="28"/>
        <v>108</v>
      </c>
      <c r="S156" s="35">
        <f t="shared" si="25"/>
        <v>60</v>
      </c>
    </row>
    <row r="157" spans="2:19" hidden="1" outlineLevel="1">
      <c r="B157" s="14" t="s">
        <v>39</v>
      </c>
      <c r="C157" s="15" t="s">
        <v>65</v>
      </c>
      <c r="D157" s="52">
        <v>2030</v>
      </c>
      <c r="E157" s="34">
        <v>2</v>
      </c>
      <c r="F157" s="38">
        <f t="shared" si="21"/>
        <v>15524.741255643617</v>
      </c>
      <c r="G157" s="34">
        <f t="shared" si="22"/>
        <v>9</v>
      </c>
      <c r="H157" s="34">
        <f t="shared" si="23"/>
        <v>1</v>
      </c>
      <c r="I157" s="34" t="str">
        <f t="shared" si="28"/>
        <v/>
      </c>
      <c r="J157" s="34" t="str">
        <f t="shared" si="28"/>
        <v/>
      </c>
      <c r="K157" s="34" t="str">
        <f t="shared" si="28"/>
        <v/>
      </c>
      <c r="L157" s="34" t="str">
        <f t="shared" si="28"/>
        <v/>
      </c>
      <c r="M157" s="34" t="str">
        <f t="shared" si="28"/>
        <v/>
      </c>
      <c r="N157" s="34">
        <f t="shared" si="28"/>
        <v>60</v>
      </c>
      <c r="O157" s="34">
        <f t="shared" si="28"/>
        <v>71</v>
      </c>
      <c r="P157" s="34">
        <f t="shared" si="28"/>
        <v>83</v>
      </c>
      <c r="Q157" s="34">
        <f t="shared" si="28"/>
        <v>95</v>
      </c>
      <c r="R157" s="34">
        <f t="shared" si="28"/>
        <v>107</v>
      </c>
      <c r="S157" s="35">
        <f t="shared" si="25"/>
        <v>60</v>
      </c>
    </row>
    <row r="158" spans="2:19" hidden="1" outlineLevel="1">
      <c r="B158" s="14" t="s">
        <v>39</v>
      </c>
      <c r="C158" s="15" t="s">
        <v>65</v>
      </c>
      <c r="D158" s="52">
        <v>2030</v>
      </c>
      <c r="E158" s="34">
        <v>3</v>
      </c>
      <c r="F158" s="38">
        <f t="shared" si="21"/>
        <v>15524.741255643617</v>
      </c>
      <c r="G158" s="34">
        <f t="shared" si="22"/>
        <v>9</v>
      </c>
      <c r="H158" s="34">
        <f t="shared" si="23"/>
        <v>1</v>
      </c>
      <c r="I158" s="34" t="str">
        <f t="shared" si="28"/>
        <v/>
      </c>
      <c r="J158" s="34" t="str">
        <f t="shared" si="28"/>
        <v/>
      </c>
      <c r="K158" s="34" t="str">
        <f t="shared" si="28"/>
        <v/>
      </c>
      <c r="L158" s="34" t="str">
        <f t="shared" si="28"/>
        <v/>
      </c>
      <c r="M158" s="34" t="str">
        <f t="shared" si="28"/>
        <v/>
      </c>
      <c r="N158" s="34">
        <f t="shared" si="28"/>
        <v>60</v>
      </c>
      <c r="O158" s="34">
        <f t="shared" si="28"/>
        <v>70</v>
      </c>
      <c r="P158" s="34">
        <f t="shared" si="28"/>
        <v>82</v>
      </c>
      <c r="Q158" s="34">
        <f t="shared" si="28"/>
        <v>94</v>
      </c>
      <c r="R158" s="34">
        <f t="shared" si="28"/>
        <v>106</v>
      </c>
      <c r="S158" s="35">
        <f t="shared" si="25"/>
        <v>60</v>
      </c>
    </row>
    <row r="159" spans="2:19" hidden="1" outlineLevel="1">
      <c r="B159" s="14" t="s">
        <v>39</v>
      </c>
      <c r="C159" s="15" t="s">
        <v>65</v>
      </c>
      <c r="D159" s="52">
        <v>2030</v>
      </c>
      <c r="E159" s="34">
        <v>4</v>
      </c>
      <c r="F159" s="38">
        <f t="shared" si="21"/>
        <v>15524.741255643617</v>
      </c>
      <c r="G159" s="34">
        <f t="shared" si="22"/>
        <v>9</v>
      </c>
      <c r="H159" s="34">
        <f t="shared" si="23"/>
        <v>1</v>
      </c>
      <c r="I159" s="34" t="str">
        <f t="shared" si="28"/>
        <v/>
      </c>
      <c r="J159" s="34" t="str">
        <f t="shared" si="28"/>
        <v/>
      </c>
      <c r="K159" s="34" t="str">
        <f t="shared" si="28"/>
        <v/>
      </c>
      <c r="L159" s="34" t="str">
        <f t="shared" si="28"/>
        <v/>
      </c>
      <c r="M159" s="34" t="str">
        <f t="shared" si="28"/>
        <v/>
      </c>
      <c r="N159" s="34">
        <f t="shared" si="28"/>
        <v>60</v>
      </c>
      <c r="O159" s="34">
        <f t="shared" si="28"/>
        <v>69</v>
      </c>
      <c r="P159" s="34">
        <f t="shared" si="28"/>
        <v>81</v>
      </c>
      <c r="Q159" s="34">
        <f t="shared" si="28"/>
        <v>93</v>
      </c>
      <c r="R159" s="34">
        <f t="shared" si="28"/>
        <v>105</v>
      </c>
      <c r="S159" s="35">
        <f t="shared" si="25"/>
        <v>60</v>
      </c>
    </row>
    <row r="160" spans="2:19" hidden="1" outlineLevel="1">
      <c r="B160" s="14" t="s">
        <v>39</v>
      </c>
      <c r="C160" s="15" t="s">
        <v>65</v>
      </c>
      <c r="D160" s="52">
        <v>2030</v>
      </c>
      <c r="E160" s="34">
        <v>5</v>
      </c>
      <c r="F160" s="38">
        <f t="shared" si="21"/>
        <v>15524.741255643617</v>
      </c>
      <c r="G160" s="34">
        <f t="shared" si="22"/>
        <v>9</v>
      </c>
      <c r="H160" s="34">
        <f t="shared" si="23"/>
        <v>1</v>
      </c>
      <c r="I160" s="34" t="str">
        <f t="shared" ref="I160:R169" si="29">IF($D160&lt;$Z$18,"",IF(MAX($G160,INDEX($C$65:$F$108,$D160+I$119-2026,$H160))&lt;=12*I$119-$E160+12,MAX($G160,12*I$119-$E160+1,INDEX($C$65:$F$108,$D160+I$119-2026,$H160)),""))</f>
        <v/>
      </c>
      <c r="J160" s="34" t="str">
        <f t="shared" si="29"/>
        <v/>
      </c>
      <c r="K160" s="34" t="str">
        <f t="shared" si="29"/>
        <v/>
      </c>
      <c r="L160" s="34" t="str">
        <f t="shared" si="29"/>
        <v/>
      </c>
      <c r="M160" s="34" t="str">
        <f t="shared" si="29"/>
        <v/>
      </c>
      <c r="N160" s="34">
        <f t="shared" si="29"/>
        <v>60</v>
      </c>
      <c r="O160" s="34">
        <f t="shared" si="29"/>
        <v>68</v>
      </c>
      <c r="P160" s="34">
        <f t="shared" si="29"/>
        <v>80</v>
      </c>
      <c r="Q160" s="34">
        <f t="shared" si="29"/>
        <v>92</v>
      </c>
      <c r="R160" s="34">
        <f t="shared" si="29"/>
        <v>104</v>
      </c>
      <c r="S160" s="35">
        <f t="shared" si="25"/>
        <v>60</v>
      </c>
    </row>
    <row r="161" spans="2:19" hidden="1" outlineLevel="1">
      <c r="B161" s="14" t="s">
        <v>39</v>
      </c>
      <c r="C161" s="15" t="s">
        <v>65</v>
      </c>
      <c r="D161" s="52">
        <v>2030</v>
      </c>
      <c r="E161" s="34">
        <v>6</v>
      </c>
      <c r="F161" s="38">
        <f t="shared" si="21"/>
        <v>15524.741255643617</v>
      </c>
      <c r="G161" s="34">
        <f t="shared" si="22"/>
        <v>9</v>
      </c>
      <c r="H161" s="34">
        <f t="shared" si="23"/>
        <v>1</v>
      </c>
      <c r="I161" s="34" t="str">
        <f t="shared" si="29"/>
        <v/>
      </c>
      <c r="J161" s="34" t="str">
        <f t="shared" si="29"/>
        <v/>
      </c>
      <c r="K161" s="34" t="str">
        <f t="shared" si="29"/>
        <v/>
      </c>
      <c r="L161" s="34" t="str">
        <f t="shared" si="29"/>
        <v/>
      </c>
      <c r="M161" s="34" t="str">
        <f t="shared" si="29"/>
        <v/>
      </c>
      <c r="N161" s="34">
        <f t="shared" si="29"/>
        <v>60</v>
      </c>
      <c r="O161" s="34">
        <f t="shared" si="29"/>
        <v>67</v>
      </c>
      <c r="P161" s="34">
        <f t="shared" si="29"/>
        <v>79</v>
      </c>
      <c r="Q161" s="34">
        <f t="shared" si="29"/>
        <v>91</v>
      </c>
      <c r="R161" s="34">
        <f t="shared" si="29"/>
        <v>103</v>
      </c>
      <c r="S161" s="35">
        <f t="shared" si="25"/>
        <v>60</v>
      </c>
    </row>
    <row r="162" spans="2:19" hidden="1" outlineLevel="1">
      <c r="B162" s="14" t="s">
        <v>39</v>
      </c>
      <c r="C162" s="15" t="s">
        <v>65</v>
      </c>
      <c r="D162" s="52">
        <v>2030</v>
      </c>
      <c r="E162" s="34">
        <v>7</v>
      </c>
      <c r="F162" s="38">
        <f t="shared" si="21"/>
        <v>15524.741255643617</v>
      </c>
      <c r="G162" s="34">
        <f t="shared" si="22"/>
        <v>9</v>
      </c>
      <c r="H162" s="34">
        <f t="shared" si="23"/>
        <v>1</v>
      </c>
      <c r="I162" s="34" t="str">
        <f t="shared" si="29"/>
        <v/>
      </c>
      <c r="J162" s="34" t="str">
        <f t="shared" si="29"/>
        <v/>
      </c>
      <c r="K162" s="34" t="str">
        <f t="shared" si="29"/>
        <v/>
      </c>
      <c r="L162" s="34" t="str">
        <f t="shared" si="29"/>
        <v/>
      </c>
      <c r="M162" s="34" t="str">
        <f t="shared" si="29"/>
        <v/>
      </c>
      <c r="N162" s="34">
        <f t="shared" si="29"/>
        <v>60</v>
      </c>
      <c r="O162" s="34">
        <f t="shared" si="29"/>
        <v>66</v>
      </c>
      <c r="P162" s="34">
        <f t="shared" si="29"/>
        <v>78</v>
      </c>
      <c r="Q162" s="34">
        <f t="shared" si="29"/>
        <v>90</v>
      </c>
      <c r="R162" s="34">
        <f t="shared" si="29"/>
        <v>102</v>
      </c>
      <c r="S162" s="35">
        <f t="shared" si="25"/>
        <v>60</v>
      </c>
    </row>
    <row r="163" spans="2:19" hidden="1" outlineLevel="1">
      <c r="B163" s="14" t="s">
        <v>39</v>
      </c>
      <c r="C163" s="15" t="s">
        <v>65</v>
      </c>
      <c r="D163" s="52">
        <v>2030</v>
      </c>
      <c r="E163" s="34">
        <v>8</v>
      </c>
      <c r="F163" s="38">
        <f t="shared" si="21"/>
        <v>15524.741255643617</v>
      </c>
      <c r="G163" s="34">
        <f t="shared" si="22"/>
        <v>9</v>
      </c>
      <c r="H163" s="34">
        <f t="shared" si="23"/>
        <v>1</v>
      </c>
      <c r="I163" s="34" t="str">
        <f t="shared" si="29"/>
        <v/>
      </c>
      <c r="J163" s="34" t="str">
        <f t="shared" si="29"/>
        <v/>
      </c>
      <c r="K163" s="34" t="str">
        <f t="shared" si="29"/>
        <v/>
      </c>
      <c r="L163" s="34" t="str">
        <f t="shared" si="29"/>
        <v/>
      </c>
      <c r="M163" s="34" t="str">
        <f t="shared" si="29"/>
        <v/>
      </c>
      <c r="N163" s="34">
        <f t="shared" si="29"/>
        <v>60</v>
      </c>
      <c r="O163" s="34">
        <f t="shared" si="29"/>
        <v>65</v>
      </c>
      <c r="P163" s="34">
        <f t="shared" si="29"/>
        <v>77</v>
      </c>
      <c r="Q163" s="34">
        <f t="shared" si="29"/>
        <v>89</v>
      </c>
      <c r="R163" s="34">
        <f t="shared" si="29"/>
        <v>101</v>
      </c>
      <c r="S163" s="35">
        <f t="shared" si="25"/>
        <v>60</v>
      </c>
    </row>
    <row r="164" spans="2:19" hidden="1" outlineLevel="1">
      <c r="B164" s="14" t="s">
        <v>39</v>
      </c>
      <c r="C164" s="15" t="s">
        <v>65</v>
      </c>
      <c r="D164" s="52">
        <v>2030</v>
      </c>
      <c r="E164" s="34">
        <v>9</v>
      </c>
      <c r="F164" s="38">
        <f t="shared" si="21"/>
        <v>15524.741255643617</v>
      </c>
      <c r="G164" s="34">
        <f t="shared" si="22"/>
        <v>9</v>
      </c>
      <c r="H164" s="34">
        <f t="shared" si="23"/>
        <v>1</v>
      </c>
      <c r="I164" s="34" t="str">
        <f t="shared" si="29"/>
        <v/>
      </c>
      <c r="J164" s="34" t="str">
        <f t="shared" si="29"/>
        <v/>
      </c>
      <c r="K164" s="34" t="str">
        <f t="shared" si="29"/>
        <v/>
      </c>
      <c r="L164" s="34" t="str">
        <f t="shared" si="29"/>
        <v/>
      </c>
      <c r="M164" s="34" t="str">
        <f t="shared" si="29"/>
        <v/>
      </c>
      <c r="N164" s="34">
        <f t="shared" si="29"/>
        <v>60</v>
      </c>
      <c r="O164" s="34">
        <f t="shared" si="29"/>
        <v>64</v>
      </c>
      <c r="P164" s="34">
        <f t="shared" si="29"/>
        <v>76</v>
      </c>
      <c r="Q164" s="34">
        <f t="shared" si="29"/>
        <v>88</v>
      </c>
      <c r="R164" s="34">
        <f t="shared" si="29"/>
        <v>100</v>
      </c>
      <c r="S164" s="35">
        <f t="shared" si="25"/>
        <v>60</v>
      </c>
    </row>
    <row r="165" spans="2:19" hidden="1" outlineLevel="1">
      <c r="B165" s="14" t="s">
        <v>39</v>
      </c>
      <c r="C165" s="15" t="s">
        <v>65</v>
      </c>
      <c r="D165" s="52">
        <v>2030</v>
      </c>
      <c r="E165" s="34">
        <v>10</v>
      </c>
      <c r="F165" s="38">
        <f t="shared" si="21"/>
        <v>15524.741255643617</v>
      </c>
      <c r="G165" s="34">
        <f t="shared" si="22"/>
        <v>9</v>
      </c>
      <c r="H165" s="34">
        <f t="shared" si="23"/>
        <v>1</v>
      </c>
      <c r="I165" s="34" t="str">
        <f t="shared" si="29"/>
        <v/>
      </c>
      <c r="J165" s="34" t="str">
        <f t="shared" si="29"/>
        <v/>
      </c>
      <c r="K165" s="34" t="str">
        <f t="shared" si="29"/>
        <v/>
      </c>
      <c r="L165" s="34" t="str">
        <f t="shared" si="29"/>
        <v/>
      </c>
      <c r="M165" s="34" t="str">
        <f t="shared" si="29"/>
        <v/>
      </c>
      <c r="N165" s="34">
        <f t="shared" si="29"/>
        <v>60</v>
      </c>
      <c r="O165" s="34">
        <f t="shared" si="29"/>
        <v>63</v>
      </c>
      <c r="P165" s="34">
        <f t="shared" si="29"/>
        <v>75</v>
      </c>
      <c r="Q165" s="34">
        <f t="shared" si="29"/>
        <v>87</v>
      </c>
      <c r="R165" s="34">
        <f t="shared" si="29"/>
        <v>99</v>
      </c>
      <c r="S165" s="35">
        <f t="shared" si="25"/>
        <v>60</v>
      </c>
    </row>
    <row r="166" spans="2:19" hidden="1" outlineLevel="1">
      <c r="B166" s="14" t="s">
        <v>39</v>
      </c>
      <c r="C166" s="15" t="s">
        <v>65</v>
      </c>
      <c r="D166" s="52">
        <v>2030</v>
      </c>
      <c r="E166" s="34">
        <v>11</v>
      </c>
      <c r="F166" s="38">
        <f t="shared" si="21"/>
        <v>15524.741255643617</v>
      </c>
      <c r="G166" s="34">
        <f t="shared" si="22"/>
        <v>9</v>
      </c>
      <c r="H166" s="34">
        <f t="shared" si="23"/>
        <v>1</v>
      </c>
      <c r="I166" s="34" t="str">
        <f t="shared" si="29"/>
        <v/>
      </c>
      <c r="J166" s="34" t="str">
        <f t="shared" si="29"/>
        <v/>
      </c>
      <c r="K166" s="34" t="str">
        <f t="shared" si="29"/>
        <v/>
      </c>
      <c r="L166" s="34" t="str">
        <f t="shared" si="29"/>
        <v/>
      </c>
      <c r="M166" s="34" t="str">
        <f t="shared" si="29"/>
        <v/>
      </c>
      <c r="N166" s="34">
        <f t="shared" si="29"/>
        <v>60</v>
      </c>
      <c r="O166" s="34">
        <f t="shared" si="29"/>
        <v>62</v>
      </c>
      <c r="P166" s="34">
        <f t="shared" si="29"/>
        <v>74</v>
      </c>
      <c r="Q166" s="34">
        <f t="shared" si="29"/>
        <v>86</v>
      </c>
      <c r="R166" s="34">
        <f t="shared" si="29"/>
        <v>98</v>
      </c>
      <c r="S166" s="35">
        <f t="shared" si="25"/>
        <v>60</v>
      </c>
    </row>
    <row r="167" spans="2:19" hidden="1" outlineLevel="1">
      <c r="B167" s="14" t="s">
        <v>39</v>
      </c>
      <c r="C167" s="15" t="s">
        <v>65</v>
      </c>
      <c r="D167" s="52">
        <v>2030</v>
      </c>
      <c r="E167" s="34">
        <v>12</v>
      </c>
      <c r="F167" s="38">
        <f t="shared" si="21"/>
        <v>15524.741255643617</v>
      </c>
      <c r="G167" s="34">
        <f t="shared" si="22"/>
        <v>9</v>
      </c>
      <c r="H167" s="34">
        <f t="shared" si="23"/>
        <v>1</v>
      </c>
      <c r="I167" s="34" t="str">
        <f t="shared" si="29"/>
        <v/>
      </c>
      <c r="J167" s="34" t="str">
        <f t="shared" si="29"/>
        <v/>
      </c>
      <c r="K167" s="34" t="str">
        <f t="shared" si="29"/>
        <v/>
      </c>
      <c r="L167" s="34" t="str">
        <f t="shared" si="29"/>
        <v/>
      </c>
      <c r="M167" s="34" t="str">
        <f t="shared" si="29"/>
        <v/>
      </c>
      <c r="N167" s="34">
        <f t="shared" si="29"/>
        <v>60</v>
      </c>
      <c r="O167" s="34">
        <f t="shared" si="29"/>
        <v>61</v>
      </c>
      <c r="P167" s="34">
        <f t="shared" si="29"/>
        <v>73</v>
      </c>
      <c r="Q167" s="34">
        <f t="shared" si="29"/>
        <v>85</v>
      </c>
      <c r="R167" s="34">
        <f t="shared" si="29"/>
        <v>97</v>
      </c>
      <c r="S167" s="35">
        <f t="shared" si="25"/>
        <v>60</v>
      </c>
    </row>
    <row r="168" spans="2:19" hidden="1" outlineLevel="1">
      <c r="B168" s="14" t="s">
        <v>39</v>
      </c>
      <c r="C168" s="15" t="s">
        <v>65</v>
      </c>
      <c r="D168" s="52">
        <v>2031</v>
      </c>
      <c r="E168" s="34">
        <v>1</v>
      </c>
      <c r="F168" s="38">
        <f t="shared" si="21"/>
        <v>15763.944710621348</v>
      </c>
      <c r="G168" s="34">
        <f t="shared" si="22"/>
        <v>9</v>
      </c>
      <c r="H168" s="34">
        <f t="shared" si="23"/>
        <v>1</v>
      </c>
      <c r="I168" s="34" t="str">
        <f t="shared" si="29"/>
        <v/>
      </c>
      <c r="J168" s="34" t="str">
        <f t="shared" si="29"/>
        <v/>
      </c>
      <c r="K168" s="34" t="str">
        <f t="shared" si="29"/>
        <v/>
      </c>
      <c r="L168" s="34" t="str">
        <f t="shared" si="29"/>
        <v/>
      </c>
      <c r="M168" s="34" t="str">
        <f t="shared" si="29"/>
        <v/>
      </c>
      <c r="N168" s="34">
        <f t="shared" si="29"/>
        <v>60</v>
      </c>
      <c r="O168" s="34">
        <f t="shared" si="29"/>
        <v>72</v>
      </c>
      <c r="P168" s="34">
        <f t="shared" si="29"/>
        <v>84</v>
      </c>
      <c r="Q168" s="34">
        <f t="shared" si="29"/>
        <v>96</v>
      </c>
      <c r="R168" s="34">
        <f t="shared" si="29"/>
        <v>108</v>
      </c>
      <c r="S168" s="35">
        <f t="shared" si="25"/>
        <v>60</v>
      </c>
    </row>
    <row r="169" spans="2:19" hidden="1" outlineLevel="1">
      <c r="B169" s="14" t="s">
        <v>39</v>
      </c>
      <c r="C169" s="15" t="s">
        <v>65</v>
      </c>
      <c r="D169" s="52">
        <v>2031</v>
      </c>
      <c r="E169" s="34">
        <v>2</v>
      </c>
      <c r="F169" s="38">
        <f t="shared" si="21"/>
        <v>15763.944710621348</v>
      </c>
      <c r="G169" s="34">
        <f t="shared" si="22"/>
        <v>9</v>
      </c>
      <c r="H169" s="34">
        <f t="shared" si="23"/>
        <v>1</v>
      </c>
      <c r="I169" s="34" t="str">
        <f t="shared" si="29"/>
        <v/>
      </c>
      <c r="J169" s="34" t="str">
        <f t="shared" si="29"/>
        <v/>
      </c>
      <c r="K169" s="34" t="str">
        <f t="shared" si="29"/>
        <v/>
      </c>
      <c r="L169" s="34" t="str">
        <f t="shared" si="29"/>
        <v/>
      </c>
      <c r="M169" s="34" t="str">
        <f t="shared" si="29"/>
        <v/>
      </c>
      <c r="N169" s="34">
        <f t="shared" si="29"/>
        <v>60</v>
      </c>
      <c r="O169" s="34">
        <f t="shared" si="29"/>
        <v>71</v>
      </c>
      <c r="P169" s="34">
        <f t="shared" si="29"/>
        <v>83</v>
      </c>
      <c r="Q169" s="34">
        <f t="shared" si="29"/>
        <v>95</v>
      </c>
      <c r="R169" s="34">
        <f t="shared" si="29"/>
        <v>107</v>
      </c>
      <c r="S169" s="35">
        <f t="shared" si="25"/>
        <v>60</v>
      </c>
    </row>
    <row r="170" spans="2:19" hidden="1" outlineLevel="1">
      <c r="B170" s="14" t="s">
        <v>39</v>
      </c>
      <c r="C170" s="15" t="s">
        <v>65</v>
      </c>
      <c r="D170" s="52">
        <v>2031</v>
      </c>
      <c r="E170" s="34">
        <v>3</v>
      </c>
      <c r="F170" s="38">
        <f t="shared" si="21"/>
        <v>15763.944710621348</v>
      </c>
      <c r="G170" s="34">
        <f t="shared" si="22"/>
        <v>9</v>
      </c>
      <c r="H170" s="34">
        <f t="shared" si="23"/>
        <v>1</v>
      </c>
      <c r="I170" s="34" t="str">
        <f t="shared" ref="I170:R179" si="30">IF($D170&lt;$Z$18,"",IF(MAX($G170,INDEX($C$65:$F$108,$D170+I$119-2026,$H170))&lt;=12*I$119-$E170+12,MAX($G170,12*I$119-$E170+1,INDEX($C$65:$F$108,$D170+I$119-2026,$H170)),""))</f>
        <v/>
      </c>
      <c r="J170" s="34" t="str">
        <f t="shared" si="30"/>
        <v/>
      </c>
      <c r="K170" s="34" t="str">
        <f t="shared" si="30"/>
        <v/>
      </c>
      <c r="L170" s="34" t="str">
        <f t="shared" si="30"/>
        <v/>
      </c>
      <c r="M170" s="34" t="str">
        <f t="shared" si="30"/>
        <v/>
      </c>
      <c r="N170" s="34">
        <f t="shared" si="30"/>
        <v>60</v>
      </c>
      <c r="O170" s="34">
        <f t="shared" si="30"/>
        <v>70</v>
      </c>
      <c r="P170" s="34">
        <f t="shared" si="30"/>
        <v>82</v>
      </c>
      <c r="Q170" s="34">
        <f t="shared" si="30"/>
        <v>94</v>
      </c>
      <c r="R170" s="34">
        <f t="shared" si="30"/>
        <v>106</v>
      </c>
      <c r="S170" s="35">
        <f t="shared" si="25"/>
        <v>60</v>
      </c>
    </row>
    <row r="171" spans="2:19" hidden="1" outlineLevel="1">
      <c r="B171" s="14" t="s">
        <v>39</v>
      </c>
      <c r="C171" s="15" t="s">
        <v>65</v>
      </c>
      <c r="D171" s="52">
        <v>2031</v>
      </c>
      <c r="E171" s="34">
        <v>4</v>
      </c>
      <c r="F171" s="38">
        <f t="shared" si="21"/>
        <v>15763.944710621348</v>
      </c>
      <c r="G171" s="34">
        <f t="shared" si="22"/>
        <v>9</v>
      </c>
      <c r="H171" s="34">
        <f t="shared" si="23"/>
        <v>1</v>
      </c>
      <c r="I171" s="34" t="str">
        <f t="shared" si="30"/>
        <v/>
      </c>
      <c r="J171" s="34" t="str">
        <f t="shared" si="30"/>
        <v/>
      </c>
      <c r="K171" s="34" t="str">
        <f t="shared" si="30"/>
        <v/>
      </c>
      <c r="L171" s="34" t="str">
        <f t="shared" si="30"/>
        <v/>
      </c>
      <c r="M171" s="34" t="str">
        <f t="shared" si="30"/>
        <v/>
      </c>
      <c r="N171" s="34">
        <f t="shared" si="30"/>
        <v>60</v>
      </c>
      <c r="O171" s="34">
        <f t="shared" si="30"/>
        <v>69</v>
      </c>
      <c r="P171" s="34">
        <f t="shared" si="30"/>
        <v>81</v>
      </c>
      <c r="Q171" s="34">
        <f t="shared" si="30"/>
        <v>93</v>
      </c>
      <c r="R171" s="34">
        <f t="shared" si="30"/>
        <v>105</v>
      </c>
      <c r="S171" s="35">
        <f t="shared" si="25"/>
        <v>60</v>
      </c>
    </row>
    <row r="172" spans="2:19" hidden="1" outlineLevel="1">
      <c r="B172" s="14" t="s">
        <v>39</v>
      </c>
      <c r="C172" s="15" t="s">
        <v>65</v>
      </c>
      <c r="D172" s="52">
        <v>2031</v>
      </c>
      <c r="E172" s="34">
        <v>5</v>
      </c>
      <c r="F172" s="38">
        <f t="shared" si="21"/>
        <v>15763.944710621348</v>
      </c>
      <c r="G172" s="34">
        <f t="shared" si="22"/>
        <v>9</v>
      </c>
      <c r="H172" s="34">
        <f t="shared" si="23"/>
        <v>1</v>
      </c>
      <c r="I172" s="34" t="str">
        <f t="shared" si="30"/>
        <v/>
      </c>
      <c r="J172" s="34" t="str">
        <f t="shared" si="30"/>
        <v/>
      </c>
      <c r="K172" s="34" t="str">
        <f t="shared" si="30"/>
        <v/>
      </c>
      <c r="L172" s="34" t="str">
        <f t="shared" si="30"/>
        <v/>
      </c>
      <c r="M172" s="34" t="str">
        <f t="shared" si="30"/>
        <v/>
      </c>
      <c r="N172" s="34">
        <f t="shared" si="30"/>
        <v>60</v>
      </c>
      <c r="O172" s="34">
        <f t="shared" si="30"/>
        <v>68</v>
      </c>
      <c r="P172" s="34">
        <f t="shared" si="30"/>
        <v>80</v>
      </c>
      <c r="Q172" s="34">
        <f t="shared" si="30"/>
        <v>92</v>
      </c>
      <c r="R172" s="34">
        <f t="shared" si="30"/>
        <v>104</v>
      </c>
      <c r="S172" s="35">
        <f t="shared" si="25"/>
        <v>60</v>
      </c>
    </row>
    <row r="173" spans="2:19" hidden="1" outlineLevel="1">
      <c r="B173" s="14" t="s">
        <v>39</v>
      </c>
      <c r="C173" s="15" t="s">
        <v>65</v>
      </c>
      <c r="D173" s="52">
        <v>2031</v>
      </c>
      <c r="E173" s="34">
        <v>6</v>
      </c>
      <c r="F173" s="38">
        <f t="shared" si="21"/>
        <v>15763.944710621348</v>
      </c>
      <c r="G173" s="34">
        <f t="shared" si="22"/>
        <v>9</v>
      </c>
      <c r="H173" s="34">
        <f t="shared" si="23"/>
        <v>1</v>
      </c>
      <c r="I173" s="34" t="str">
        <f t="shared" si="30"/>
        <v/>
      </c>
      <c r="J173" s="34" t="str">
        <f t="shared" si="30"/>
        <v/>
      </c>
      <c r="K173" s="34" t="str">
        <f t="shared" si="30"/>
        <v/>
      </c>
      <c r="L173" s="34" t="str">
        <f t="shared" si="30"/>
        <v/>
      </c>
      <c r="M173" s="34" t="str">
        <f t="shared" si="30"/>
        <v/>
      </c>
      <c r="N173" s="34">
        <f t="shared" si="30"/>
        <v>60</v>
      </c>
      <c r="O173" s="34">
        <f t="shared" si="30"/>
        <v>67</v>
      </c>
      <c r="P173" s="34">
        <f t="shared" si="30"/>
        <v>79</v>
      </c>
      <c r="Q173" s="34">
        <f t="shared" si="30"/>
        <v>91</v>
      </c>
      <c r="R173" s="34">
        <f t="shared" si="30"/>
        <v>103</v>
      </c>
      <c r="S173" s="35">
        <f t="shared" si="25"/>
        <v>60</v>
      </c>
    </row>
    <row r="174" spans="2:19" hidden="1" outlineLevel="1">
      <c r="B174" s="14" t="s">
        <v>39</v>
      </c>
      <c r="C174" s="15" t="s">
        <v>65</v>
      </c>
      <c r="D174" s="52">
        <v>2031</v>
      </c>
      <c r="E174" s="34">
        <v>7</v>
      </c>
      <c r="F174" s="38">
        <f t="shared" si="21"/>
        <v>15763.944710621348</v>
      </c>
      <c r="G174" s="34">
        <f t="shared" si="22"/>
        <v>9</v>
      </c>
      <c r="H174" s="34">
        <f t="shared" si="23"/>
        <v>1</v>
      </c>
      <c r="I174" s="34" t="str">
        <f t="shared" si="30"/>
        <v/>
      </c>
      <c r="J174" s="34" t="str">
        <f t="shared" si="30"/>
        <v/>
      </c>
      <c r="K174" s="34" t="str">
        <f t="shared" si="30"/>
        <v/>
      </c>
      <c r="L174" s="34" t="str">
        <f t="shared" si="30"/>
        <v/>
      </c>
      <c r="M174" s="34" t="str">
        <f t="shared" si="30"/>
        <v/>
      </c>
      <c r="N174" s="34">
        <f t="shared" si="30"/>
        <v>60</v>
      </c>
      <c r="O174" s="34">
        <f t="shared" si="30"/>
        <v>66</v>
      </c>
      <c r="P174" s="34">
        <f t="shared" si="30"/>
        <v>78</v>
      </c>
      <c r="Q174" s="34">
        <f t="shared" si="30"/>
        <v>90</v>
      </c>
      <c r="R174" s="34">
        <f t="shared" si="30"/>
        <v>102</v>
      </c>
      <c r="S174" s="35">
        <f t="shared" si="25"/>
        <v>60</v>
      </c>
    </row>
    <row r="175" spans="2:19" hidden="1" outlineLevel="1">
      <c r="B175" s="14" t="s">
        <v>39</v>
      </c>
      <c r="C175" s="15" t="s">
        <v>65</v>
      </c>
      <c r="D175" s="52">
        <v>2031</v>
      </c>
      <c r="E175" s="34">
        <v>8</v>
      </c>
      <c r="F175" s="38">
        <f t="shared" si="21"/>
        <v>15763.944710621348</v>
      </c>
      <c r="G175" s="34">
        <f t="shared" si="22"/>
        <v>9</v>
      </c>
      <c r="H175" s="34">
        <f t="shared" si="23"/>
        <v>1</v>
      </c>
      <c r="I175" s="34" t="str">
        <f t="shared" si="30"/>
        <v/>
      </c>
      <c r="J175" s="34" t="str">
        <f t="shared" si="30"/>
        <v/>
      </c>
      <c r="K175" s="34" t="str">
        <f t="shared" si="30"/>
        <v/>
      </c>
      <c r="L175" s="34" t="str">
        <f t="shared" si="30"/>
        <v/>
      </c>
      <c r="M175" s="34" t="str">
        <f t="shared" si="30"/>
        <v/>
      </c>
      <c r="N175" s="34">
        <f t="shared" si="30"/>
        <v>60</v>
      </c>
      <c r="O175" s="34">
        <f t="shared" si="30"/>
        <v>65</v>
      </c>
      <c r="P175" s="34">
        <f t="shared" si="30"/>
        <v>77</v>
      </c>
      <c r="Q175" s="34">
        <f t="shared" si="30"/>
        <v>89</v>
      </c>
      <c r="R175" s="34">
        <f t="shared" si="30"/>
        <v>101</v>
      </c>
      <c r="S175" s="35">
        <f t="shared" si="25"/>
        <v>60</v>
      </c>
    </row>
    <row r="176" spans="2:19" hidden="1" outlineLevel="1">
      <c r="B176" s="14" t="s">
        <v>39</v>
      </c>
      <c r="C176" s="15" t="s">
        <v>65</v>
      </c>
      <c r="D176" s="52">
        <v>2031</v>
      </c>
      <c r="E176" s="34">
        <v>9</v>
      </c>
      <c r="F176" s="38">
        <f t="shared" si="21"/>
        <v>15763.944710621348</v>
      </c>
      <c r="G176" s="34">
        <f t="shared" si="22"/>
        <v>9</v>
      </c>
      <c r="H176" s="34">
        <f t="shared" si="23"/>
        <v>1</v>
      </c>
      <c r="I176" s="34" t="str">
        <f t="shared" si="30"/>
        <v/>
      </c>
      <c r="J176" s="34" t="str">
        <f t="shared" si="30"/>
        <v/>
      </c>
      <c r="K176" s="34" t="str">
        <f t="shared" si="30"/>
        <v/>
      </c>
      <c r="L176" s="34" t="str">
        <f t="shared" si="30"/>
        <v/>
      </c>
      <c r="M176" s="34" t="str">
        <f t="shared" si="30"/>
        <v/>
      </c>
      <c r="N176" s="34">
        <f t="shared" si="30"/>
        <v>60</v>
      </c>
      <c r="O176" s="34">
        <f t="shared" si="30"/>
        <v>64</v>
      </c>
      <c r="P176" s="34">
        <f t="shared" si="30"/>
        <v>76</v>
      </c>
      <c r="Q176" s="34">
        <f t="shared" si="30"/>
        <v>88</v>
      </c>
      <c r="R176" s="34">
        <f t="shared" si="30"/>
        <v>100</v>
      </c>
      <c r="S176" s="35">
        <f t="shared" si="25"/>
        <v>60</v>
      </c>
    </row>
    <row r="177" spans="2:19" hidden="1" outlineLevel="1">
      <c r="B177" s="14" t="s">
        <v>39</v>
      </c>
      <c r="C177" s="15" t="s">
        <v>65</v>
      </c>
      <c r="D177" s="52">
        <v>2031</v>
      </c>
      <c r="E177" s="34">
        <v>10</v>
      </c>
      <c r="F177" s="38">
        <f t="shared" si="21"/>
        <v>15763.944710621348</v>
      </c>
      <c r="G177" s="34">
        <f t="shared" si="22"/>
        <v>9</v>
      </c>
      <c r="H177" s="34">
        <f t="shared" si="23"/>
        <v>1</v>
      </c>
      <c r="I177" s="34" t="str">
        <f t="shared" si="30"/>
        <v/>
      </c>
      <c r="J177" s="34" t="str">
        <f t="shared" si="30"/>
        <v/>
      </c>
      <c r="K177" s="34" t="str">
        <f t="shared" si="30"/>
        <v/>
      </c>
      <c r="L177" s="34" t="str">
        <f t="shared" si="30"/>
        <v/>
      </c>
      <c r="M177" s="34" t="str">
        <f t="shared" si="30"/>
        <v/>
      </c>
      <c r="N177" s="34">
        <f t="shared" si="30"/>
        <v>60</v>
      </c>
      <c r="O177" s="34">
        <f t="shared" si="30"/>
        <v>63</v>
      </c>
      <c r="P177" s="34">
        <f t="shared" si="30"/>
        <v>75</v>
      </c>
      <c r="Q177" s="34">
        <f t="shared" si="30"/>
        <v>87</v>
      </c>
      <c r="R177" s="34">
        <f t="shared" si="30"/>
        <v>99</v>
      </c>
      <c r="S177" s="35">
        <f t="shared" si="25"/>
        <v>60</v>
      </c>
    </row>
    <row r="178" spans="2:19" hidden="1" outlineLevel="1">
      <c r="B178" s="14" t="s">
        <v>39</v>
      </c>
      <c r="C178" s="15" t="s">
        <v>65</v>
      </c>
      <c r="D178" s="52">
        <v>2031</v>
      </c>
      <c r="E178" s="34">
        <v>11</v>
      </c>
      <c r="F178" s="38">
        <f t="shared" si="21"/>
        <v>15763.944710621348</v>
      </c>
      <c r="G178" s="34">
        <f t="shared" si="22"/>
        <v>9</v>
      </c>
      <c r="H178" s="34">
        <f t="shared" si="23"/>
        <v>1</v>
      </c>
      <c r="I178" s="34" t="str">
        <f t="shared" si="30"/>
        <v/>
      </c>
      <c r="J178" s="34" t="str">
        <f t="shared" si="30"/>
        <v/>
      </c>
      <c r="K178" s="34" t="str">
        <f t="shared" si="30"/>
        <v/>
      </c>
      <c r="L178" s="34" t="str">
        <f t="shared" si="30"/>
        <v/>
      </c>
      <c r="M178" s="34" t="str">
        <f t="shared" si="30"/>
        <v/>
      </c>
      <c r="N178" s="34">
        <f t="shared" si="30"/>
        <v>60</v>
      </c>
      <c r="O178" s="34">
        <f t="shared" si="30"/>
        <v>62</v>
      </c>
      <c r="P178" s="34">
        <f t="shared" si="30"/>
        <v>74</v>
      </c>
      <c r="Q178" s="34">
        <f t="shared" si="30"/>
        <v>86</v>
      </c>
      <c r="R178" s="34">
        <f t="shared" si="30"/>
        <v>98</v>
      </c>
      <c r="S178" s="35">
        <f t="shared" si="25"/>
        <v>60</v>
      </c>
    </row>
    <row r="179" spans="2:19" hidden="1" outlineLevel="1">
      <c r="B179" s="14" t="s">
        <v>39</v>
      </c>
      <c r="C179" s="15" t="s">
        <v>65</v>
      </c>
      <c r="D179" s="52">
        <v>2031</v>
      </c>
      <c r="E179" s="34">
        <v>12</v>
      </c>
      <c r="F179" s="38">
        <f t="shared" si="21"/>
        <v>15763.944710621348</v>
      </c>
      <c r="G179" s="34">
        <f t="shared" si="22"/>
        <v>9</v>
      </c>
      <c r="H179" s="34">
        <f t="shared" si="23"/>
        <v>1</v>
      </c>
      <c r="I179" s="34" t="str">
        <f t="shared" si="30"/>
        <v/>
      </c>
      <c r="J179" s="34" t="str">
        <f t="shared" si="30"/>
        <v/>
      </c>
      <c r="K179" s="34" t="str">
        <f t="shared" si="30"/>
        <v/>
      </c>
      <c r="L179" s="34" t="str">
        <f t="shared" si="30"/>
        <v/>
      </c>
      <c r="M179" s="34" t="str">
        <f t="shared" si="30"/>
        <v/>
      </c>
      <c r="N179" s="34">
        <f t="shared" si="30"/>
        <v>60</v>
      </c>
      <c r="O179" s="34">
        <f t="shared" si="30"/>
        <v>61</v>
      </c>
      <c r="P179" s="34">
        <f t="shared" si="30"/>
        <v>73</v>
      </c>
      <c r="Q179" s="34">
        <f t="shared" si="30"/>
        <v>85</v>
      </c>
      <c r="R179" s="34">
        <f t="shared" si="30"/>
        <v>97</v>
      </c>
      <c r="S179" s="35">
        <f t="shared" si="25"/>
        <v>60</v>
      </c>
    </row>
    <row r="180" spans="2:19" hidden="1" outlineLevel="1">
      <c r="B180" s="14" t="s">
        <v>39</v>
      </c>
      <c r="C180" s="15" t="s">
        <v>65</v>
      </c>
      <c r="D180" s="52">
        <v>2032</v>
      </c>
      <c r="E180" s="34">
        <v>1</v>
      </c>
      <c r="F180" s="38">
        <f t="shared" si="21"/>
        <v>16033.684776872831</v>
      </c>
      <c r="G180" s="34">
        <f t="shared" si="22"/>
        <v>9</v>
      </c>
      <c r="H180" s="34">
        <f t="shared" si="23"/>
        <v>1</v>
      </c>
      <c r="I180" s="34" t="str">
        <f t="shared" ref="I180:R189" si="31">IF($D180&lt;$Z$18,"",IF(MAX($G180,INDEX($C$65:$F$108,$D180+I$119-2026,$H180))&lt;=12*I$119-$E180+12,MAX($G180,12*I$119-$E180+1,INDEX($C$65:$F$108,$D180+I$119-2026,$H180)),""))</f>
        <v/>
      </c>
      <c r="J180" s="34" t="str">
        <f t="shared" si="31"/>
        <v/>
      </c>
      <c r="K180" s="34" t="str">
        <f t="shared" si="31"/>
        <v/>
      </c>
      <c r="L180" s="34" t="str">
        <f t="shared" si="31"/>
        <v/>
      </c>
      <c r="M180" s="34" t="str">
        <f t="shared" si="31"/>
        <v/>
      </c>
      <c r="N180" s="34">
        <f t="shared" si="31"/>
        <v>60</v>
      </c>
      <c r="O180" s="34">
        <f t="shared" si="31"/>
        <v>72</v>
      </c>
      <c r="P180" s="34">
        <f t="shared" si="31"/>
        <v>84</v>
      </c>
      <c r="Q180" s="34">
        <f t="shared" si="31"/>
        <v>96</v>
      </c>
      <c r="R180" s="34">
        <f t="shared" si="31"/>
        <v>108</v>
      </c>
      <c r="S180" s="35">
        <f t="shared" si="25"/>
        <v>60</v>
      </c>
    </row>
    <row r="181" spans="2:19" hidden="1" outlineLevel="1">
      <c r="B181" s="14" t="s">
        <v>39</v>
      </c>
      <c r="C181" s="15" t="s">
        <v>65</v>
      </c>
      <c r="D181" s="52">
        <v>2032</v>
      </c>
      <c r="E181" s="34">
        <v>2</v>
      </c>
      <c r="F181" s="38">
        <f t="shared" si="21"/>
        <v>16033.684776872831</v>
      </c>
      <c r="G181" s="34">
        <f t="shared" si="22"/>
        <v>9</v>
      </c>
      <c r="H181" s="34">
        <f t="shared" si="23"/>
        <v>1</v>
      </c>
      <c r="I181" s="34" t="str">
        <f t="shared" si="31"/>
        <v/>
      </c>
      <c r="J181" s="34" t="str">
        <f t="shared" si="31"/>
        <v/>
      </c>
      <c r="K181" s="34" t="str">
        <f t="shared" si="31"/>
        <v/>
      </c>
      <c r="L181" s="34" t="str">
        <f t="shared" si="31"/>
        <v/>
      </c>
      <c r="M181" s="34" t="str">
        <f t="shared" si="31"/>
        <v/>
      </c>
      <c r="N181" s="34">
        <f t="shared" si="31"/>
        <v>60</v>
      </c>
      <c r="O181" s="34">
        <f t="shared" si="31"/>
        <v>71</v>
      </c>
      <c r="P181" s="34">
        <f t="shared" si="31"/>
        <v>83</v>
      </c>
      <c r="Q181" s="34">
        <f t="shared" si="31"/>
        <v>95</v>
      </c>
      <c r="R181" s="34">
        <f t="shared" si="31"/>
        <v>107</v>
      </c>
      <c r="S181" s="35">
        <f t="shared" si="25"/>
        <v>60</v>
      </c>
    </row>
    <row r="182" spans="2:19" hidden="1" outlineLevel="1">
      <c r="B182" s="14" t="s">
        <v>39</v>
      </c>
      <c r="C182" s="15" t="s">
        <v>65</v>
      </c>
      <c r="D182" s="52">
        <v>2032</v>
      </c>
      <c r="E182" s="34">
        <v>3</v>
      </c>
      <c r="F182" s="38">
        <f t="shared" si="21"/>
        <v>16033.684776872831</v>
      </c>
      <c r="G182" s="34">
        <f t="shared" si="22"/>
        <v>9</v>
      </c>
      <c r="H182" s="34">
        <f t="shared" si="23"/>
        <v>1</v>
      </c>
      <c r="I182" s="34" t="str">
        <f t="shared" si="31"/>
        <v/>
      </c>
      <c r="J182" s="34" t="str">
        <f t="shared" si="31"/>
        <v/>
      </c>
      <c r="K182" s="34" t="str">
        <f t="shared" si="31"/>
        <v/>
      </c>
      <c r="L182" s="34" t="str">
        <f t="shared" si="31"/>
        <v/>
      </c>
      <c r="M182" s="34" t="str">
        <f t="shared" si="31"/>
        <v/>
      </c>
      <c r="N182" s="34">
        <f t="shared" si="31"/>
        <v>60</v>
      </c>
      <c r="O182" s="34">
        <f t="shared" si="31"/>
        <v>70</v>
      </c>
      <c r="P182" s="34">
        <f t="shared" si="31"/>
        <v>82</v>
      </c>
      <c r="Q182" s="34">
        <f t="shared" si="31"/>
        <v>94</v>
      </c>
      <c r="R182" s="34">
        <f t="shared" si="31"/>
        <v>106</v>
      </c>
      <c r="S182" s="35">
        <f t="shared" si="25"/>
        <v>60</v>
      </c>
    </row>
    <row r="183" spans="2:19" hidden="1" outlineLevel="1">
      <c r="B183" s="14" t="s">
        <v>39</v>
      </c>
      <c r="C183" s="15" t="s">
        <v>65</v>
      </c>
      <c r="D183" s="52">
        <v>2032</v>
      </c>
      <c r="E183" s="34">
        <v>4</v>
      </c>
      <c r="F183" s="38">
        <f t="shared" si="21"/>
        <v>16033.684776872831</v>
      </c>
      <c r="G183" s="34">
        <f t="shared" si="22"/>
        <v>9</v>
      </c>
      <c r="H183" s="34">
        <f t="shared" si="23"/>
        <v>1</v>
      </c>
      <c r="I183" s="34" t="str">
        <f t="shared" si="31"/>
        <v/>
      </c>
      <c r="J183" s="34" t="str">
        <f t="shared" si="31"/>
        <v/>
      </c>
      <c r="K183" s="34" t="str">
        <f t="shared" si="31"/>
        <v/>
      </c>
      <c r="L183" s="34" t="str">
        <f t="shared" si="31"/>
        <v/>
      </c>
      <c r="M183" s="34" t="str">
        <f t="shared" si="31"/>
        <v/>
      </c>
      <c r="N183" s="34">
        <f t="shared" si="31"/>
        <v>60</v>
      </c>
      <c r="O183" s="34">
        <f t="shared" si="31"/>
        <v>69</v>
      </c>
      <c r="P183" s="34">
        <f t="shared" si="31"/>
        <v>81</v>
      </c>
      <c r="Q183" s="34">
        <f t="shared" si="31"/>
        <v>93</v>
      </c>
      <c r="R183" s="34">
        <f t="shared" si="31"/>
        <v>105</v>
      </c>
      <c r="S183" s="35">
        <f t="shared" si="25"/>
        <v>60</v>
      </c>
    </row>
    <row r="184" spans="2:19" hidden="1" outlineLevel="1">
      <c r="B184" s="14" t="s">
        <v>39</v>
      </c>
      <c r="C184" s="15" t="s">
        <v>65</v>
      </c>
      <c r="D184" s="52">
        <v>2032</v>
      </c>
      <c r="E184" s="34">
        <v>5</v>
      </c>
      <c r="F184" s="38">
        <f t="shared" ref="F184:F247" si="32">IF($C184="Homens",INDEX($C$5:$C$55,MATCH($D184,$B$5:$B$55,0)),INDEX($F$5:$F$55,MATCH($D184,$B$5:$B$55,0)))/12</f>
        <v>16033.684776872831</v>
      </c>
      <c r="G184" s="34">
        <f t="shared" ref="G184:G247" si="33">IF($C184="Homens",$Z$17,$AA$17)</f>
        <v>9</v>
      </c>
      <c r="H184" s="34">
        <f t="shared" ref="H184:H247" si="34">1+2*($B184="Com Transição")+($C184="Mulheres")</f>
        <v>1</v>
      </c>
      <c r="I184" s="34" t="str">
        <f t="shared" si="31"/>
        <v/>
      </c>
      <c r="J184" s="34" t="str">
        <f t="shared" si="31"/>
        <v/>
      </c>
      <c r="K184" s="34" t="str">
        <f t="shared" si="31"/>
        <v/>
      </c>
      <c r="L184" s="34" t="str">
        <f t="shared" si="31"/>
        <v/>
      </c>
      <c r="M184" s="34" t="str">
        <f t="shared" si="31"/>
        <v/>
      </c>
      <c r="N184" s="34">
        <f t="shared" si="31"/>
        <v>60</v>
      </c>
      <c r="O184" s="34">
        <f t="shared" si="31"/>
        <v>68</v>
      </c>
      <c r="P184" s="34">
        <f t="shared" si="31"/>
        <v>80</v>
      </c>
      <c r="Q184" s="34">
        <f t="shared" si="31"/>
        <v>92</v>
      </c>
      <c r="R184" s="34">
        <f t="shared" si="31"/>
        <v>104</v>
      </c>
      <c r="S184" s="35">
        <f t="shared" ref="S184:S247" si="35">IF($D184&lt;$Z$18,$G184,MIN(I184:R184))</f>
        <v>60</v>
      </c>
    </row>
    <row r="185" spans="2:19" hidden="1" outlineLevel="1">
      <c r="B185" s="14" t="s">
        <v>39</v>
      </c>
      <c r="C185" s="15" t="s">
        <v>65</v>
      </c>
      <c r="D185" s="52">
        <v>2032</v>
      </c>
      <c r="E185" s="34">
        <v>6</v>
      </c>
      <c r="F185" s="38">
        <f t="shared" si="32"/>
        <v>16033.684776872831</v>
      </c>
      <c r="G185" s="34">
        <f t="shared" si="33"/>
        <v>9</v>
      </c>
      <c r="H185" s="34">
        <f t="shared" si="34"/>
        <v>1</v>
      </c>
      <c r="I185" s="34" t="str">
        <f t="shared" si="31"/>
        <v/>
      </c>
      <c r="J185" s="34" t="str">
        <f t="shared" si="31"/>
        <v/>
      </c>
      <c r="K185" s="34" t="str">
        <f t="shared" si="31"/>
        <v/>
      </c>
      <c r="L185" s="34" t="str">
        <f t="shared" si="31"/>
        <v/>
      </c>
      <c r="M185" s="34" t="str">
        <f t="shared" si="31"/>
        <v/>
      </c>
      <c r="N185" s="34">
        <f t="shared" si="31"/>
        <v>60</v>
      </c>
      <c r="O185" s="34">
        <f t="shared" si="31"/>
        <v>67</v>
      </c>
      <c r="P185" s="34">
        <f t="shared" si="31"/>
        <v>79</v>
      </c>
      <c r="Q185" s="34">
        <f t="shared" si="31"/>
        <v>91</v>
      </c>
      <c r="R185" s="34">
        <f t="shared" si="31"/>
        <v>103</v>
      </c>
      <c r="S185" s="35">
        <f t="shared" si="35"/>
        <v>60</v>
      </c>
    </row>
    <row r="186" spans="2:19" hidden="1" outlineLevel="1">
      <c r="B186" s="14" t="s">
        <v>39</v>
      </c>
      <c r="C186" s="15" t="s">
        <v>65</v>
      </c>
      <c r="D186" s="52">
        <v>2032</v>
      </c>
      <c r="E186" s="34">
        <v>7</v>
      </c>
      <c r="F186" s="38">
        <f t="shared" si="32"/>
        <v>16033.684776872831</v>
      </c>
      <c r="G186" s="34">
        <f t="shared" si="33"/>
        <v>9</v>
      </c>
      <c r="H186" s="34">
        <f t="shared" si="34"/>
        <v>1</v>
      </c>
      <c r="I186" s="34" t="str">
        <f t="shared" si="31"/>
        <v/>
      </c>
      <c r="J186" s="34" t="str">
        <f t="shared" si="31"/>
        <v/>
      </c>
      <c r="K186" s="34" t="str">
        <f t="shared" si="31"/>
        <v/>
      </c>
      <c r="L186" s="34" t="str">
        <f t="shared" si="31"/>
        <v/>
      </c>
      <c r="M186" s="34" t="str">
        <f t="shared" si="31"/>
        <v/>
      </c>
      <c r="N186" s="34">
        <f t="shared" si="31"/>
        <v>60</v>
      </c>
      <c r="O186" s="34">
        <f t="shared" si="31"/>
        <v>66</v>
      </c>
      <c r="P186" s="34">
        <f t="shared" si="31"/>
        <v>78</v>
      </c>
      <c r="Q186" s="34">
        <f t="shared" si="31"/>
        <v>90</v>
      </c>
      <c r="R186" s="34">
        <f t="shared" si="31"/>
        <v>102</v>
      </c>
      <c r="S186" s="35">
        <f t="shared" si="35"/>
        <v>60</v>
      </c>
    </row>
    <row r="187" spans="2:19" hidden="1" outlineLevel="1">
      <c r="B187" s="14" t="s">
        <v>39</v>
      </c>
      <c r="C187" s="15" t="s">
        <v>65</v>
      </c>
      <c r="D187" s="52">
        <v>2032</v>
      </c>
      <c r="E187" s="34">
        <v>8</v>
      </c>
      <c r="F187" s="38">
        <f t="shared" si="32"/>
        <v>16033.684776872831</v>
      </c>
      <c r="G187" s="34">
        <f t="shared" si="33"/>
        <v>9</v>
      </c>
      <c r="H187" s="34">
        <f t="shared" si="34"/>
        <v>1</v>
      </c>
      <c r="I187" s="34" t="str">
        <f t="shared" si="31"/>
        <v/>
      </c>
      <c r="J187" s="34" t="str">
        <f t="shared" si="31"/>
        <v/>
      </c>
      <c r="K187" s="34" t="str">
        <f t="shared" si="31"/>
        <v/>
      </c>
      <c r="L187" s="34" t="str">
        <f t="shared" si="31"/>
        <v/>
      </c>
      <c r="M187" s="34" t="str">
        <f t="shared" si="31"/>
        <v/>
      </c>
      <c r="N187" s="34">
        <f t="shared" si="31"/>
        <v>60</v>
      </c>
      <c r="O187" s="34">
        <f t="shared" si="31"/>
        <v>65</v>
      </c>
      <c r="P187" s="34">
        <f t="shared" si="31"/>
        <v>77</v>
      </c>
      <c r="Q187" s="34">
        <f t="shared" si="31"/>
        <v>89</v>
      </c>
      <c r="R187" s="34">
        <f t="shared" si="31"/>
        <v>101</v>
      </c>
      <c r="S187" s="35">
        <f t="shared" si="35"/>
        <v>60</v>
      </c>
    </row>
    <row r="188" spans="2:19" hidden="1" outlineLevel="1">
      <c r="B188" s="14" t="s">
        <v>39</v>
      </c>
      <c r="C188" s="15" t="s">
        <v>65</v>
      </c>
      <c r="D188" s="52">
        <v>2032</v>
      </c>
      <c r="E188" s="34">
        <v>9</v>
      </c>
      <c r="F188" s="38">
        <f t="shared" si="32"/>
        <v>16033.684776872831</v>
      </c>
      <c r="G188" s="34">
        <f t="shared" si="33"/>
        <v>9</v>
      </c>
      <c r="H188" s="34">
        <f t="shared" si="34"/>
        <v>1</v>
      </c>
      <c r="I188" s="34" t="str">
        <f t="shared" si="31"/>
        <v/>
      </c>
      <c r="J188" s="34" t="str">
        <f t="shared" si="31"/>
        <v/>
      </c>
      <c r="K188" s="34" t="str">
        <f t="shared" si="31"/>
        <v/>
      </c>
      <c r="L188" s="34" t="str">
        <f t="shared" si="31"/>
        <v/>
      </c>
      <c r="M188" s="34" t="str">
        <f t="shared" si="31"/>
        <v/>
      </c>
      <c r="N188" s="34">
        <f t="shared" si="31"/>
        <v>60</v>
      </c>
      <c r="O188" s="34">
        <f t="shared" si="31"/>
        <v>64</v>
      </c>
      <c r="P188" s="34">
        <f t="shared" si="31"/>
        <v>76</v>
      </c>
      <c r="Q188" s="34">
        <f t="shared" si="31"/>
        <v>88</v>
      </c>
      <c r="R188" s="34">
        <f t="shared" si="31"/>
        <v>100</v>
      </c>
      <c r="S188" s="35">
        <f t="shared" si="35"/>
        <v>60</v>
      </c>
    </row>
    <row r="189" spans="2:19" hidden="1" outlineLevel="1">
      <c r="B189" s="14" t="s">
        <v>39</v>
      </c>
      <c r="C189" s="15" t="s">
        <v>65</v>
      </c>
      <c r="D189" s="52">
        <v>2032</v>
      </c>
      <c r="E189" s="34">
        <v>10</v>
      </c>
      <c r="F189" s="38">
        <f t="shared" si="32"/>
        <v>16033.684776872831</v>
      </c>
      <c r="G189" s="34">
        <f t="shared" si="33"/>
        <v>9</v>
      </c>
      <c r="H189" s="34">
        <f t="shared" si="34"/>
        <v>1</v>
      </c>
      <c r="I189" s="34" t="str">
        <f t="shared" si="31"/>
        <v/>
      </c>
      <c r="J189" s="34" t="str">
        <f t="shared" si="31"/>
        <v/>
      </c>
      <c r="K189" s="34" t="str">
        <f t="shared" si="31"/>
        <v/>
      </c>
      <c r="L189" s="34" t="str">
        <f t="shared" si="31"/>
        <v/>
      </c>
      <c r="M189" s="34" t="str">
        <f t="shared" si="31"/>
        <v/>
      </c>
      <c r="N189" s="34">
        <f t="shared" si="31"/>
        <v>60</v>
      </c>
      <c r="O189" s="34">
        <f t="shared" si="31"/>
        <v>63</v>
      </c>
      <c r="P189" s="34">
        <f t="shared" si="31"/>
        <v>75</v>
      </c>
      <c r="Q189" s="34">
        <f t="shared" si="31"/>
        <v>87</v>
      </c>
      <c r="R189" s="34">
        <f t="shared" si="31"/>
        <v>99</v>
      </c>
      <c r="S189" s="35">
        <f t="shared" si="35"/>
        <v>60</v>
      </c>
    </row>
    <row r="190" spans="2:19" hidden="1" outlineLevel="1">
      <c r="B190" s="14" t="s">
        <v>39</v>
      </c>
      <c r="C190" s="15" t="s">
        <v>65</v>
      </c>
      <c r="D190" s="52">
        <v>2032</v>
      </c>
      <c r="E190" s="34">
        <v>11</v>
      </c>
      <c r="F190" s="38">
        <f t="shared" si="32"/>
        <v>16033.684776872831</v>
      </c>
      <c r="G190" s="34">
        <f t="shared" si="33"/>
        <v>9</v>
      </c>
      <c r="H190" s="34">
        <f t="shared" si="34"/>
        <v>1</v>
      </c>
      <c r="I190" s="34" t="str">
        <f t="shared" ref="I190:R199" si="36">IF($D190&lt;$Z$18,"",IF(MAX($G190,INDEX($C$65:$F$108,$D190+I$119-2026,$H190))&lt;=12*I$119-$E190+12,MAX($G190,12*I$119-$E190+1,INDEX($C$65:$F$108,$D190+I$119-2026,$H190)),""))</f>
        <v/>
      </c>
      <c r="J190" s="34" t="str">
        <f t="shared" si="36"/>
        <v/>
      </c>
      <c r="K190" s="34" t="str">
        <f t="shared" si="36"/>
        <v/>
      </c>
      <c r="L190" s="34" t="str">
        <f t="shared" si="36"/>
        <v/>
      </c>
      <c r="M190" s="34" t="str">
        <f t="shared" si="36"/>
        <v/>
      </c>
      <c r="N190" s="34">
        <f t="shared" si="36"/>
        <v>60</v>
      </c>
      <c r="O190" s="34">
        <f t="shared" si="36"/>
        <v>62</v>
      </c>
      <c r="P190" s="34">
        <f t="shared" si="36"/>
        <v>74</v>
      </c>
      <c r="Q190" s="34">
        <f t="shared" si="36"/>
        <v>86</v>
      </c>
      <c r="R190" s="34">
        <f t="shared" si="36"/>
        <v>98</v>
      </c>
      <c r="S190" s="35">
        <f t="shared" si="35"/>
        <v>60</v>
      </c>
    </row>
    <row r="191" spans="2:19" hidden="1" outlineLevel="1">
      <c r="B191" s="14" t="s">
        <v>39</v>
      </c>
      <c r="C191" s="15" t="s">
        <v>65</v>
      </c>
      <c r="D191" s="52">
        <v>2032</v>
      </c>
      <c r="E191" s="34">
        <v>12</v>
      </c>
      <c r="F191" s="38">
        <f t="shared" si="32"/>
        <v>16033.684776872831</v>
      </c>
      <c r="G191" s="34">
        <f t="shared" si="33"/>
        <v>9</v>
      </c>
      <c r="H191" s="34">
        <f t="shared" si="34"/>
        <v>1</v>
      </c>
      <c r="I191" s="34" t="str">
        <f t="shared" si="36"/>
        <v/>
      </c>
      <c r="J191" s="34" t="str">
        <f t="shared" si="36"/>
        <v/>
      </c>
      <c r="K191" s="34" t="str">
        <f t="shared" si="36"/>
        <v/>
      </c>
      <c r="L191" s="34" t="str">
        <f t="shared" si="36"/>
        <v/>
      </c>
      <c r="M191" s="34" t="str">
        <f t="shared" si="36"/>
        <v/>
      </c>
      <c r="N191" s="34">
        <f t="shared" si="36"/>
        <v>60</v>
      </c>
      <c r="O191" s="34">
        <f t="shared" si="36"/>
        <v>61</v>
      </c>
      <c r="P191" s="34">
        <f t="shared" si="36"/>
        <v>73</v>
      </c>
      <c r="Q191" s="34">
        <f t="shared" si="36"/>
        <v>85</v>
      </c>
      <c r="R191" s="34">
        <f t="shared" si="36"/>
        <v>97</v>
      </c>
      <c r="S191" s="35">
        <f t="shared" si="35"/>
        <v>60</v>
      </c>
    </row>
    <row r="192" spans="2:19" hidden="1" outlineLevel="1">
      <c r="B192" s="14" t="s">
        <v>39</v>
      </c>
      <c r="C192" s="15" t="s">
        <v>65</v>
      </c>
      <c r="D192" s="52">
        <v>2033</v>
      </c>
      <c r="E192" s="34">
        <v>1</v>
      </c>
      <c r="F192" s="38">
        <f t="shared" si="32"/>
        <v>16277.811707218976</v>
      </c>
      <c r="G192" s="34">
        <f t="shared" si="33"/>
        <v>9</v>
      </c>
      <c r="H192" s="34">
        <f t="shared" si="34"/>
        <v>1</v>
      </c>
      <c r="I192" s="34" t="str">
        <f t="shared" si="36"/>
        <v/>
      </c>
      <c r="J192" s="34" t="str">
        <f t="shared" si="36"/>
        <v/>
      </c>
      <c r="K192" s="34" t="str">
        <f t="shared" si="36"/>
        <v/>
      </c>
      <c r="L192" s="34" t="str">
        <f t="shared" si="36"/>
        <v/>
      </c>
      <c r="M192" s="34" t="str">
        <f t="shared" si="36"/>
        <v/>
      </c>
      <c r="N192" s="34">
        <f t="shared" si="36"/>
        <v>60</v>
      </c>
      <c r="O192" s="34">
        <f t="shared" si="36"/>
        <v>72</v>
      </c>
      <c r="P192" s="34">
        <f t="shared" si="36"/>
        <v>84</v>
      </c>
      <c r="Q192" s="34">
        <f t="shared" si="36"/>
        <v>96</v>
      </c>
      <c r="R192" s="34">
        <f t="shared" si="36"/>
        <v>108</v>
      </c>
      <c r="S192" s="35">
        <f t="shared" si="35"/>
        <v>60</v>
      </c>
    </row>
    <row r="193" spans="2:19" hidden="1" outlineLevel="1">
      <c r="B193" s="14" t="s">
        <v>39</v>
      </c>
      <c r="C193" s="15" t="s">
        <v>65</v>
      </c>
      <c r="D193" s="52">
        <v>2033</v>
      </c>
      <c r="E193" s="34">
        <v>2</v>
      </c>
      <c r="F193" s="38">
        <f t="shared" si="32"/>
        <v>16277.811707218976</v>
      </c>
      <c r="G193" s="34">
        <f t="shared" si="33"/>
        <v>9</v>
      </c>
      <c r="H193" s="34">
        <f t="shared" si="34"/>
        <v>1</v>
      </c>
      <c r="I193" s="34" t="str">
        <f t="shared" si="36"/>
        <v/>
      </c>
      <c r="J193" s="34" t="str">
        <f t="shared" si="36"/>
        <v/>
      </c>
      <c r="K193" s="34" t="str">
        <f t="shared" si="36"/>
        <v/>
      </c>
      <c r="L193" s="34" t="str">
        <f t="shared" si="36"/>
        <v/>
      </c>
      <c r="M193" s="34" t="str">
        <f t="shared" si="36"/>
        <v/>
      </c>
      <c r="N193" s="34">
        <f t="shared" si="36"/>
        <v>60</v>
      </c>
      <c r="O193" s="34">
        <f t="shared" si="36"/>
        <v>71</v>
      </c>
      <c r="P193" s="34">
        <f t="shared" si="36"/>
        <v>83</v>
      </c>
      <c r="Q193" s="34">
        <f t="shared" si="36"/>
        <v>95</v>
      </c>
      <c r="R193" s="34">
        <f t="shared" si="36"/>
        <v>107</v>
      </c>
      <c r="S193" s="35">
        <f t="shared" si="35"/>
        <v>60</v>
      </c>
    </row>
    <row r="194" spans="2:19" hidden="1" outlineLevel="1">
      <c r="B194" s="14" t="s">
        <v>39</v>
      </c>
      <c r="C194" s="15" t="s">
        <v>65</v>
      </c>
      <c r="D194" s="52">
        <v>2033</v>
      </c>
      <c r="E194" s="34">
        <v>3</v>
      </c>
      <c r="F194" s="38">
        <f t="shared" si="32"/>
        <v>16277.811707218976</v>
      </c>
      <c r="G194" s="34">
        <f t="shared" si="33"/>
        <v>9</v>
      </c>
      <c r="H194" s="34">
        <f t="shared" si="34"/>
        <v>1</v>
      </c>
      <c r="I194" s="34" t="str">
        <f t="shared" si="36"/>
        <v/>
      </c>
      <c r="J194" s="34" t="str">
        <f t="shared" si="36"/>
        <v/>
      </c>
      <c r="K194" s="34" t="str">
        <f t="shared" si="36"/>
        <v/>
      </c>
      <c r="L194" s="34" t="str">
        <f t="shared" si="36"/>
        <v/>
      </c>
      <c r="M194" s="34" t="str">
        <f t="shared" si="36"/>
        <v/>
      </c>
      <c r="N194" s="34">
        <f t="shared" si="36"/>
        <v>60</v>
      </c>
      <c r="O194" s="34">
        <f t="shared" si="36"/>
        <v>70</v>
      </c>
      <c r="P194" s="34">
        <f t="shared" si="36"/>
        <v>82</v>
      </c>
      <c r="Q194" s="34">
        <f t="shared" si="36"/>
        <v>94</v>
      </c>
      <c r="R194" s="34">
        <f t="shared" si="36"/>
        <v>106</v>
      </c>
      <c r="S194" s="35">
        <f t="shared" si="35"/>
        <v>60</v>
      </c>
    </row>
    <row r="195" spans="2:19" hidden="1" outlineLevel="1">
      <c r="B195" s="14" t="s">
        <v>39</v>
      </c>
      <c r="C195" s="15" t="s">
        <v>65</v>
      </c>
      <c r="D195" s="52">
        <v>2033</v>
      </c>
      <c r="E195" s="34">
        <v>4</v>
      </c>
      <c r="F195" s="38">
        <f t="shared" si="32"/>
        <v>16277.811707218976</v>
      </c>
      <c r="G195" s="34">
        <f t="shared" si="33"/>
        <v>9</v>
      </c>
      <c r="H195" s="34">
        <f t="shared" si="34"/>
        <v>1</v>
      </c>
      <c r="I195" s="34" t="str">
        <f t="shared" si="36"/>
        <v/>
      </c>
      <c r="J195" s="34" t="str">
        <f t="shared" si="36"/>
        <v/>
      </c>
      <c r="K195" s="34" t="str">
        <f t="shared" si="36"/>
        <v/>
      </c>
      <c r="L195" s="34" t="str">
        <f t="shared" si="36"/>
        <v/>
      </c>
      <c r="M195" s="34" t="str">
        <f t="shared" si="36"/>
        <v/>
      </c>
      <c r="N195" s="34">
        <f t="shared" si="36"/>
        <v>60</v>
      </c>
      <c r="O195" s="34">
        <f t="shared" si="36"/>
        <v>69</v>
      </c>
      <c r="P195" s="34">
        <f t="shared" si="36"/>
        <v>81</v>
      </c>
      <c r="Q195" s="34">
        <f t="shared" si="36"/>
        <v>93</v>
      </c>
      <c r="R195" s="34">
        <f t="shared" si="36"/>
        <v>105</v>
      </c>
      <c r="S195" s="35">
        <f t="shared" si="35"/>
        <v>60</v>
      </c>
    </row>
    <row r="196" spans="2:19" hidden="1" outlineLevel="1">
      <c r="B196" s="14" t="s">
        <v>39</v>
      </c>
      <c r="C196" s="15" t="s">
        <v>65</v>
      </c>
      <c r="D196" s="52">
        <v>2033</v>
      </c>
      <c r="E196" s="34">
        <v>5</v>
      </c>
      <c r="F196" s="38">
        <f t="shared" si="32"/>
        <v>16277.811707218976</v>
      </c>
      <c r="G196" s="34">
        <f t="shared" si="33"/>
        <v>9</v>
      </c>
      <c r="H196" s="34">
        <f t="shared" si="34"/>
        <v>1</v>
      </c>
      <c r="I196" s="34" t="str">
        <f t="shared" si="36"/>
        <v/>
      </c>
      <c r="J196" s="34" t="str">
        <f t="shared" si="36"/>
        <v/>
      </c>
      <c r="K196" s="34" t="str">
        <f t="shared" si="36"/>
        <v/>
      </c>
      <c r="L196" s="34" t="str">
        <f t="shared" si="36"/>
        <v/>
      </c>
      <c r="M196" s="34" t="str">
        <f t="shared" si="36"/>
        <v/>
      </c>
      <c r="N196" s="34">
        <f t="shared" si="36"/>
        <v>60</v>
      </c>
      <c r="O196" s="34">
        <f t="shared" si="36"/>
        <v>68</v>
      </c>
      <c r="P196" s="34">
        <f t="shared" si="36"/>
        <v>80</v>
      </c>
      <c r="Q196" s="34">
        <f t="shared" si="36"/>
        <v>92</v>
      </c>
      <c r="R196" s="34">
        <f t="shared" si="36"/>
        <v>104</v>
      </c>
      <c r="S196" s="35">
        <f t="shared" si="35"/>
        <v>60</v>
      </c>
    </row>
    <row r="197" spans="2:19" hidden="1" outlineLevel="1">
      <c r="B197" s="14" t="s">
        <v>39</v>
      </c>
      <c r="C197" s="15" t="s">
        <v>65</v>
      </c>
      <c r="D197" s="52">
        <v>2033</v>
      </c>
      <c r="E197" s="34">
        <v>6</v>
      </c>
      <c r="F197" s="38">
        <f t="shared" si="32"/>
        <v>16277.811707218976</v>
      </c>
      <c r="G197" s="34">
        <f t="shared" si="33"/>
        <v>9</v>
      </c>
      <c r="H197" s="34">
        <f t="shared" si="34"/>
        <v>1</v>
      </c>
      <c r="I197" s="34" t="str">
        <f t="shared" si="36"/>
        <v/>
      </c>
      <c r="J197" s="34" t="str">
        <f t="shared" si="36"/>
        <v/>
      </c>
      <c r="K197" s="34" t="str">
        <f t="shared" si="36"/>
        <v/>
      </c>
      <c r="L197" s="34" t="str">
        <f t="shared" si="36"/>
        <v/>
      </c>
      <c r="M197" s="34" t="str">
        <f t="shared" si="36"/>
        <v/>
      </c>
      <c r="N197" s="34">
        <f t="shared" si="36"/>
        <v>60</v>
      </c>
      <c r="O197" s="34">
        <f t="shared" si="36"/>
        <v>67</v>
      </c>
      <c r="P197" s="34">
        <f t="shared" si="36"/>
        <v>79</v>
      </c>
      <c r="Q197" s="34">
        <f t="shared" si="36"/>
        <v>91</v>
      </c>
      <c r="R197" s="34">
        <f t="shared" si="36"/>
        <v>103</v>
      </c>
      <c r="S197" s="35">
        <f t="shared" si="35"/>
        <v>60</v>
      </c>
    </row>
    <row r="198" spans="2:19" hidden="1" outlineLevel="1">
      <c r="B198" s="14" t="s">
        <v>39</v>
      </c>
      <c r="C198" s="15" t="s">
        <v>65</v>
      </c>
      <c r="D198" s="52">
        <v>2033</v>
      </c>
      <c r="E198" s="34">
        <v>7</v>
      </c>
      <c r="F198" s="38">
        <f t="shared" si="32"/>
        <v>16277.811707218976</v>
      </c>
      <c r="G198" s="34">
        <f t="shared" si="33"/>
        <v>9</v>
      </c>
      <c r="H198" s="34">
        <f t="shared" si="34"/>
        <v>1</v>
      </c>
      <c r="I198" s="34" t="str">
        <f t="shared" si="36"/>
        <v/>
      </c>
      <c r="J198" s="34" t="str">
        <f t="shared" si="36"/>
        <v/>
      </c>
      <c r="K198" s="34" t="str">
        <f t="shared" si="36"/>
        <v/>
      </c>
      <c r="L198" s="34" t="str">
        <f t="shared" si="36"/>
        <v/>
      </c>
      <c r="M198" s="34" t="str">
        <f t="shared" si="36"/>
        <v/>
      </c>
      <c r="N198" s="34">
        <f t="shared" si="36"/>
        <v>60</v>
      </c>
      <c r="O198" s="34">
        <f t="shared" si="36"/>
        <v>66</v>
      </c>
      <c r="P198" s="34">
        <f t="shared" si="36"/>
        <v>78</v>
      </c>
      <c r="Q198" s="34">
        <f t="shared" si="36"/>
        <v>90</v>
      </c>
      <c r="R198" s="34">
        <f t="shared" si="36"/>
        <v>102</v>
      </c>
      <c r="S198" s="35">
        <f t="shared" si="35"/>
        <v>60</v>
      </c>
    </row>
    <row r="199" spans="2:19" hidden="1" outlineLevel="1">
      <c r="B199" s="14" t="s">
        <v>39</v>
      </c>
      <c r="C199" s="15" t="s">
        <v>65</v>
      </c>
      <c r="D199" s="52">
        <v>2033</v>
      </c>
      <c r="E199" s="34">
        <v>8</v>
      </c>
      <c r="F199" s="38">
        <f t="shared" si="32"/>
        <v>16277.811707218976</v>
      </c>
      <c r="G199" s="34">
        <f t="shared" si="33"/>
        <v>9</v>
      </c>
      <c r="H199" s="34">
        <f t="shared" si="34"/>
        <v>1</v>
      </c>
      <c r="I199" s="34" t="str">
        <f t="shared" si="36"/>
        <v/>
      </c>
      <c r="J199" s="34" t="str">
        <f t="shared" si="36"/>
        <v/>
      </c>
      <c r="K199" s="34" t="str">
        <f t="shared" si="36"/>
        <v/>
      </c>
      <c r="L199" s="34" t="str">
        <f t="shared" si="36"/>
        <v/>
      </c>
      <c r="M199" s="34" t="str">
        <f t="shared" si="36"/>
        <v/>
      </c>
      <c r="N199" s="34">
        <f t="shared" si="36"/>
        <v>60</v>
      </c>
      <c r="O199" s="34">
        <f t="shared" si="36"/>
        <v>65</v>
      </c>
      <c r="P199" s="34">
        <f t="shared" si="36"/>
        <v>77</v>
      </c>
      <c r="Q199" s="34">
        <f t="shared" si="36"/>
        <v>89</v>
      </c>
      <c r="R199" s="34">
        <f t="shared" si="36"/>
        <v>101</v>
      </c>
      <c r="S199" s="35">
        <f t="shared" si="35"/>
        <v>60</v>
      </c>
    </row>
    <row r="200" spans="2:19" hidden="1" outlineLevel="1">
      <c r="B200" s="14" t="s">
        <v>39</v>
      </c>
      <c r="C200" s="15" t="s">
        <v>65</v>
      </c>
      <c r="D200" s="52">
        <v>2033</v>
      </c>
      <c r="E200" s="34">
        <v>9</v>
      </c>
      <c r="F200" s="38">
        <f t="shared" si="32"/>
        <v>16277.811707218976</v>
      </c>
      <c r="G200" s="34">
        <f t="shared" si="33"/>
        <v>9</v>
      </c>
      <c r="H200" s="34">
        <f t="shared" si="34"/>
        <v>1</v>
      </c>
      <c r="I200" s="34" t="str">
        <f t="shared" ref="I200:R209" si="37">IF($D200&lt;$Z$18,"",IF(MAX($G200,INDEX($C$65:$F$108,$D200+I$119-2026,$H200))&lt;=12*I$119-$E200+12,MAX($G200,12*I$119-$E200+1,INDEX($C$65:$F$108,$D200+I$119-2026,$H200)),""))</f>
        <v/>
      </c>
      <c r="J200" s="34" t="str">
        <f t="shared" si="37"/>
        <v/>
      </c>
      <c r="K200" s="34" t="str">
        <f t="shared" si="37"/>
        <v/>
      </c>
      <c r="L200" s="34" t="str">
        <f t="shared" si="37"/>
        <v/>
      </c>
      <c r="M200" s="34" t="str">
        <f t="shared" si="37"/>
        <v/>
      </c>
      <c r="N200" s="34">
        <f t="shared" si="37"/>
        <v>60</v>
      </c>
      <c r="O200" s="34">
        <f t="shared" si="37"/>
        <v>64</v>
      </c>
      <c r="P200" s="34">
        <f t="shared" si="37"/>
        <v>76</v>
      </c>
      <c r="Q200" s="34">
        <f t="shared" si="37"/>
        <v>88</v>
      </c>
      <c r="R200" s="34">
        <f t="shared" si="37"/>
        <v>100</v>
      </c>
      <c r="S200" s="35">
        <f t="shared" si="35"/>
        <v>60</v>
      </c>
    </row>
    <row r="201" spans="2:19" hidden="1" outlineLevel="1">
      <c r="B201" s="14" t="s">
        <v>39</v>
      </c>
      <c r="C201" s="15" t="s">
        <v>65</v>
      </c>
      <c r="D201" s="52">
        <v>2033</v>
      </c>
      <c r="E201" s="34">
        <v>10</v>
      </c>
      <c r="F201" s="38">
        <f t="shared" si="32"/>
        <v>16277.811707218976</v>
      </c>
      <c r="G201" s="34">
        <f t="shared" si="33"/>
        <v>9</v>
      </c>
      <c r="H201" s="34">
        <f t="shared" si="34"/>
        <v>1</v>
      </c>
      <c r="I201" s="34" t="str">
        <f t="shared" si="37"/>
        <v/>
      </c>
      <c r="J201" s="34" t="str">
        <f t="shared" si="37"/>
        <v/>
      </c>
      <c r="K201" s="34" t="str">
        <f t="shared" si="37"/>
        <v/>
      </c>
      <c r="L201" s="34" t="str">
        <f t="shared" si="37"/>
        <v/>
      </c>
      <c r="M201" s="34" t="str">
        <f t="shared" si="37"/>
        <v/>
      </c>
      <c r="N201" s="34">
        <f t="shared" si="37"/>
        <v>60</v>
      </c>
      <c r="O201" s="34">
        <f t="shared" si="37"/>
        <v>63</v>
      </c>
      <c r="P201" s="34">
        <f t="shared" si="37"/>
        <v>75</v>
      </c>
      <c r="Q201" s="34">
        <f t="shared" si="37"/>
        <v>87</v>
      </c>
      <c r="R201" s="34">
        <f t="shared" si="37"/>
        <v>99</v>
      </c>
      <c r="S201" s="35">
        <f t="shared" si="35"/>
        <v>60</v>
      </c>
    </row>
    <row r="202" spans="2:19" hidden="1" outlineLevel="1">
      <c r="B202" s="14" t="s">
        <v>39</v>
      </c>
      <c r="C202" s="15" t="s">
        <v>65</v>
      </c>
      <c r="D202" s="52">
        <v>2033</v>
      </c>
      <c r="E202" s="34">
        <v>11</v>
      </c>
      <c r="F202" s="38">
        <f t="shared" si="32"/>
        <v>16277.811707218976</v>
      </c>
      <c r="G202" s="34">
        <f t="shared" si="33"/>
        <v>9</v>
      </c>
      <c r="H202" s="34">
        <f t="shared" si="34"/>
        <v>1</v>
      </c>
      <c r="I202" s="34" t="str">
        <f t="shared" si="37"/>
        <v/>
      </c>
      <c r="J202" s="34" t="str">
        <f t="shared" si="37"/>
        <v/>
      </c>
      <c r="K202" s="34" t="str">
        <f t="shared" si="37"/>
        <v/>
      </c>
      <c r="L202" s="34" t="str">
        <f t="shared" si="37"/>
        <v/>
      </c>
      <c r="M202" s="34" t="str">
        <f t="shared" si="37"/>
        <v/>
      </c>
      <c r="N202" s="34">
        <f t="shared" si="37"/>
        <v>60</v>
      </c>
      <c r="O202" s="34">
        <f t="shared" si="37"/>
        <v>62</v>
      </c>
      <c r="P202" s="34">
        <f t="shared" si="37"/>
        <v>74</v>
      </c>
      <c r="Q202" s="34">
        <f t="shared" si="37"/>
        <v>86</v>
      </c>
      <c r="R202" s="34">
        <f t="shared" si="37"/>
        <v>98</v>
      </c>
      <c r="S202" s="35">
        <f t="shared" si="35"/>
        <v>60</v>
      </c>
    </row>
    <row r="203" spans="2:19" hidden="1" outlineLevel="1">
      <c r="B203" s="14" t="s">
        <v>39</v>
      </c>
      <c r="C203" s="15" t="s">
        <v>65</v>
      </c>
      <c r="D203" s="52">
        <v>2033</v>
      </c>
      <c r="E203" s="34">
        <v>12</v>
      </c>
      <c r="F203" s="38">
        <f t="shared" si="32"/>
        <v>16277.811707218976</v>
      </c>
      <c r="G203" s="34">
        <f t="shared" si="33"/>
        <v>9</v>
      </c>
      <c r="H203" s="34">
        <f t="shared" si="34"/>
        <v>1</v>
      </c>
      <c r="I203" s="34" t="str">
        <f t="shared" si="37"/>
        <v/>
      </c>
      <c r="J203" s="34" t="str">
        <f t="shared" si="37"/>
        <v/>
      </c>
      <c r="K203" s="34" t="str">
        <f t="shared" si="37"/>
        <v/>
      </c>
      <c r="L203" s="34" t="str">
        <f t="shared" si="37"/>
        <v/>
      </c>
      <c r="M203" s="34" t="str">
        <f t="shared" si="37"/>
        <v/>
      </c>
      <c r="N203" s="34">
        <f t="shared" si="37"/>
        <v>60</v>
      </c>
      <c r="O203" s="34">
        <f t="shared" si="37"/>
        <v>61</v>
      </c>
      <c r="P203" s="34">
        <f t="shared" si="37"/>
        <v>73</v>
      </c>
      <c r="Q203" s="34">
        <f t="shared" si="37"/>
        <v>85</v>
      </c>
      <c r="R203" s="34">
        <f t="shared" si="37"/>
        <v>97</v>
      </c>
      <c r="S203" s="35">
        <f t="shared" si="35"/>
        <v>60</v>
      </c>
    </row>
    <row r="204" spans="2:19" hidden="1" outlineLevel="1">
      <c r="B204" s="14" t="s">
        <v>39</v>
      </c>
      <c r="C204" s="15" t="s">
        <v>65</v>
      </c>
      <c r="D204" s="52">
        <v>2034</v>
      </c>
      <c r="E204" s="34">
        <v>1</v>
      </c>
      <c r="F204" s="38">
        <f t="shared" si="32"/>
        <v>16548.326252741896</v>
      </c>
      <c r="G204" s="34">
        <f t="shared" si="33"/>
        <v>9</v>
      </c>
      <c r="H204" s="34">
        <f t="shared" si="34"/>
        <v>1</v>
      </c>
      <c r="I204" s="34" t="str">
        <f t="shared" si="37"/>
        <v/>
      </c>
      <c r="J204" s="34" t="str">
        <f t="shared" si="37"/>
        <v/>
      </c>
      <c r="K204" s="34" t="str">
        <f t="shared" si="37"/>
        <v/>
      </c>
      <c r="L204" s="34" t="str">
        <f t="shared" si="37"/>
        <v/>
      </c>
      <c r="M204" s="34" t="str">
        <f t="shared" si="37"/>
        <v/>
      </c>
      <c r="N204" s="34">
        <f t="shared" si="37"/>
        <v>60</v>
      </c>
      <c r="O204" s="34">
        <f t="shared" si="37"/>
        <v>72</v>
      </c>
      <c r="P204" s="34">
        <f t="shared" si="37"/>
        <v>84</v>
      </c>
      <c r="Q204" s="34">
        <f t="shared" si="37"/>
        <v>96</v>
      </c>
      <c r="R204" s="34">
        <f t="shared" si="37"/>
        <v>108</v>
      </c>
      <c r="S204" s="35">
        <f t="shared" si="35"/>
        <v>60</v>
      </c>
    </row>
    <row r="205" spans="2:19" hidden="1" outlineLevel="1">
      <c r="B205" s="14" t="s">
        <v>39</v>
      </c>
      <c r="C205" s="15" t="s">
        <v>65</v>
      </c>
      <c r="D205" s="52">
        <v>2034</v>
      </c>
      <c r="E205" s="34">
        <v>2</v>
      </c>
      <c r="F205" s="38">
        <f t="shared" si="32"/>
        <v>16548.326252741896</v>
      </c>
      <c r="G205" s="34">
        <f t="shared" si="33"/>
        <v>9</v>
      </c>
      <c r="H205" s="34">
        <f t="shared" si="34"/>
        <v>1</v>
      </c>
      <c r="I205" s="34" t="str">
        <f t="shared" si="37"/>
        <v/>
      </c>
      <c r="J205" s="34" t="str">
        <f t="shared" si="37"/>
        <v/>
      </c>
      <c r="K205" s="34" t="str">
        <f t="shared" si="37"/>
        <v/>
      </c>
      <c r="L205" s="34" t="str">
        <f t="shared" si="37"/>
        <v/>
      </c>
      <c r="M205" s="34" t="str">
        <f t="shared" si="37"/>
        <v/>
      </c>
      <c r="N205" s="34">
        <f t="shared" si="37"/>
        <v>60</v>
      </c>
      <c r="O205" s="34">
        <f t="shared" si="37"/>
        <v>71</v>
      </c>
      <c r="P205" s="34">
        <f t="shared" si="37"/>
        <v>83</v>
      </c>
      <c r="Q205" s="34">
        <f t="shared" si="37"/>
        <v>95</v>
      </c>
      <c r="R205" s="34">
        <f t="shared" si="37"/>
        <v>107</v>
      </c>
      <c r="S205" s="35">
        <f t="shared" si="35"/>
        <v>60</v>
      </c>
    </row>
    <row r="206" spans="2:19" hidden="1" outlineLevel="1">
      <c r="B206" s="14" t="s">
        <v>39</v>
      </c>
      <c r="C206" s="15" t="s">
        <v>65</v>
      </c>
      <c r="D206" s="52">
        <v>2034</v>
      </c>
      <c r="E206" s="34">
        <v>3</v>
      </c>
      <c r="F206" s="38">
        <f t="shared" si="32"/>
        <v>16548.326252741896</v>
      </c>
      <c r="G206" s="34">
        <f t="shared" si="33"/>
        <v>9</v>
      </c>
      <c r="H206" s="34">
        <f t="shared" si="34"/>
        <v>1</v>
      </c>
      <c r="I206" s="34" t="str">
        <f t="shared" si="37"/>
        <v/>
      </c>
      <c r="J206" s="34" t="str">
        <f t="shared" si="37"/>
        <v/>
      </c>
      <c r="K206" s="34" t="str">
        <f t="shared" si="37"/>
        <v/>
      </c>
      <c r="L206" s="34" t="str">
        <f t="shared" si="37"/>
        <v/>
      </c>
      <c r="M206" s="34" t="str">
        <f t="shared" si="37"/>
        <v/>
      </c>
      <c r="N206" s="34">
        <f t="shared" si="37"/>
        <v>60</v>
      </c>
      <c r="O206" s="34">
        <f t="shared" si="37"/>
        <v>70</v>
      </c>
      <c r="P206" s="34">
        <f t="shared" si="37"/>
        <v>82</v>
      </c>
      <c r="Q206" s="34">
        <f t="shared" si="37"/>
        <v>94</v>
      </c>
      <c r="R206" s="34">
        <f t="shared" si="37"/>
        <v>106</v>
      </c>
      <c r="S206" s="35">
        <f t="shared" si="35"/>
        <v>60</v>
      </c>
    </row>
    <row r="207" spans="2:19" hidden="1" outlineLevel="1">
      <c r="B207" s="14" t="s">
        <v>39</v>
      </c>
      <c r="C207" s="15" t="s">
        <v>65</v>
      </c>
      <c r="D207" s="52">
        <v>2034</v>
      </c>
      <c r="E207" s="34">
        <v>4</v>
      </c>
      <c r="F207" s="38">
        <f t="shared" si="32"/>
        <v>16548.326252741896</v>
      </c>
      <c r="G207" s="34">
        <f t="shared" si="33"/>
        <v>9</v>
      </c>
      <c r="H207" s="34">
        <f t="shared" si="34"/>
        <v>1</v>
      </c>
      <c r="I207" s="34" t="str">
        <f t="shared" si="37"/>
        <v/>
      </c>
      <c r="J207" s="34" t="str">
        <f t="shared" si="37"/>
        <v/>
      </c>
      <c r="K207" s="34" t="str">
        <f t="shared" si="37"/>
        <v/>
      </c>
      <c r="L207" s="34" t="str">
        <f t="shared" si="37"/>
        <v/>
      </c>
      <c r="M207" s="34" t="str">
        <f t="shared" si="37"/>
        <v/>
      </c>
      <c r="N207" s="34">
        <f t="shared" si="37"/>
        <v>60</v>
      </c>
      <c r="O207" s="34">
        <f t="shared" si="37"/>
        <v>69</v>
      </c>
      <c r="P207" s="34">
        <f t="shared" si="37"/>
        <v>81</v>
      </c>
      <c r="Q207" s="34">
        <f t="shared" si="37"/>
        <v>93</v>
      </c>
      <c r="R207" s="34">
        <f t="shared" si="37"/>
        <v>105</v>
      </c>
      <c r="S207" s="35">
        <f t="shared" si="35"/>
        <v>60</v>
      </c>
    </row>
    <row r="208" spans="2:19" hidden="1" outlineLevel="1">
      <c r="B208" s="14" t="s">
        <v>39</v>
      </c>
      <c r="C208" s="15" t="s">
        <v>65</v>
      </c>
      <c r="D208" s="52">
        <v>2034</v>
      </c>
      <c r="E208" s="34">
        <v>5</v>
      </c>
      <c r="F208" s="38">
        <f t="shared" si="32"/>
        <v>16548.326252741896</v>
      </c>
      <c r="G208" s="34">
        <f t="shared" si="33"/>
        <v>9</v>
      </c>
      <c r="H208" s="34">
        <f t="shared" si="34"/>
        <v>1</v>
      </c>
      <c r="I208" s="34" t="str">
        <f t="shared" si="37"/>
        <v/>
      </c>
      <c r="J208" s="34" t="str">
        <f t="shared" si="37"/>
        <v/>
      </c>
      <c r="K208" s="34" t="str">
        <f t="shared" si="37"/>
        <v/>
      </c>
      <c r="L208" s="34" t="str">
        <f t="shared" si="37"/>
        <v/>
      </c>
      <c r="M208" s="34" t="str">
        <f t="shared" si="37"/>
        <v/>
      </c>
      <c r="N208" s="34">
        <f t="shared" si="37"/>
        <v>60</v>
      </c>
      <c r="O208" s="34">
        <f t="shared" si="37"/>
        <v>68</v>
      </c>
      <c r="P208" s="34">
        <f t="shared" si="37"/>
        <v>80</v>
      </c>
      <c r="Q208" s="34">
        <f t="shared" si="37"/>
        <v>92</v>
      </c>
      <c r="R208" s="34">
        <f t="shared" si="37"/>
        <v>104</v>
      </c>
      <c r="S208" s="35">
        <f t="shared" si="35"/>
        <v>60</v>
      </c>
    </row>
    <row r="209" spans="2:19" hidden="1" outlineLevel="1">
      <c r="B209" s="14" t="s">
        <v>39</v>
      </c>
      <c r="C209" s="15" t="s">
        <v>65</v>
      </c>
      <c r="D209" s="52">
        <v>2034</v>
      </c>
      <c r="E209" s="34">
        <v>6</v>
      </c>
      <c r="F209" s="38">
        <f t="shared" si="32"/>
        <v>16548.326252741896</v>
      </c>
      <c r="G209" s="34">
        <f t="shared" si="33"/>
        <v>9</v>
      </c>
      <c r="H209" s="34">
        <f t="shared" si="34"/>
        <v>1</v>
      </c>
      <c r="I209" s="34" t="str">
        <f t="shared" si="37"/>
        <v/>
      </c>
      <c r="J209" s="34" t="str">
        <f t="shared" si="37"/>
        <v/>
      </c>
      <c r="K209" s="34" t="str">
        <f t="shared" si="37"/>
        <v/>
      </c>
      <c r="L209" s="34" t="str">
        <f t="shared" si="37"/>
        <v/>
      </c>
      <c r="M209" s="34" t="str">
        <f t="shared" si="37"/>
        <v/>
      </c>
      <c r="N209" s="34">
        <f t="shared" si="37"/>
        <v>60</v>
      </c>
      <c r="O209" s="34">
        <f t="shared" si="37"/>
        <v>67</v>
      </c>
      <c r="P209" s="34">
        <f t="shared" si="37"/>
        <v>79</v>
      </c>
      <c r="Q209" s="34">
        <f t="shared" si="37"/>
        <v>91</v>
      </c>
      <c r="R209" s="34">
        <f t="shared" si="37"/>
        <v>103</v>
      </c>
      <c r="S209" s="35">
        <f t="shared" si="35"/>
        <v>60</v>
      </c>
    </row>
    <row r="210" spans="2:19" hidden="1" outlineLevel="1">
      <c r="B210" s="14" t="s">
        <v>39</v>
      </c>
      <c r="C210" s="15" t="s">
        <v>65</v>
      </c>
      <c r="D210" s="52">
        <v>2034</v>
      </c>
      <c r="E210" s="34">
        <v>7</v>
      </c>
      <c r="F210" s="38">
        <f t="shared" si="32"/>
        <v>16548.326252741896</v>
      </c>
      <c r="G210" s="34">
        <f t="shared" si="33"/>
        <v>9</v>
      </c>
      <c r="H210" s="34">
        <f t="shared" si="34"/>
        <v>1</v>
      </c>
      <c r="I210" s="34" t="str">
        <f t="shared" ref="I210:R219" si="38">IF($D210&lt;$Z$18,"",IF(MAX($G210,INDEX($C$65:$F$108,$D210+I$119-2026,$H210))&lt;=12*I$119-$E210+12,MAX($G210,12*I$119-$E210+1,INDEX($C$65:$F$108,$D210+I$119-2026,$H210)),""))</f>
        <v/>
      </c>
      <c r="J210" s="34" t="str">
        <f t="shared" si="38"/>
        <v/>
      </c>
      <c r="K210" s="34" t="str">
        <f t="shared" si="38"/>
        <v/>
      </c>
      <c r="L210" s="34" t="str">
        <f t="shared" si="38"/>
        <v/>
      </c>
      <c r="M210" s="34" t="str">
        <f t="shared" si="38"/>
        <v/>
      </c>
      <c r="N210" s="34">
        <f t="shared" si="38"/>
        <v>60</v>
      </c>
      <c r="O210" s="34">
        <f t="shared" si="38"/>
        <v>66</v>
      </c>
      <c r="P210" s="34">
        <f t="shared" si="38"/>
        <v>78</v>
      </c>
      <c r="Q210" s="34">
        <f t="shared" si="38"/>
        <v>90</v>
      </c>
      <c r="R210" s="34">
        <f t="shared" si="38"/>
        <v>102</v>
      </c>
      <c r="S210" s="35">
        <f t="shared" si="35"/>
        <v>60</v>
      </c>
    </row>
    <row r="211" spans="2:19" hidden="1" outlineLevel="1">
      <c r="B211" s="14" t="s">
        <v>39</v>
      </c>
      <c r="C211" s="15" t="s">
        <v>65</v>
      </c>
      <c r="D211" s="52">
        <v>2034</v>
      </c>
      <c r="E211" s="34">
        <v>8</v>
      </c>
      <c r="F211" s="38">
        <f t="shared" si="32"/>
        <v>16548.326252741896</v>
      </c>
      <c r="G211" s="34">
        <f t="shared" si="33"/>
        <v>9</v>
      </c>
      <c r="H211" s="34">
        <f t="shared" si="34"/>
        <v>1</v>
      </c>
      <c r="I211" s="34" t="str">
        <f t="shared" si="38"/>
        <v/>
      </c>
      <c r="J211" s="34" t="str">
        <f t="shared" si="38"/>
        <v/>
      </c>
      <c r="K211" s="34" t="str">
        <f t="shared" si="38"/>
        <v/>
      </c>
      <c r="L211" s="34" t="str">
        <f t="shared" si="38"/>
        <v/>
      </c>
      <c r="M211" s="34" t="str">
        <f t="shared" si="38"/>
        <v/>
      </c>
      <c r="N211" s="34">
        <f t="shared" si="38"/>
        <v>60</v>
      </c>
      <c r="O211" s="34">
        <f t="shared" si="38"/>
        <v>65</v>
      </c>
      <c r="P211" s="34">
        <f t="shared" si="38"/>
        <v>77</v>
      </c>
      <c r="Q211" s="34">
        <f t="shared" si="38"/>
        <v>89</v>
      </c>
      <c r="R211" s="34">
        <f t="shared" si="38"/>
        <v>101</v>
      </c>
      <c r="S211" s="35">
        <f t="shared" si="35"/>
        <v>60</v>
      </c>
    </row>
    <row r="212" spans="2:19" hidden="1" outlineLevel="1">
      <c r="B212" s="14" t="s">
        <v>39</v>
      </c>
      <c r="C212" s="15" t="s">
        <v>65</v>
      </c>
      <c r="D212" s="52">
        <v>2034</v>
      </c>
      <c r="E212" s="34">
        <v>9</v>
      </c>
      <c r="F212" s="38">
        <f t="shared" si="32"/>
        <v>16548.326252741896</v>
      </c>
      <c r="G212" s="34">
        <f t="shared" si="33"/>
        <v>9</v>
      </c>
      <c r="H212" s="34">
        <f t="shared" si="34"/>
        <v>1</v>
      </c>
      <c r="I212" s="34" t="str">
        <f t="shared" si="38"/>
        <v/>
      </c>
      <c r="J212" s="34" t="str">
        <f t="shared" si="38"/>
        <v/>
      </c>
      <c r="K212" s="34" t="str">
        <f t="shared" si="38"/>
        <v/>
      </c>
      <c r="L212" s="34" t="str">
        <f t="shared" si="38"/>
        <v/>
      </c>
      <c r="M212" s="34" t="str">
        <f t="shared" si="38"/>
        <v/>
      </c>
      <c r="N212" s="34">
        <f t="shared" si="38"/>
        <v>60</v>
      </c>
      <c r="O212" s="34">
        <f t="shared" si="38"/>
        <v>64</v>
      </c>
      <c r="P212" s="34">
        <f t="shared" si="38"/>
        <v>76</v>
      </c>
      <c r="Q212" s="34">
        <f t="shared" si="38"/>
        <v>88</v>
      </c>
      <c r="R212" s="34">
        <f t="shared" si="38"/>
        <v>100</v>
      </c>
      <c r="S212" s="35">
        <f t="shared" si="35"/>
        <v>60</v>
      </c>
    </row>
    <row r="213" spans="2:19" hidden="1" outlineLevel="1">
      <c r="B213" s="14" t="s">
        <v>39</v>
      </c>
      <c r="C213" s="15" t="s">
        <v>65</v>
      </c>
      <c r="D213" s="52">
        <v>2034</v>
      </c>
      <c r="E213" s="34">
        <v>10</v>
      </c>
      <c r="F213" s="38">
        <f t="shared" si="32"/>
        <v>16548.326252741896</v>
      </c>
      <c r="G213" s="34">
        <f t="shared" si="33"/>
        <v>9</v>
      </c>
      <c r="H213" s="34">
        <f t="shared" si="34"/>
        <v>1</v>
      </c>
      <c r="I213" s="34" t="str">
        <f t="shared" si="38"/>
        <v/>
      </c>
      <c r="J213" s="34" t="str">
        <f t="shared" si="38"/>
        <v/>
      </c>
      <c r="K213" s="34" t="str">
        <f t="shared" si="38"/>
        <v/>
      </c>
      <c r="L213" s="34" t="str">
        <f t="shared" si="38"/>
        <v/>
      </c>
      <c r="M213" s="34" t="str">
        <f t="shared" si="38"/>
        <v/>
      </c>
      <c r="N213" s="34">
        <f t="shared" si="38"/>
        <v>60</v>
      </c>
      <c r="O213" s="34">
        <f t="shared" si="38"/>
        <v>63</v>
      </c>
      <c r="P213" s="34">
        <f t="shared" si="38"/>
        <v>75</v>
      </c>
      <c r="Q213" s="34">
        <f t="shared" si="38"/>
        <v>87</v>
      </c>
      <c r="R213" s="34">
        <f t="shared" si="38"/>
        <v>99</v>
      </c>
      <c r="S213" s="35">
        <f t="shared" si="35"/>
        <v>60</v>
      </c>
    </row>
    <row r="214" spans="2:19" hidden="1" outlineLevel="1">
      <c r="B214" s="14" t="s">
        <v>39</v>
      </c>
      <c r="C214" s="15" t="s">
        <v>65</v>
      </c>
      <c r="D214" s="52">
        <v>2034</v>
      </c>
      <c r="E214" s="34">
        <v>11</v>
      </c>
      <c r="F214" s="38">
        <f t="shared" si="32"/>
        <v>16548.326252741896</v>
      </c>
      <c r="G214" s="34">
        <f t="shared" si="33"/>
        <v>9</v>
      </c>
      <c r="H214" s="34">
        <f t="shared" si="34"/>
        <v>1</v>
      </c>
      <c r="I214" s="34" t="str">
        <f t="shared" si="38"/>
        <v/>
      </c>
      <c r="J214" s="34" t="str">
        <f t="shared" si="38"/>
        <v/>
      </c>
      <c r="K214" s="34" t="str">
        <f t="shared" si="38"/>
        <v/>
      </c>
      <c r="L214" s="34" t="str">
        <f t="shared" si="38"/>
        <v/>
      </c>
      <c r="M214" s="34" t="str">
        <f t="shared" si="38"/>
        <v/>
      </c>
      <c r="N214" s="34">
        <f t="shared" si="38"/>
        <v>60</v>
      </c>
      <c r="O214" s="34">
        <f t="shared" si="38"/>
        <v>62</v>
      </c>
      <c r="P214" s="34">
        <f t="shared" si="38"/>
        <v>74</v>
      </c>
      <c r="Q214" s="34">
        <f t="shared" si="38"/>
        <v>86</v>
      </c>
      <c r="R214" s="34">
        <f t="shared" si="38"/>
        <v>98</v>
      </c>
      <c r="S214" s="35">
        <f t="shared" si="35"/>
        <v>60</v>
      </c>
    </row>
    <row r="215" spans="2:19" hidden="1" outlineLevel="1">
      <c r="B215" s="14" t="s">
        <v>39</v>
      </c>
      <c r="C215" s="15" t="s">
        <v>65</v>
      </c>
      <c r="D215" s="52">
        <v>2034</v>
      </c>
      <c r="E215" s="34">
        <v>12</v>
      </c>
      <c r="F215" s="38">
        <f t="shared" si="32"/>
        <v>16548.326252741896</v>
      </c>
      <c r="G215" s="34">
        <f t="shared" si="33"/>
        <v>9</v>
      </c>
      <c r="H215" s="34">
        <f t="shared" si="34"/>
        <v>1</v>
      </c>
      <c r="I215" s="34" t="str">
        <f t="shared" si="38"/>
        <v/>
      </c>
      <c r="J215" s="34" t="str">
        <f t="shared" si="38"/>
        <v/>
      </c>
      <c r="K215" s="34" t="str">
        <f t="shared" si="38"/>
        <v/>
      </c>
      <c r="L215" s="34" t="str">
        <f t="shared" si="38"/>
        <v/>
      </c>
      <c r="M215" s="34" t="str">
        <f t="shared" si="38"/>
        <v/>
      </c>
      <c r="N215" s="34">
        <f t="shared" si="38"/>
        <v>60</v>
      </c>
      <c r="O215" s="34">
        <f t="shared" si="38"/>
        <v>61</v>
      </c>
      <c r="P215" s="34">
        <f t="shared" si="38"/>
        <v>73</v>
      </c>
      <c r="Q215" s="34">
        <f t="shared" si="38"/>
        <v>85</v>
      </c>
      <c r="R215" s="34">
        <f t="shared" si="38"/>
        <v>97</v>
      </c>
      <c r="S215" s="35">
        <f t="shared" si="35"/>
        <v>60</v>
      </c>
    </row>
    <row r="216" spans="2:19" hidden="1" outlineLevel="1">
      <c r="B216" s="14" t="s">
        <v>39</v>
      </c>
      <c r="C216" s="15" t="s">
        <v>65</v>
      </c>
      <c r="D216" s="52">
        <v>2035</v>
      </c>
      <c r="E216" s="34">
        <v>1</v>
      </c>
      <c r="F216" s="38">
        <f t="shared" si="32"/>
        <v>16940.738303594007</v>
      </c>
      <c r="G216" s="34">
        <f t="shared" si="33"/>
        <v>9</v>
      </c>
      <c r="H216" s="34">
        <f t="shared" si="34"/>
        <v>1</v>
      </c>
      <c r="I216" s="34" t="str">
        <f t="shared" si="38"/>
        <v/>
      </c>
      <c r="J216" s="34" t="str">
        <f t="shared" si="38"/>
        <v/>
      </c>
      <c r="K216" s="34" t="str">
        <f t="shared" si="38"/>
        <v/>
      </c>
      <c r="L216" s="34" t="str">
        <f t="shared" si="38"/>
        <v/>
      </c>
      <c r="M216" s="34" t="str">
        <f t="shared" si="38"/>
        <v/>
      </c>
      <c r="N216" s="34">
        <f t="shared" si="38"/>
        <v>60</v>
      </c>
      <c r="O216" s="34">
        <f t="shared" si="38"/>
        <v>72</v>
      </c>
      <c r="P216" s="34">
        <f t="shared" si="38"/>
        <v>84</v>
      </c>
      <c r="Q216" s="34">
        <f t="shared" si="38"/>
        <v>96</v>
      </c>
      <c r="R216" s="34">
        <f t="shared" si="38"/>
        <v>108</v>
      </c>
      <c r="S216" s="35">
        <f t="shared" si="35"/>
        <v>60</v>
      </c>
    </row>
    <row r="217" spans="2:19" hidden="1" outlineLevel="1">
      <c r="B217" s="14" t="s">
        <v>39</v>
      </c>
      <c r="C217" s="15" t="s">
        <v>65</v>
      </c>
      <c r="D217" s="52">
        <v>2035</v>
      </c>
      <c r="E217" s="34">
        <v>2</v>
      </c>
      <c r="F217" s="38">
        <f t="shared" si="32"/>
        <v>16940.738303594007</v>
      </c>
      <c r="G217" s="34">
        <f t="shared" si="33"/>
        <v>9</v>
      </c>
      <c r="H217" s="34">
        <f t="shared" si="34"/>
        <v>1</v>
      </c>
      <c r="I217" s="34" t="str">
        <f t="shared" si="38"/>
        <v/>
      </c>
      <c r="J217" s="34" t="str">
        <f t="shared" si="38"/>
        <v/>
      </c>
      <c r="K217" s="34" t="str">
        <f t="shared" si="38"/>
        <v/>
      </c>
      <c r="L217" s="34" t="str">
        <f t="shared" si="38"/>
        <v/>
      </c>
      <c r="M217" s="34" t="str">
        <f t="shared" si="38"/>
        <v/>
      </c>
      <c r="N217" s="34">
        <f t="shared" si="38"/>
        <v>60</v>
      </c>
      <c r="O217" s="34">
        <f t="shared" si="38"/>
        <v>71</v>
      </c>
      <c r="P217" s="34">
        <f t="shared" si="38"/>
        <v>83</v>
      </c>
      <c r="Q217" s="34">
        <f t="shared" si="38"/>
        <v>95</v>
      </c>
      <c r="R217" s="34">
        <f t="shared" si="38"/>
        <v>107</v>
      </c>
      <c r="S217" s="35">
        <f t="shared" si="35"/>
        <v>60</v>
      </c>
    </row>
    <row r="218" spans="2:19" hidden="1" outlineLevel="1">
      <c r="B218" s="14" t="s">
        <v>39</v>
      </c>
      <c r="C218" s="15" t="s">
        <v>65</v>
      </c>
      <c r="D218" s="52">
        <v>2035</v>
      </c>
      <c r="E218" s="34">
        <v>3</v>
      </c>
      <c r="F218" s="38">
        <f t="shared" si="32"/>
        <v>16940.738303594007</v>
      </c>
      <c r="G218" s="34">
        <f t="shared" si="33"/>
        <v>9</v>
      </c>
      <c r="H218" s="34">
        <f t="shared" si="34"/>
        <v>1</v>
      </c>
      <c r="I218" s="34" t="str">
        <f t="shared" si="38"/>
        <v/>
      </c>
      <c r="J218" s="34" t="str">
        <f t="shared" si="38"/>
        <v/>
      </c>
      <c r="K218" s="34" t="str">
        <f t="shared" si="38"/>
        <v/>
      </c>
      <c r="L218" s="34" t="str">
        <f t="shared" si="38"/>
        <v/>
      </c>
      <c r="M218" s="34" t="str">
        <f t="shared" si="38"/>
        <v/>
      </c>
      <c r="N218" s="34">
        <f t="shared" si="38"/>
        <v>60</v>
      </c>
      <c r="O218" s="34">
        <f t="shared" si="38"/>
        <v>70</v>
      </c>
      <c r="P218" s="34">
        <f t="shared" si="38"/>
        <v>82</v>
      </c>
      <c r="Q218" s="34">
        <f t="shared" si="38"/>
        <v>94</v>
      </c>
      <c r="R218" s="34">
        <f t="shared" si="38"/>
        <v>106</v>
      </c>
      <c r="S218" s="35">
        <f t="shared" si="35"/>
        <v>60</v>
      </c>
    </row>
    <row r="219" spans="2:19" hidden="1" outlineLevel="1">
      <c r="B219" s="14" t="s">
        <v>39</v>
      </c>
      <c r="C219" s="15" t="s">
        <v>65</v>
      </c>
      <c r="D219" s="52">
        <v>2035</v>
      </c>
      <c r="E219" s="34">
        <v>4</v>
      </c>
      <c r="F219" s="38">
        <f t="shared" si="32"/>
        <v>16940.738303594007</v>
      </c>
      <c r="G219" s="34">
        <f t="shared" si="33"/>
        <v>9</v>
      </c>
      <c r="H219" s="34">
        <f t="shared" si="34"/>
        <v>1</v>
      </c>
      <c r="I219" s="34" t="str">
        <f t="shared" si="38"/>
        <v/>
      </c>
      <c r="J219" s="34" t="str">
        <f t="shared" si="38"/>
        <v/>
      </c>
      <c r="K219" s="34" t="str">
        <f t="shared" si="38"/>
        <v/>
      </c>
      <c r="L219" s="34" t="str">
        <f t="shared" si="38"/>
        <v/>
      </c>
      <c r="M219" s="34" t="str">
        <f t="shared" si="38"/>
        <v/>
      </c>
      <c r="N219" s="34">
        <f t="shared" si="38"/>
        <v>60</v>
      </c>
      <c r="O219" s="34">
        <f t="shared" si="38"/>
        <v>69</v>
      </c>
      <c r="P219" s="34">
        <f t="shared" si="38"/>
        <v>81</v>
      </c>
      <c r="Q219" s="34">
        <f t="shared" si="38"/>
        <v>93</v>
      </c>
      <c r="R219" s="34">
        <f t="shared" si="38"/>
        <v>105</v>
      </c>
      <c r="S219" s="35">
        <f t="shared" si="35"/>
        <v>60</v>
      </c>
    </row>
    <row r="220" spans="2:19" hidden="1" outlineLevel="1">
      <c r="B220" s="14" t="s">
        <v>39</v>
      </c>
      <c r="C220" s="15" t="s">
        <v>65</v>
      </c>
      <c r="D220" s="52">
        <v>2035</v>
      </c>
      <c r="E220" s="34">
        <v>5</v>
      </c>
      <c r="F220" s="38">
        <f t="shared" si="32"/>
        <v>16940.738303594007</v>
      </c>
      <c r="G220" s="34">
        <f t="shared" si="33"/>
        <v>9</v>
      </c>
      <c r="H220" s="34">
        <f t="shared" si="34"/>
        <v>1</v>
      </c>
      <c r="I220" s="34" t="str">
        <f t="shared" ref="I220:R229" si="39">IF($D220&lt;$Z$18,"",IF(MAX($G220,INDEX($C$65:$F$108,$D220+I$119-2026,$H220))&lt;=12*I$119-$E220+12,MAX($G220,12*I$119-$E220+1,INDEX($C$65:$F$108,$D220+I$119-2026,$H220)),""))</f>
        <v/>
      </c>
      <c r="J220" s="34" t="str">
        <f t="shared" si="39"/>
        <v/>
      </c>
      <c r="K220" s="34" t="str">
        <f t="shared" si="39"/>
        <v/>
      </c>
      <c r="L220" s="34" t="str">
        <f t="shared" si="39"/>
        <v/>
      </c>
      <c r="M220" s="34" t="str">
        <f t="shared" si="39"/>
        <v/>
      </c>
      <c r="N220" s="34">
        <f t="shared" si="39"/>
        <v>60</v>
      </c>
      <c r="O220" s="34">
        <f t="shared" si="39"/>
        <v>68</v>
      </c>
      <c r="P220" s="34">
        <f t="shared" si="39"/>
        <v>80</v>
      </c>
      <c r="Q220" s="34">
        <f t="shared" si="39"/>
        <v>92</v>
      </c>
      <c r="R220" s="34">
        <f t="shared" si="39"/>
        <v>104</v>
      </c>
      <c r="S220" s="35">
        <f t="shared" si="35"/>
        <v>60</v>
      </c>
    </row>
    <row r="221" spans="2:19" hidden="1" outlineLevel="1">
      <c r="B221" s="14" t="s">
        <v>39</v>
      </c>
      <c r="C221" s="15" t="s">
        <v>65</v>
      </c>
      <c r="D221" s="52">
        <v>2035</v>
      </c>
      <c r="E221" s="34">
        <v>6</v>
      </c>
      <c r="F221" s="38">
        <f t="shared" si="32"/>
        <v>16940.738303594007</v>
      </c>
      <c r="G221" s="34">
        <f t="shared" si="33"/>
        <v>9</v>
      </c>
      <c r="H221" s="34">
        <f t="shared" si="34"/>
        <v>1</v>
      </c>
      <c r="I221" s="34" t="str">
        <f t="shared" si="39"/>
        <v/>
      </c>
      <c r="J221" s="34" t="str">
        <f t="shared" si="39"/>
        <v/>
      </c>
      <c r="K221" s="34" t="str">
        <f t="shared" si="39"/>
        <v/>
      </c>
      <c r="L221" s="34" t="str">
        <f t="shared" si="39"/>
        <v/>
      </c>
      <c r="M221" s="34" t="str">
        <f t="shared" si="39"/>
        <v/>
      </c>
      <c r="N221" s="34">
        <f t="shared" si="39"/>
        <v>60</v>
      </c>
      <c r="O221" s="34">
        <f t="shared" si="39"/>
        <v>67</v>
      </c>
      <c r="P221" s="34">
        <f t="shared" si="39"/>
        <v>79</v>
      </c>
      <c r="Q221" s="34">
        <f t="shared" si="39"/>
        <v>91</v>
      </c>
      <c r="R221" s="34">
        <f t="shared" si="39"/>
        <v>103</v>
      </c>
      <c r="S221" s="35">
        <f t="shared" si="35"/>
        <v>60</v>
      </c>
    </row>
    <row r="222" spans="2:19" hidden="1" outlineLevel="1">
      <c r="B222" s="14" t="s">
        <v>39</v>
      </c>
      <c r="C222" s="15" t="s">
        <v>65</v>
      </c>
      <c r="D222" s="52">
        <v>2035</v>
      </c>
      <c r="E222" s="34">
        <v>7</v>
      </c>
      <c r="F222" s="38">
        <f t="shared" si="32"/>
        <v>16940.738303594007</v>
      </c>
      <c r="G222" s="34">
        <f t="shared" si="33"/>
        <v>9</v>
      </c>
      <c r="H222" s="34">
        <f t="shared" si="34"/>
        <v>1</v>
      </c>
      <c r="I222" s="34" t="str">
        <f t="shared" si="39"/>
        <v/>
      </c>
      <c r="J222" s="34" t="str">
        <f t="shared" si="39"/>
        <v/>
      </c>
      <c r="K222" s="34" t="str">
        <f t="shared" si="39"/>
        <v/>
      </c>
      <c r="L222" s="34" t="str">
        <f t="shared" si="39"/>
        <v/>
      </c>
      <c r="M222" s="34" t="str">
        <f t="shared" si="39"/>
        <v/>
      </c>
      <c r="N222" s="34">
        <f t="shared" si="39"/>
        <v>60</v>
      </c>
      <c r="O222" s="34">
        <f t="shared" si="39"/>
        <v>66</v>
      </c>
      <c r="P222" s="34">
        <f t="shared" si="39"/>
        <v>78</v>
      </c>
      <c r="Q222" s="34">
        <f t="shared" si="39"/>
        <v>90</v>
      </c>
      <c r="R222" s="34">
        <f t="shared" si="39"/>
        <v>102</v>
      </c>
      <c r="S222" s="35">
        <f t="shared" si="35"/>
        <v>60</v>
      </c>
    </row>
    <row r="223" spans="2:19" hidden="1" outlineLevel="1">
      <c r="B223" s="14" t="s">
        <v>39</v>
      </c>
      <c r="C223" s="15" t="s">
        <v>65</v>
      </c>
      <c r="D223" s="52">
        <v>2035</v>
      </c>
      <c r="E223" s="34">
        <v>8</v>
      </c>
      <c r="F223" s="38">
        <f t="shared" si="32"/>
        <v>16940.738303594007</v>
      </c>
      <c r="G223" s="34">
        <f t="shared" si="33"/>
        <v>9</v>
      </c>
      <c r="H223" s="34">
        <f t="shared" si="34"/>
        <v>1</v>
      </c>
      <c r="I223" s="34" t="str">
        <f t="shared" si="39"/>
        <v/>
      </c>
      <c r="J223" s="34" t="str">
        <f t="shared" si="39"/>
        <v/>
      </c>
      <c r="K223" s="34" t="str">
        <f t="shared" si="39"/>
        <v/>
      </c>
      <c r="L223" s="34" t="str">
        <f t="shared" si="39"/>
        <v/>
      </c>
      <c r="M223" s="34" t="str">
        <f t="shared" si="39"/>
        <v/>
      </c>
      <c r="N223" s="34">
        <f t="shared" si="39"/>
        <v>60</v>
      </c>
      <c r="O223" s="34">
        <f t="shared" si="39"/>
        <v>65</v>
      </c>
      <c r="P223" s="34">
        <f t="shared" si="39"/>
        <v>77</v>
      </c>
      <c r="Q223" s="34">
        <f t="shared" si="39"/>
        <v>89</v>
      </c>
      <c r="R223" s="34">
        <f t="shared" si="39"/>
        <v>101</v>
      </c>
      <c r="S223" s="35">
        <f t="shared" si="35"/>
        <v>60</v>
      </c>
    </row>
    <row r="224" spans="2:19" hidden="1" outlineLevel="1">
      <c r="B224" s="14" t="s">
        <v>39</v>
      </c>
      <c r="C224" s="15" t="s">
        <v>65</v>
      </c>
      <c r="D224" s="52">
        <v>2035</v>
      </c>
      <c r="E224" s="34">
        <v>9</v>
      </c>
      <c r="F224" s="38">
        <f t="shared" si="32"/>
        <v>16940.738303594007</v>
      </c>
      <c r="G224" s="34">
        <f t="shared" si="33"/>
        <v>9</v>
      </c>
      <c r="H224" s="34">
        <f t="shared" si="34"/>
        <v>1</v>
      </c>
      <c r="I224" s="34" t="str">
        <f t="shared" si="39"/>
        <v/>
      </c>
      <c r="J224" s="34" t="str">
        <f t="shared" si="39"/>
        <v/>
      </c>
      <c r="K224" s="34" t="str">
        <f t="shared" si="39"/>
        <v/>
      </c>
      <c r="L224" s="34" t="str">
        <f t="shared" si="39"/>
        <v/>
      </c>
      <c r="M224" s="34" t="str">
        <f t="shared" si="39"/>
        <v/>
      </c>
      <c r="N224" s="34">
        <f t="shared" si="39"/>
        <v>60</v>
      </c>
      <c r="O224" s="34">
        <f t="shared" si="39"/>
        <v>64</v>
      </c>
      <c r="P224" s="34">
        <f t="shared" si="39"/>
        <v>76</v>
      </c>
      <c r="Q224" s="34">
        <f t="shared" si="39"/>
        <v>88</v>
      </c>
      <c r="R224" s="34">
        <f t="shared" si="39"/>
        <v>100</v>
      </c>
      <c r="S224" s="35">
        <f t="shared" si="35"/>
        <v>60</v>
      </c>
    </row>
    <row r="225" spans="2:19" hidden="1" outlineLevel="1">
      <c r="B225" s="14" t="s">
        <v>39</v>
      </c>
      <c r="C225" s="15" t="s">
        <v>65</v>
      </c>
      <c r="D225" s="52">
        <v>2035</v>
      </c>
      <c r="E225" s="34">
        <v>10</v>
      </c>
      <c r="F225" s="38">
        <f t="shared" si="32"/>
        <v>16940.738303594007</v>
      </c>
      <c r="G225" s="34">
        <f t="shared" si="33"/>
        <v>9</v>
      </c>
      <c r="H225" s="34">
        <f t="shared" si="34"/>
        <v>1</v>
      </c>
      <c r="I225" s="34" t="str">
        <f t="shared" si="39"/>
        <v/>
      </c>
      <c r="J225" s="34" t="str">
        <f t="shared" si="39"/>
        <v/>
      </c>
      <c r="K225" s="34" t="str">
        <f t="shared" si="39"/>
        <v/>
      </c>
      <c r="L225" s="34" t="str">
        <f t="shared" si="39"/>
        <v/>
      </c>
      <c r="M225" s="34" t="str">
        <f t="shared" si="39"/>
        <v/>
      </c>
      <c r="N225" s="34">
        <f t="shared" si="39"/>
        <v>60</v>
      </c>
      <c r="O225" s="34">
        <f t="shared" si="39"/>
        <v>63</v>
      </c>
      <c r="P225" s="34">
        <f t="shared" si="39"/>
        <v>75</v>
      </c>
      <c r="Q225" s="34">
        <f t="shared" si="39"/>
        <v>87</v>
      </c>
      <c r="R225" s="34">
        <f t="shared" si="39"/>
        <v>99</v>
      </c>
      <c r="S225" s="35">
        <f t="shared" si="35"/>
        <v>60</v>
      </c>
    </row>
    <row r="226" spans="2:19" hidden="1" outlineLevel="1">
      <c r="B226" s="14" t="s">
        <v>39</v>
      </c>
      <c r="C226" s="15" t="s">
        <v>65</v>
      </c>
      <c r="D226" s="52">
        <v>2035</v>
      </c>
      <c r="E226" s="34">
        <v>11</v>
      </c>
      <c r="F226" s="38">
        <f t="shared" si="32"/>
        <v>16940.738303594007</v>
      </c>
      <c r="G226" s="34">
        <f t="shared" si="33"/>
        <v>9</v>
      </c>
      <c r="H226" s="34">
        <f t="shared" si="34"/>
        <v>1</v>
      </c>
      <c r="I226" s="34" t="str">
        <f t="shared" si="39"/>
        <v/>
      </c>
      <c r="J226" s="34" t="str">
        <f t="shared" si="39"/>
        <v/>
      </c>
      <c r="K226" s="34" t="str">
        <f t="shared" si="39"/>
        <v/>
      </c>
      <c r="L226" s="34" t="str">
        <f t="shared" si="39"/>
        <v/>
      </c>
      <c r="M226" s="34" t="str">
        <f t="shared" si="39"/>
        <v/>
      </c>
      <c r="N226" s="34">
        <f t="shared" si="39"/>
        <v>60</v>
      </c>
      <c r="O226" s="34">
        <f t="shared" si="39"/>
        <v>62</v>
      </c>
      <c r="P226" s="34">
        <f t="shared" si="39"/>
        <v>74</v>
      </c>
      <c r="Q226" s="34">
        <f t="shared" si="39"/>
        <v>86</v>
      </c>
      <c r="R226" s="34">
        <f t="shared" si="39"/>
        <v>98</v>
      </c>
      <c r="S226" s="35">
        <f t="shared" si="35"/>
        <v>60</v>
      </c>
    </row>
    <row r="227" spans="2:19" hidden="1" outlineLevel="1">
      <c r="B227" s="14" t="s">
        <v>39</v>
      </c>
      <c r="C227" s="15" t="s">
        <v>65</v>
      </c>
      <c r="D227" s="52">
        <v>2035</v>
      </c>
      <c r="E227" s="34">
        <v>12</v>
      </c>
      <c r="F227" s="38">
        <f t="shared" si="32"/>
        <v>16940.738303594007</v>
      </c>
      <c r="G227" s="34">
        <f t="shared" si="33"/>
        <v>9</v>
      </c>
      <c r="H227" s="34">
        <f t="shared" si="34"/>
        <v>1</v>
      </c>
      <c r="I227" s="34" t="str">
        <f t="shared" si="39"/>
        <v/>
      </c>
      <c r="J227" s="34" t="str">
        <f t="shared" si="39"/>
        <v/>
      </c>
      <c r="K227" s="34" t="str">
        <f t="shared" si="39"/>
        <v/>
      </c>
      <c r="L227" s="34" t="str">
        <f t="shared" si="39"/>
        <v/>
      </c>
      <c r="M227" s="34" t="str">
        <f t="shared" si="39"/>
        <v/>
      </c>
      <c r="N227" s="34">
        <f t="shared" si="39"/>
        <v>60</v>
      </c>
      <c r="O227" s="34">
        <f t="shared" si="39"/>
        <v>61</v>
      </c>
      <c r="P227" s="34">
        <f t="shared" si="39"/>
        <v>73</v>
      </c>
      <c r="Q227" s="34">
        <f t="shared" si="39"/>
        <v>85</v>
      </c>
      <c r="R227" s="34">
        <f t="shared" si="39"/>
        <v>97</v>
      </c>
      <c r="S227" s="35">
        <f t="shared" si="35"/>
        <v>60</v>
      </c>
    </row>
    <row r="228" spans="2:19" hidden="1" outlineLevel="1">
      <c r="B228" s="14" t="s">
        <v>39</v>
      </c>
      <c r="C228" s="15" t="s">
        <v>65</v>
      </c>
      <c r="D228" s="52">
        <v>2036</v>
      </c>
      <c r="E228" s="34">
        <v>1</v>
      </c>
      <c r="F228" s="38">
        <f t="shared" si="32"/>
        <v>17467.951237636913</v>
      </c>
      <c r="G228" s="34">
        <f t="shared" si="33"/>
        <v>9</v>
      </c>
      <c r="H228" s="34">
        <f t="shared" si="34"/>
        <v>1</v>
      </c>
      <c r="I228" s="34" t="str">
        <f t="shared" si="39"/>
        <v/>
      </c>
      <c r="J228" s="34" t="str">
        <f t="shared" si="39"/>
        <v/>
      </c>
      <c r="K228" s="34" t="str">
        <f t="shared" si="39"/>
        <v/>
      </c>
      <c r="L228" s="34" t="str">
        <f t="shared" si="39"/>
        <v/>
      </c>
      <c r="M228" s="34" t="str">
        <f t="shared" si="39"/>
        <v/>
      </c>
      <c r="N228" s="34">
        <f t="shared" si="39"/>
        <v>60</v>
      </c>
      <c r="O228" s="34">
        <f t="shared" si="39"/>
        <v>72</v>
      </c>
      <c r="P228" s="34">
        <f t="shared" si="39"/>
        <v>84</v>
      </c>
      <c r="Q228" s="34">
        <f t="shared" si="39"/>
        <v>96</v>
      </c>
      <c r="R228" s="34">
        <f t="shared" si="39"/>
        <v>108</v>
      </c>
      <c r="S228" s="35">
        <f t="shared" si="35"/>
        <v>60</v>
      </c>
    </row>
    <row r="229" spans="2:19" hidden="1" outlineLevel="1">
      <c r="B229" s="14" t="s">
        <v>39</v>
      </c>
      <c r="C229" s="15" t="s">
        <v>65</v>
      </c>
      <c r="D229" s="52">
        <v>2036</v>
      </c>
      <c r="E229" s="34">
        <v>2</v>
      </c>
      <c r="F229" s="38">
        <f t="shared" si="32"/>
        <v>17467.951237636913</v>
      </c>
      <c r="G229" s="34">
        <f t="shared" si="33"/>
        <v>9</v>
      </c>
      <c r="H229" s="34">
        <f t="shared" si="34"/>
        <v>1</v>
      </c>
      <c r="I229" s="34" t="str">
        <f t="shared" si="39"/>
        <v/>
      </c>
      <c r="J229" s="34" t="str">
        <f t="shared" si="39"/>
        <v/>
      </c>
      <c r="K229" s="34" t="str">
        <f t="shared" si="39"/>
        <v/>
      </c>
      <c r="L229" s="34" t="str">
        <f t="shared" si="39"/>
        <v/>
      </c>
      <c r="M229" s="34" t="str">
        <f t="shared" si="39"/>
        <v/>
      </c>
      <c r="N229" s="34">
        <f t="shared" si="39"/>
        <v>60</v>
      </c>
      <c r="O229" s="34">
        <f t="shared" si="39"/>
        <v>71</v>
      </c>
      <c r="P229" s="34">
        <f t="shared" si="39"/>
        <v>83</v>
      </c>
      <c r="Q229" s="34">
        <f t="shared" si="39"/>
        <v>95</v>
      </c>
      <c r="R229" s="34">
        <f t="shared" si="39"/>
        <v>107</v>
      </c>
      <c r="S229" s="35">
        <f t="shared" si="35"/>
        <v>60</v>
      </c>
    </row>
    <row r="230" spans="2:19" hidden="1" outlineLevel="1">
      <c r="B230" s="14" t="s">
        <v>39</v>
      </c>
      <c r="C230" s="15" t="s">
        <v>65</v>
      </c>
      <c r="D230" s="52">
        <v>2036</v>
      </c>
      <c r="E230" s="34">
        <v>3</v>
      </c>
      <c r="F230" s="38">
        <f t="shared" si="32"/>
        <v>17467.951237636913</v>
      </c>
      <c r="G230" s="34">
        <f t="shared" si="33"/>
        <v>9</v>
      </c>
      <c r="H230" s="34">
        <f t="shared" si="34"/>
        <v>1</v>
      </c>
      <c r="I230" s="34" t="str">
        <f t="shared" ref="I230:R239" si="40">IF($D230&lt;$Z$18,"",IF(MAX($G230,INDEX($C$65:$F$108,$D230+I$119-2026,$H230))&lt;=12*I$119-$E230+12,MAX($G230,12*I$119-$E230+1,INDEX($C$65:$F$108,$D230+I$119-2026,$H230)),""))</f>
        <v/>
      </c>
      <c r="J230" s="34" t="str">
        <f t="shared" si="40"/>
        <v/>
      </c>
      <c r="K230" s="34" t="str">
        <f t="shared" si="40"/>
        <v/>
      </c>
      <c r="L230" s="34" t="str">
        <f t="shared" si="40"/>
        <v/>
      </c>
      <c r="M230" s="34" t="str">
        <f t="shared" si="40"/>
        <v/>
      </c>
      <c r="N230" s="34">
        <f t="shared" si="40"/>
        <v>60</v>
      </c>
      <c r="O230" s="34">
        <f t="shared" si="40"/>
        <v>70</v>
      </c>
      <c r="P230" s="34">
        <f t="shared" si="40"/>
        <v>82</v>
      </c>
      <c r="Q230" s="34">
        <f t="shared" si="40"/>
        <v>94</v>
      </c>
      <c r="R230" s="34">
        <f t="shared" si="40"/>
        <v>106</v>
      </c>
      <c r="S230" s="35">
        <f t="shared" si="35"/>
        <v>60</v>
      </c>
    </row>
    <row r="231" spans="2:19" hidden="1" outlineLevel="1">
      <c r="B231" s="14" t="s">
        <v>39</v>
      </c>
      <c r="C231" s="15" t="s">
        <v>65</v>
      </c>
      <c r="D231" s="52">
        <v>2036</v>
      </c>
      <c r="E231" s="34">
        <v>4</v>
      </c>
      <c r="F231" s="38">
        <f t="shared" si="32"/>
        <v>17467.951237636913</v>
      </c>
      <c r="G231" s="34">
        <f t="shared" si="33"/>
        <v>9</v>
      </c>
      <c r="H231" s="34">
        <f t="shared" si="34"/>
        <v>1</v>
      </c>
      <c r="I231" s="34" t="str">
        <f t="shared" si="40"/>
        <v/>
      </c>
      <c r="J231" s="34" t="str">
        <f t="shared" si="40"/>
        <v/>
      </c>
      <c r="K231" s="34" t="str">
        <f t="shared" si="40"/>
        <v/>
      </c>
      <c r="L231" s="34" t="str">
        <f t="shared" si="40"/>
        <v/>
      </c>
      <c r="M231" s="34" t="str">
        <f t="shared" si="40"/>
        <v/>
      </c>
      <c r="N231" s="34">
        <f t="shared" si="40"/>
        <v>60</v>
      </c>
      <c r="O231" s="34">
        <f t="shared" si="40"/>
        <v>69</v>
      </c>
      <c r="P231" s="34">
        <f t="shared" si="40"/>
        <v>81</v>
      </c>
      <c r="Q231" s="34">
        <f t="shared" si="40"/>
        <v>93</v>
      </c>
      <c r="R231" s="34">
        <f t="shared" si="40"/>
        <v>105</v>
      </c>
      <c r="S231" s="35">
        <f t="shared" si="35"/>
        <v>60</v>
      </c>
    </row>
    <row r="232" spans="2:19" hidden="1" outlineLevel="1">
      <c r="B232" s="14" t="s">
        <v>39</v>
      </c>
      <c r="C232" s="15" t="s">
        <v>65</v>
      </c>
      <c r="D232" s="52">
        <v>2036</v>
      </c>
      <c r="E232" s="34">
        <v>5</v>
      </c>
      <c r="F232" s="38">
        <f t="shared" si="32"/>
        <v>17467.951237636913</v>
      </c>
      <c r="G232" s="34">
        <f t="shared" si="33"/>
        <v>9</v>
      </c>
      <c r="H232" s="34">
        <f t="shared" si="34"/>
        <v>1</v>
      </c>
      <c r="I232" s="34" t="str">
        <f t="shared" si="40"/>
        <v/>
      </c>
      <c r="J232" s="34" t="str">
        <f t="shared" si="40"/>
        <v/>
      </c>
      <c r="K232" s="34" t="str">
        <f t="shared" si="40"/>
        <v/>
      </c>
      <c r="L232" s="34" t="str">
        <f t="shared" si="40"/>
        <v/>
      </c>
      <c r="M232" s="34" t="str">
        <f t="shared" si="40"/>
        <v/>
      </c>
      <c r="N232" s="34">
        <f t="shared" si="40"/>
        <v>60</v>
      </c>
      <c r="O232" s="34">
        <f t="shared" si="40"/>
        <v>68</v>
      </c>
      <c r="P232" s="34">
        <f t="shared" si="40"/>
        <v>80</v>
      </c>
      <c r="Q232" s="34">
        <f t="shared" si="40"/>
        <v>92</v>
      </c>
      <c r="R232" s="34">
        <f t="shared" si="40"/>
        <v>104</v>
      </c>
      <c r="S232" s="35">
        <f t="shared" si="35"/>
        <v>60</v>
      </c>
    </row>
    <row r="233" spans="2:19" hidden="1" outlineLevel="1">
      <c r="B233" s="14" t="s">
        <v>39</v>
      </c>
      <c r="C233" s="15" t="s">
        <v>65</v>
      </c>
      <c r="D233" s="52">
        <v>2036</v>
      </c>
      <c r="E233" s="34">
        <v>6</v>
      </c>
      <c r="F233" s="38">
        <f t="shared" si="32"/>
        <v>17467.951237636913</v>
      </c>
      <c r="G233" s="34">
        <f t="shared" si="33"/>
        <v>9</v>
      </c>
      <c r="H233" s="34">
        <f t="shared" si="34"/>
        <v>1</v>
      </c>
      <c r="I233" s="34" t="str">
        <f t="shared" si="40"/>
        <v/>
      </c>
      <c r="J233" s="34" t="str">
        <f t="shared" si="40"/>
        <v/>
      </c>
      <c r="K233" s="34" t="str">
        <f t="shared" si="40"/>
        <v/>
      </c>
      <c r="L233" s="34" t="str">
        <f t="shared" si="40"/>
        <v/>
      </c>
      <c r="M233" s="34" t="str">
        <f t="shared" si="40"/>
        <v/>
      </c>
      <c r="N233" s="34">
        <f t="shared" si="40"/>
        <v>60</v>
      </c>
      <c r="O233" s="34">
        <f t="shared" si="40"/>
        <v>67</v>
      </c>
      <c r="P233" s="34">
        <f t="shared" si="40"/>
        <v>79</v>
      </c>
      <c r="Q233" s="34">
        <f t="shared" si="40"/>
        <v>91</v>
      </c>
      <c r="R233" s="34">
        <f t="shared" si="40"/>
        <v>103</v>
      </c>
      <c r="S233" s="35">
        <f t="shared" si="35"/>
        <v>60</v>
      </c>
    </row>
    <row r="234" spans="2:19" hidden="1" outlineLevel="1">
      <c r="B234" s="14" t="s">
        <v>39</v>
      </c>
      <c r="C234" s="15" t="s">
        <v>65</v>
      </c>
      <c r="D234" s="52">
        <v>2036</v>
      </c>
      <c r="E234" s="34">
        <v>7</v>
      </c>
      <c r="F234" s="38">
        <f t="shared" si="32"/>
        <v>17467.951237636913</v>
      </c>
      <c r="G234" s="34">
        <f t="shared" si="33"/>
        <v>9</v>
      </c>
      <c r="H234" s="34">
        <f t="shared" si="34"/>
        <v>1</v>
      </c>
      <c r="I234" s="34" t="str">
        <f t="shared" si="40"/>
        <v/>
      </c>
      <c r="J234" s="34" t="str">
        <f t="shared" si="40"/>
        <v/>
      </c>
      <c r="K234" s="34" t="str">
        <f t="shared" si="40"/>
        <v/>
      </c>
      <c r="L234" s="34" t="str">
        <f t="shared" si="40"/>
        <v/>
      </c>
      <c r="M234" s="34" t="str">
        <f t="shared" si="40"/>
        <v/>
      </c>
      <c r="N234" s="34">
        <f t="shared" si="40"/>
        <v>60</v>
      </c>
      <c r="O234" s="34">
        <f t="shared" si="40"/>
        <v>66</v>
      </c>
      <c r="P234" s="34">
        <f t="shared" si="40"/>
        <v>78</v>
      </c>
      <c r="Q234" s="34">
        <f t="shared" si="40"/>
        <v>90</v>
      </c>
      <c r="R234" s="34">
        <f t="shared" si="40"/>
        <v>102</v>
      </c>
      <c r="S234" s="35">
        <f t="shared" si="35"/>
        <v>60</v>
      </c>
    </row>
    <row r="235" spans="2:19" hidden="1" outlineLevel="1">
      <c r="B235" s="14" t="s">
        <v>39</v>
      </c>
      <c r="C235" s="15" t="s">
        <v>65</v>
      </c>
      <c r="D235" s="52">
        <v>2036</v>
      </c>
      <c r="E235" s="34">
        <v>8</v>
      </c>
      <c r="F235" s="38">
        <f t="shared" si="32"/>
        <v>17467.951237636913</v>
      </c>
      <c r="G235" s="34">
        <f t="shared" si="33"/>
        <v>9</v>
      </c>
      <c r="H235" s="34">
        <f t="shared" si="34"/>
        <v>1</v>
      </c>
      <c r="I235" s="34" t="str">
        <f t="shared" si="40"/>
        <v/>
      </c>
      <c r="J235" s="34" t="str">
        <f t="shared" si="40"/>
        <v/>
      </c>
      <c r="K235" s="34" t="str">
        <f t="shared" si="40"/>
        <v/>
      </c>
      <c r="L235" s="34" t="str">
        <f t="shared" si="40"/>
        <v/>
      </c>
      <c r="M235" s="34" t="str">
        <f t="shared" si="40"/>
        <v/>
      </c>
      <c r="N235" s="34">
        <f t="shared" si="40"/>
        <v>60</v>
      </c>
      <c r="O235" s="34">
        <f t="shared" si="40"/>
        <v>65</v>
      </c>
      <c r="P235" s="34">
        <f t="shared" si="40"/>
        <v>77</v>
      </c>
      <c r="Q235" s="34">
        <f t="shared" si="40"/>
        <v>89</v>
      </c>
      <c r="R235" s="34">
        <f t="shared" si="40"/>
        <v>101</v>
      </c>
      <c r="S235" s="35">
        <f t="shared" si="35"/>
        <v>60</v>
      </c>
    </row>
    <row r="236" spans="2:19" hidden="1" outlineLevel="1">
      <c r="B236" s="14" t="s">
        <v>39</v>
      </c>
      <c r="C236" s="15" t="s">
        <v>65</v>
      </c>
      <c r="D236" s="52">
        <v>2036</v>
      </c>
      <c r="E236" s="34">
        <v>9</v>
      </c>
      <c r="F236" s="38">
        <f t="shared" si="32"/>
        <v>17467.951237636913</v>
      </c>
      <c r="G236" s="34">
        <f t="shared" si="33"/>
        <v>9</v>
      </c>
      <c r="H236" s="34">
        <f t="shared" si="34"/>
        <v>1</v>
      </c>
      <c r="I236" s="34" t="str">
        <f t="shared" si="40"/>
        <v/>
      </c>
      <c r="J236" s="34" t="str">
        <f t="shared" si="40"/>
        <v/>
      </c>
      <c r="K236" s="34" t="str">
        <f t="shared" si="40"/>
        <v/>
      </c>
      <c r="L236" s="34" t="str">
        <f t="shared" si="40"/>
        <v/>
      </c>
      <c r="M236" s="34" t="str">
        <f t="shared" si="40"/>
        <v/>
      </c>
      <c r="N236" s="34">
        <f t="shared" si="40"/>
        <v>60</v>
      </c>
      <c r="O236" s="34">
        <f t="shared" si="40"/>
        <v>64</v>
      </c>
      <c r="P236" s="34">
        <f t="shared" si="40"/>
        <v>76</v>
      </c>
      <c r="Q236" s="34">
        <f t="shared" si="40"/>
        <v>88</v>
      </c>
      <c r="R236" s="34">
        <f t="shared" si="40"/>
        <v>100</v>
      </c>
      <c r="S236" s="35">
        <f t="shared" si="35"/>
        <v>60</v>
      </c>
    </row>
    <row r="237" spans="2:19" hidden="1" outlineLevel="1">
      <c r="B237" s="14" t="s">
        <v>39</v>
      </c>
      <c r="C237" s="15" t="s">
        <v>65</v>
      </c>
      <c r="D237" s="52">
        <v>2036</v>
      </c>
      <c r="E237" s="34">
        <v>10</v>
      </c>
      <c r="F237" s="38">
        <f t="shared" si="32"/>
        <v>17467.951237636913</v>
      </c>
      <c r="G237" s="34">
        <f t="shared" si="33"/>
        <v>9</v>
      </c>
      <c r="H237" s="34">
        <f t="shared" si="34"/>
        <v>1</v>
      </c>
      <c r="I237" s="34" t="str">
        <f t="shared" si="40"/>
        <v/>
      </c>
      <c r="J237" s="34" t="str">
        <f t="shared" si="40"/>
        <v/>
      </c>
      <c r="K237" s="34" t="str">
        <f t="shared" si="40"/>
        <v/>
      </c>
      <c r="L237" s="34" t="str">
        <f t="shared" si="40"/>
        <v/>
      </c>
      <c r="M237" s="34" t="str">
        <f t="shared" si="40"/>
        <v/>
      </c>
      <c r="N237" s="34">
        <f t="shared" si="40"/>
        <v>60</v>
      </c>
      <c r="O237" s="34">
        <f t="shared" si="40"/>
        <v>63</v>
      </c>
      <c r="P237" s="34">
        <f t="shared" si="40"/>
        <v>75</v>
      </c>
      <c r="Q237" s="34">
        <f t="shared" si="40"/>
        <v>87</v>
      </c>
      <c r="R237" s="34">
        <f t="shared" si="40"/>
        <v>99</v>
      </c>
      <c r="S237" s="35">
        <f t="shared" si="35"/>
        <v>60</v>
      </c>
    </row>
    <row r="238" spans="2:19" hidden="1" outlineLevel="1">
      <c r="B238" s="14" t="s">
        <v>39</v>
      </c>
      <c r="C238" s="15" t="s">
        <v>65</v>
      </c>
      <c r="D238" s="52">
        <v>2036</v>
      </c>
      <c r="E238" s="34">
        <v>11</v>
      </c>
      <c r="F238" s="38">
        <f t="shared" si="32"/>
        <v>17467.951237636913</v>
      </c>
      <c r="G238" s="34">
        <f t="shared" si="33"/>
        <v>9</v>
      </c>
      <c r="H238" s="34">
        <f t="shared" si="34"/>
        <v>1</v>
      </c>
      <c r="I238" s="34" t="str">
        <f t="shared" si="40"/>
        <v/>
      </c>
      <c r="J238" s="34" t="str">
        <f t="shared" si="40"/>
        <v/>
      </c>
      <c r="K238" s="34" t="str">
        <f t="shared" si="40"/>
        <v/>
      </c>
      <c r="L238" s="34" t="str">
        <f t="shared" si="40"/>
        <v/>
      </c>
      <c r="M238" s="34" t="str">
        <f t="shared" si="40"/>
        <v/>
      </c>
      <c r="N238" s="34">
        <f t="shared" si="40"/>
        <v>60</v>
      </c>
      <c r="O238" s="34">
        <f t="shared" si="40"/>
        <v>62</v>
      </c>
      <c r="P238" s="34">
        <f t="shared" si="40"/>
        <v>74</v>
      </c>
      <c r="Q238" s="34">
        <f t="shared" si="40"/>
        <v>86</v>
      </c>
      <c r="R238" s="34">
        <f t="shared" si="40"/>
        <v>98</v>
      </c>
      <c r="S238" s="35">
        <f t="shared" si="35"/>
        <v>60</v>
      </c>
    </row>
    <row r="239" spans="2:19" hidden="1" outlineLevel="1">
      <c r="B239" s="14" t="s">
        <v>39</v>
      </c>
      <c r="C239" s="15" t="s">
        <v>65</v>
      </c>
      <c r="D239" s="52">
        <v>2036</v>
      </c>
      <c r="E239" s="34">
        <v>12</v>
      </c>
      <c r="F239" s="38">
        <f t="shared" si="32"/>
        <v>17467.951237636913</v>
      </c>
      <c r="G239" s="34">
        <f t="shared" si="33"/>
        <v>9</v>
      </c>
      <c r="H239" s="34">
        <f t="shared" si="34"/>
        <v>1</v>
      </c>
      <c r="I239" s="34" t="str">
        <f t="shared" si="40"/>
        <v/>
      </c>
      <c r="J239" s="34" t="str">
        <f t="shared" si="40"/>
        <v/>
      </c>
      <c r="K239" s="34" t="str">
        <f t="shared" si="40"/>
        <v/>
      </c>
      <c r="L239" s="34" t="str">
        <f t="shared" si="40"/>
        <v/>
      </c>
      <c r="M239" s="34" t="str">
        <f t="shared" si="40"/>
        <v/>
      </c>
      <c r="N239" s="34">
        <f t="shared" si="40"/>
        <v>60</v>
      </c>
      <c r="O239" s="34">
        <f t="shared" si="40"/>
        <v>61</v>
      </c>
      <c r="P239" s="34">
        <f t="shared" si="40"/>
        <v>73</v>
      </c>
      <c r="Q239" s="34">
        <f t="shared" si="40"/>
        <v>85</v>
      </c>
      <c r="R239" s="34">
        <f t="shared" si="40"/>
        <v>97</v>
      </c>
      <c r="S239" s="35">
        <f t="shared" si="35"/>
        <v>60</v>
      </c>
    </row>
    <row r="240" spans="2:19" hidden="1" outlineLevel="1">
      <c r="B240" s="14" t="s">
        <v>39</v>
      </c>
      <c r="C240" s="15" t="s">
        <v>65</v>
      </c>
      <c r="D240" s="52">
        <v>2037</v>
      </c>
      <c r="E240" s="34">
        <v>1</v>
      </c>
      <c r="F240" s="38">
        <f t="shared" si="32"/>
        <v>18077.646214087723</v>
      </c>
      <c r="G240" s="34">
        <f t="shared" si="33"/>
        <v>9</v>
      </c>
      <c r="H240" s="34">
        <f t="shared" si="34"/>
        <v>1</v>
      </c>
      <c r="I240" s="34" t="str">
        <f t="shared" ref="I240:R249" si="41">IF($D240&lt;$Z$18,"",IF(MAX($G240,INDEX($C$65:$F$108,$D240+I$119-2026,$H240))&lt;=12*I$119-$E240+12,MAX($G240,12*I$119-$E240+1,INDEX($C$65:$F$108,$D240+I$119-2026,$H240)),""))</f>
        <v/>
      </c>
      <c r="J240" s="34" t="str">
        <f t="shared" si="41"/>
        <v/>
      </c>
      <c r="K240" s="34" t="str">
        <f t="shared" si="41"/>
        <v/>
      </c>
      <c r="L240" s="34" t="str">
        <f t="shared" si="41"/>
        <v/>
      </c>
      <c r="M240" s="34" t="str">
        <f t="shared" si="41"/>
        <v/>
      </c>
      <c r="N240" s="34">
        <f t="shared" si="41"/>
        <v>60</v>
      </c>
      <c r="O240" s="34">
        <f t="shared" si="41"/>
        <v>72</v>
      </c>
      <c r="P240" s="34">
        <f t="shared" si="41"/>
        <v>84</v>
      </c>
      <c r="Q240" s="34">
        <f t="shared" si="41"/>
        <v>96</v>
      </c>
      <c r="R240" s="34">
        <f t="shared" si="41"/>
        <v>108</v>
      </c>
      <c r="S240" s="35">
        <f t="shared" si="35"/>
        <v>60</v>
      </c>
    </row>
    <row r="241" spans="2:19" hidden="1" outlineLevel="1">
      <c r="B241" s="14" t="s">
        <v>39</v>
      </c>
      <c r="C241" s="15" t="s">
        <v>65</v>
      </c>
      <c r="D241" s="52">
        <v>2037</v>
      </c>
      <c r="E241" s="34">
        <v>2</v>
      </c>
      <c r="F241" s="38">
        <f t="shared" si="32"/>
        <v>18077.646214087723</v>
      </c>
      <c r="G241" s="34">
        <f t="shared" si="33"/>
        <v>9</v>
      </c>
      <c r="H241" s="34">
        <f t="shared" si="34"/>
        <v>1</v>
      </c>
      <c r="I241" s="34" t="str">
        <f t="shared" si="41"/>
        <v/>
      </c>
      <c r="J241" s="34" t="str">
        <f t="shared" si="41"/>
        <v/>
      </c>
      <c r="K241" s="34" t="str">
        <f t="shared" si="41"/>
        <v/>
      </c>
      <c r="L241" s="34" t="str">
        <f t="shared" si="41"/>
        <v/>
      </c>
      <c r="M241" s="34" t="str">
        <f t="shared" si="41"/>
        <v/>
      </c>
      <c r="N241" s="34">
        <f t="shared" si="41"/>
        <v>60</v>
      </c>
      <c r="O241" s="34">
        <f t="shared" si="41"/>
        <v>71</v>
      </c>
      <c r="P241" s="34">
        <f t="shared" si="41"/>
        <v>83</v>
      </c>
      <c r="Q241" s="34">
        <f t="shared" si="41"/>
        <v>95</v>
      </c>
      <c r="R241" s="34">
        <f t="shared" si="41"/>
        <v>107</v>
      </c>
      <c r="S241" s="35">
        <f t="shared" si="35"/>
        <v>60</v>
      </c>
    </row>
    <row r="242" spans="2:19" hidden="1" outlineLevel="1">
      <c r="B242" s="14" t="s">
        <v>39</v>
      </c>
      <c r="C242" s="15" t="s">
        <v>65</v>
      </c>
      <c r="D242" s="52">
        <v>2037</v>
      </c>
      <c r="E242" s="34">
        <v>3</v>
      </c>
      <c r="F242" s="38">
        <f t="shared" si="32"/>
        <v>18077.646214087723</v>
      </c>
      <c r="G242" s="34">
        <f t="shared" si="33"/>
        <v>9</v>
      </c>
      <c r="H242" s="34">
        <f t="shared" si="34"/>
        <v>1</v>
      </c>
      <c r="I242" s="34" t="str">
        <f t="shared" si="41"/>
        <v/>
      </c>
      <c r="J242" s="34" t="str">
        <f t="shared" si="41"/>
        <v/>
      </c>
      <c r="K242" s="34" t="str">
        <f t="shared" si="41"/>
        <v/>
      </c>
      <c r="L242" s="34" t="str">
        <f t="shared" si="41"/>
        <v/>
      </c>
      <c r="M242" s="34" t="str">
        <f t="shared" si="41"/>
        <v/>
      </c>
      <c r="N242" s="34">
        <f t="shared" si="41"/>
        <v>60</v>
      </c>
      <c r="O242" s="34">
        <f t="shared" si="41"/>
        <v>70</v>
      </c>
      <c r="P242" s="34">
        <f t="shared" si="41"/>
        <v>82</v>
      </c>
      <c r="Q242" s="34">
        <f t="shared" si="41"/>
        <v>94</v>
      </c>
      <c r="R242" s="34">
        <f t="shared" si="41"/>
        <v>106</v>
      </c>
      <c r="S242" s="35">
        <f t="shared" si="35"/>
        <v>60</v>
      </c>
    </row>
    <row r="243" spans="2:19" hidden="1" outlineLevel="1">
      <c r="B243" s="14" t="s">
        <v>39</v>
      </c>
      <c r="C243" s="15" t="s">
        <v>65</v>
      </c>
      <c r="D243" s="52">
        <v>2037</v>
      </c>
      <c r="E243" s="34">
        <v>4</v>
      </c>
      <c r="F243" s="38">
        <f t="shared" si="32"/>
        <v>18077.646214087723</v>
      </c>
      <c r="G243" s="34">
        <f t="shared" si="33"/>
        <v>9</v>
      </c>
      <c r="H243" s="34">
        <f t="shared" si="34"/>
        <v>1</v>
      </c>
      <c r="I243" s="34" t="str">
        <f t="shared" si="41"/>
        <v/>
      </c>
      <c r="J243" s="34" t="str">
        <f t="shared" si="41"/>
        <v/>
      </c>
      <c r="K243" s="34" t="str">
        <f t="shared" si="41"/>
        <v/>
      </c>
      <c r="L243" s="34" t="str">
        <f t="shared" si="41"/>
        <v/>
      </c>
      <c r="M243" s="34" t="str">
        <f t="shared" si="41"/>
        <v/>
      </c>
      <c r="N243" s="34">
        <f t="shared" si="41"/>
        <v>60</v>
      </c>
      <c r="O243" s="34">
        <f t="shared" si="41"/>
        <v>69</v>
      </c>
      <c r="P243" s="34">
        <f t="shared" si="41"/>
        <v>81</v>
      </c>
      <c r="Q243" s="34">
        <f t="shared" si="41"/>
        <v>93</v>
      </c>
      <c r="R243" s="34">
        <f t="shared" si="41"/>
        <v>105</v>
      </c>
      <c r="S243" s="35">
        <f t="shared" si="35"/>
        <v>60</v>
      </c>
    </row>
    <row r="244" spans="2:19" hidden="1" outlineLevel="1">
      <c r="B244" s="14" t="s">
        <v>39</v>
      </c>
      <c r="C244" s="15" t="s">
        <v>65</v>
      </c>
      <c r="D244" s="52">
        <v>2037</v>
      </c>
      <c r="E244" s="34">
        <v>5</v>
      </c>
      <c r="F244" s="38">
        <f t="shared" si="32"/>
        <v>18077.646214087723</v>
      </c>
      <c r="G244" s="34">
        <f t="shared" si="33"/>
        <v>9</v>
      </c>
      <c r="H244" s="34">
        <f t="shared" si="34"/>
        <v>1</v>
      </c>
      <c r="I244" s="34" t="str">
        <f t="shared" si="41"/>
        <v/>
      </c>
      <c r="J244" s="34" t="str">
        <f t="shared" si="41"/>
        <v/>
      </c>
      <c r="K244" s="34" t="str">
        <f t="shared" si="41"/>
        <v/>
      </c>
      <c r="L244" s="34" t="str">
        <f t="shared" si="41"/>
        <v/>
      </c>
      <c r="M244" s="34" t="str">
        <f t="shared" si="41"/>
        <v/>
      </c>
      <c r="N244" s="34">
        <f t="shared" si="41"/>
        <v>60</v>
      </c>
      <c r="O244" s="34">
        <f t="shared" si="41"/>
        <v>68</v>
      </c>
      <c r="P244" s="34">
        <f t="shared" si="41"/>
        <v>80</v>
      </c>
      <c r="Q244" s="34">
        <f t="shared" si="41"/>
        <v>92</v>
      </c>
      <c r="R244" s="34">
        <f t="shared" si="41"/>
        <v>104</v>
      </c>
      <c r="S244" s="35">
        <f t="shared" si="35"/>
        <v>60</v>
      </c>
    </row>
    <row r="245" spans="2:19" hidden="1" outlineLevel="1">
      <c r="B245" s="14" t="s">
        <v>39</v>
      </c>
      <c r="C245" s="15" t="s">
        <v>65</v>
      </c>
      <c r="D245" s="52">
        <v>2037</v>
      </c>
      <c r="E245" s="34">
        <v>6</v>
      </c>
      <c r="F245" s="38">
        <f t="shared" si="32"/>
        <v>18077.646214087723</v>
      </c>
      <c r="G245" s="34">
        <f t="shared" si="33"/>
        <v>9</v>
      </c>
      <c r="H245" s="34">
        <f t="shared" si="34"/>
        <v>1</v>
      </c>
      <c r="I245" s="34" t="str">
        <f t="shared" si="41"/>
        <v/>
      </c>
      <c r="J245" s="34" t="str">
        <f t="shared" si="41"/>
        <v/>
      </c>
      <c r="K245" s="34" t="str">
        <f t="shared" si="41"/>
        <v/>
      </c>
      <c r="L245" s="34" t="str">
        <f t="shared" si="41"/>
        <v/>
      </c>
      <c r="M245" s="34" t="str">
        <f t="shared" si="41"/>
        <v/>
      </c>
      <c r="N245" s="34">
        <f t="shared" si="41"/>
        <v>60</v>
      </c>
      <c r="O245" s="34">
        <f t="shared" si="41"/>
        <v>67</v>
      </c>
      <c r="P245" s="34">
        <f t="shared" si="41"/>
        <v>79</v>
      </c>
      <c r="Q245" s="34">
        <f t="shared" si="41"/>
        <v>91</v>
      </c>
      <c r="R245" s="34">
        <f t="shared" si="41"/>
        <v>103</v>
      </c>
      <c r="S245" s="35">
        <f t="shared" si="35"/>
        <v>60</v>
      </c>
    </row>
    <row r="246" spans="2:19" hidden="1" outlineLevel="1">
      <c r="B246" s="14" t="s">
        <v>39</v>
      </c>
      <c r="C246" s="15" t="s">
        <v>65</v>
      </c>
      <c r="D246" s="52">
        <v>2037</v>
      </c>
      <c r="E246" s="34">
        <v>7</v>
      </c>
      <c r="F246" s="38">
        <f t="shared" si="32"/>
        <v>18077.646214087723</v>
      </c>
      <c r="G246" s="34">
        <f t="shared" si="33"/>
        <v>9</v>
      </c>
      <c r="H246" s="34">
        <f t="shared" si="34"/>
        <v>1</v>
      </c>
      <c r="I246" s="34" t="str">
        <f t="shared" si="41"/>
        <v/>
      </c>
      <c r="J246" s="34" t="str">
        <f t="shared" si="41"/>
        <v/>
      </c>
      <c r="K246" s="34" t="str">
        <f t="shared" si="41"/>
        <v/>
      </c>
      <c r="L246" s="34" t="str">
        <f t="shared" si="41"/>
        <v/>
      </c>
      <c r="M246" s="34" t="str">
        <f t="shared" si="41"/>
        <v/>
      </c>
      <c r="N246" s="34">
        <f t="shared" si="41"/>
        <v>60</v>
      </c>
      <c r="O246" s="34">
        <f t="shared" si="41"/>
        <v>66</v>
      </c>
      <c r="P246" s="34">
        <f t="shared" si="41"/>
        <v>78</v>
      </c>
      <c r="Q246" s="34">
        <f t="shared" si="41"/>
        <v>90</v>
      </c>
      <c r="R246" s="34">
        <f t="shared" si="41"/>
        <v>102</v>
      </c>
      <c r="S246" s="35">
        <f t="shared" si="35"/>
        <v>60</v>
      </c>
    </row>
    <row r="247" spans="2:19" hidden="1" outlineLevel="1">
      <c r="B247" s="14" t="s">
        <v>39</v>
      </c>
      <c r="C247" s="15" t="s">
        <v>65</v>
      </c>
      <c r="D247" s="52">
        <v>2037</v>
      </c>
      <c r="E247" s="34">
        <v>8</v>
      </c>
      <c r="F247" s="38">
        <f t="shared" si="32"/>
        <v>18077.646214087723</v>
      </c>
      <c r="G247" s="34">
        <f t="shared" si="33"/>
        <v>9</v>
      </c>
      <c r="H247" s="34">
        <f t="shared" si="34"/>
        <v>1</v>
      </c>
      <c r="I247" s="34" t="str">
        <f t="shared" si="41"/>
        <v/>
      </c>
      <c r="J247" s="34" t="str">
        <f t="shared" si="41"/>
        <v/>
      </c>
      <c r="K247" s="34" t="str">
        <f t="shared" si="41"/>
        <v/>
      </c>
      <c r="L247" s="34" t="str">
        <f t="shared" si="41"/>
        <v/>
      </c>
      <c r="M247" s="34" t="str">
        <f t="shared" si="41"/>
        <v/>
      </c>
      <c r="N247" s="34">
        <f t="shared" si="41"/>
        <v>60</v>
      </c>
      <c r="O247" s="34">
        <f t="shared" si="41"/>
        <v>65</v>
      </c>
      <c r="P247" s="34">
        <f t="shared" si="41"/>
        <v>77</v>
      </c>
      <c r="Q247" s="34">
        <f t="shared" si="41"/>
        <v>89</v>
      </c>
      <c r="R247" s="34">
        <f t="shared" si="41"/>
        <v>101</v>
      </c>
      <c r="S247" s="35">
        <f t="shared" si="35"/>
        <v>60</v>
      </c>
    </row>
    <row r="248" spans="2:19" hidden="1" outlineLevel="1">
      <c r="B248" s="14" t="s">
        <v>39</v>
      </c>
      <c r="C248" s="15" t="s">
        <v>65</v>
      </c>
      <c r="D248" s="52">
        <v>2037</v>
      </c>
      <c r="E248" s="34">
        <v>9</v>
      </c>
      <c r="F248" s="38">
        <f t="shared" ref="F248:F311" si="42">IF($C248="Homens",INDEX($C$5:$C$55,MATCH($D248,$B$5:$B$55,0)),INDEX($F$5:$F$55,MATCH($D248,$B$5:$B$55,0)))/12</f>
        <v>18077.646214087723</v>
      </c>
      <c r="G248" s="34">
        <f t="shared" ref="G248:G311" si="43">IF($C248="Homens",$Z$17,$AA$17)</f>
        <v>9</v>
      </c>
      <c r="H248" s="34">
        <f t="shared" ref="H248:H311" si="44">1+2*($B248="Com Transição")+($C248="Mulheres")</f>
        <v>1</v>
      </c>
      <c r="I248" s="34" t="str">
        <f t="shared" si="41"/>
        <v/>
      </c>
      <c r="J248" s="34" t="str">
        <f t="shared" si="41"/>
        <v/>
      </c>
      <c r="K248" s="34" t="str">
        <f t="shared" si="41"/>
        <v/>
      </c>
      <c r="L248" s="34" t="str">
        <f t="shared" si="41"/>
        <v/>
      </c>
      <c r="M248" s="34" t="str">
        <f t="shared" si="41"/>
        <v/>
      </c>
      <c r="N248" s="34">
        <f t="shared" si="41"/>
        <v>60</v>
      </c>
      <c r="O248" s="34">
        <f t="shared" si="41"/>
        <v>64</v>
      </c>
      <c r="P248" s="34">
        <f t="shared" si="41"/>
        <v>76</v>
      </c>
      <c r="Q248" s="34">
        <f t="shared" si="41"/>
        <v>88</v>
      </c>
      <c r="R248" s="34">
        <f t="shared" si="41"/>
        <v>100</v>
      </c>
      <c r="S248" s="35">
        <f t="shared" ref="S248:S311" si="45">IF($D248&lt;$Z$18,$G248,MIN(I248:R248))</f>
        <v>60</v>
      </c>
    </row>
    <row r="249" spans="2:19" hidden="1" outlineLevel="1">
      <c r="B249" s="14" t="s">
        <v>39</v>
      </c>
      <c r="C249" s="15" t="s">
        <v>65</v>
      </c>
      <c r="D249" s="52">
        <v>2037</v>
      </c>
      <c r="E249" s="34">
        <v>10</v>
      </c>
      <c r="F249" s="38">
        <f t="shared" si="42"/>
        <v>18077.646214087723</v>
      </c>
      <c r="G249" s="34">
        <f t="shared" si="43"/>
        <v>9</v>
      </c>
      <c r="H249" s="34">
        <f t="shared" si="44"/>
        <v>1</v>
      </c>
      <c r="I249" s="34" t="str">
        <f t="shared" si="41"/>
        <v/>
      </c>
      <c r="J249" s="34" t="str">
        <f t="shared" si="41"/>
        <v/>
      </c>
      <c r="K249" s="34" t="str">
        <f t="shared" si="41"/>
        <v/>
      </c>
      <c r="L249" s="34" t="str">
        <f t="shared" si="41"/>
        <v/>
      </c>
      <c r="M249" s="34" t="str">
        <f t="shared" si="41"/>
        <v/>
      </c>
      <c r="N249" s="34">
        <f t="shared" si="41"/>
        <v>60</v>
      </c>
      <c r="O249" s="34">
        <f t="shared" si="41"/>
        <v>63</v>
      </c>
      <c r="P249" s="34">
        <f t="shared" si="41"/>
        <v>75</v>
      </c>
      <c r="Q249" s="34">
        <f t="shared" si="41"/>
        <v>87</v>
      </c>
      <c r="R249" s="34">
        <f t="shared" si="41"/>
        <v>99</v>
      </c>
      <c r="S249" s="35">
        <f t="shared" si="45"/>
        <v>60</v>
      </c>
    </row>
    <row r="250" spans="2:19" hidden="1" outlineLevel="1">
      <c r="B250" s="14" t="s">
        <v>39</v>
      </c>
      <c r="C250" s="15" t="s">
        <v>65</v>
      </c>
      <c r="D250" s="52">
        <v>2037</v>
      </c>
      <c r="E250" s="34">
        <v>11</v>
      </c>
      <c r="F250" s="38">
        <f t="shared" si="42"/>
        <v>18077.646214087723</v>
      </c>
      <c r="G250" s="34">
        <f t="shared" si="43"/>
        <v>9</v>
      </c>
      <c r="H250" s="34">
        <f t="shared" si="44"/>
        <v>1</v>
      </c>
      <c r="I250" s="34" t="str">
        <f t="shared" ref="I250:R259" si="46">IF($D250&lt;$Z$18,"",IF(MAX($G250,INDEX($C$65:$F$108,$D250+I$119-2026,$H250))&lt;=12*I$119-$E250+12,MAX($G250,12*I$119-$E250+1,INDEX($C$65:$F$108,$D250+I$119-2026,$H250)),""))</f>
        <v/>
      </c>
      <c r="J250" s="34" t="str">
        <f t="shared" si="46"/>
        <v/>
      </c>
      <c r="K250" s="34" t="str">
        <f t="shared" si="46"/>
        <v/>
      </c>
      <c r="L250" s="34" t="str">
        <f t="shared" si="46"/>
        <v/>
      </c>
      <c r="M250" s="34" t="str">
        <f t="shared" si="46"/>
        <v/>
      </c>
      <c r="N250" s="34">
        <f t="shared" si="46"/>
        <v>60</v>
      </c>
      <c r="O250" s="34">
        <f t="shared" si="46"/>
        <v>62</v>
      </c>
      <c r="P250" s="34">
        <f t="shared" si="46"/>
        <v>74</v>
      </c>
      <c r="Q250" s="34">
        <f t="shared" si="46"/>
        <v>86</v>
      </c>
      <c r="R250" s="34">
        <f t="shared" si="46"/>
        <v>98</v>
      </c>
      <c r="S250" s="35">
        <f t="shared" si="45"/>
        <v>60</v>
      </c>
    </row>
    <row r="251" spans="2:19" hidden="1" outlineLevel="1">
      <c r="B251" s="14" t="s">
        <v>39</v>
      </c>
      <c r="C251" s="15" t="s">
        <v>65</v>
      </c>
      <c r="D251" s="52">
        <v>2037</v>
      </c>
      <c r="E251" s="34">
        <v>12</v>
      </c>
      <c r="F251" s="38">
        <f t="shared" si="42"/>
        <v>18077.646214087723</v>
      </c>
      <c r="G251" s="34">
        <f t="shared" si="43"/>
        <v>9</v>
      </c>
      <c r="H251" s="34">
        <f t="shared" si="44"/>
        <v>1</v>
      </c>
      <c r="I251" s="34" t="str">
        <f t="shared" si="46"/>
        <v/>
      </c>
      <c r="J251" s="34" t="str">
        <f t="shared" si="46"/>
        <v/>
      </c>
      <c r="K251" s="34" t="str">
        <f t="shared" si="46"/>
        <v/>
      </c>
      <c r="L251" s="34" t="str">
        <f t="shared" si="46"/>
        <v/>
      </c>
      <c r="M251" s="34" t="str">
        <f t="shared" si="46"/>
        <v/>
      </c>
      <c r="N251" s="34">
        <f t="shared" si="46"/>
        <v>60</v>
      </c>
      <c r="O251" s="34">
        <f t="shared" si="46"/>
        <v>61</v>
      </c>
      <c r="P251" s="34">
        <f t="shared" si="46"/>
        <v>73</v>
      </c>
      <c r="Q251" s="34">
        <f t="shared" si="46"/>
        <v>85</v>
      </c>
      <c r="R251" s="34">
        <f t="shared" si="46"/>
        <v>97</v>
      </c>
      <c r="S251" s="35">
        <f t="shared" si="45"/>
        <v>60</v>
      </c>
    </row>
    <row r="252" spans="2:19" hidden="1" outlineLevel="1">
      <c r="B252" s="14" t="s">
        <v>39</v>
      </c>
      <c r="C252" s="15" t="s">
        <v>65</v>
      </c>
      <c r="D252" s="52">
        <v>2038</v>
      </c>
      <c r="E252" s="34">
        <v>1</v>
      </c>
      <c r="F252" s="38">
        <f t="shared" si="42"/>
        <v>18709.842579371147</v>
      </c>
      <c r="G252" s="34">
        <f t="shared" si="43"/>
        <v>9</v>
      </c>
      <c r="H252" s="34">
        <f t="shared" si="44"/>
        <v>1</v>
      </c>
      <c r="I252" s="34" t="str">
        <f t="shared" si="46"/>
        <v/>
      </c>
      <c r="J252" s="34" t="str">
        <f t="shared" si="46"/>
        <v/>
      </c>
      <c r="K252" s="34" t="str">
        <f t="shared" si="46"/>
        <v/>
      </c>
      <c r="L252" s="34" t="str">
        <f t="shared" si="46"/>
        <v/>
      </c>
      <c r="M252" s="34" t="str">
        <f t="shared" si="46"/>
        <v/>
      </c>
      <c r="N252" s="34">
        <f t="shared" si="46"/>
        <v>60</v>
      </c>
      <c r="O252" s="34">
        <f t="shared" si="46"/>
        <v>72</v>
      </c>
      <c r="P252" s="34">
        <f t="shared" si="46"/>
        <v>84</v>
      </c>
      <c r="Q252" s="34">
        <f t="shared" si="46"/>
        <v>96</v>
      </c>
      <c r="R252" s="34">
        <f t="shared" si="46"/>
        <v>108</v>
      </c>
      <c r="S252" s="35">
        <f t="shared" si="45"/>
        <v>60</v>
      </c>
    </row>
    <row r="253" spans="2:19" hidden="1" outlineLevel="1">
      <c r="B253" s="14" t="s">
        <v>39</v>
      </c>
      <c r="C253" s="15" t="s">
        <v>65</v>
      </c>
      <c r="D253" s="52">
        <v>2038</v>
      </c>
      <c r="E253" s="34">
        <v>2</v>
      </c>
      <c r="F253" s="38">
        <f t="shared" si="42"/>
        <v>18709.842579371147</v>
      </c>
      <c r="G253" s="34">
        <f t="shared" si="43"/>
        <v>9</v>
      </c>
      <c r="H253" s="34">
        <f t="shared" si="44"/>
        <v>1</v>
      </c>
      <c r="I253" s="34" t="str">
        <f t="shared" si="46"/>
        <v/>
      </c>
      <c r="J253" s="34" t="str">
        <f t="shared" si="46"/>
        <v/>
      </c>
      <c r="K253" s="34" t="str">
        <f t="shared" si="46"/>
        <v/>
      </c>
      <c r="L253" s="34" t="str">
        <f t="shared" si="46"/>
        <v/>
      </c>
      <c r="M253" s="34" t="str">
        <f t="shared" si="46"/>
        <v/>
      </c>
      <c r="N253" s="34">
        <f t="shared" si="46"/>
        <v>60</v>
      </c>
      <c r="O253" s="34">
        <f t="shared" si="46"/>
        <v>71</v>
      </c>
      <c r="P253" s="34">
        <f t="shared" si="46"/>
        <v>83</v>
      </c>
      <c r="Q253" s="34">
        <f t="shared" si="46"/>
        <v>95</v>
      </c>
      <c r="R253" s="34">
        <f t="shared" si="46"/>
        <v>107</v>
      </c>
      <c r="S253" s="35">
        <f t="shared" si="45"/>
        <v>60</v>
      </c>
    </row>
    <row r="254" spans="2:19" hidden="1" outlineLevel="1">
      <c r="B254" s="14" t="s">
        <v>39</v>
      </c>
      <c r="C254" s="15" t="s">
        <v>65</v>
      </c>
      <c r="D254" s="52">
        <v>2038</v>
      </c>
      <c r="E254" s="34">
        <v>3</v>
      </c>
      <c r="F254" s="38">
        <f t="shared" si="42"/>
        <v>18709.842579371147</v>
      </c>
      <c r="G254" s="34">
        <f t="shared" si="43"/>
        <v>9</v>
      </c>
      <c r="H254" s="34">
        <f t="shared" si="44"/>
        <v>1</v>
      </c>
      <c r="I254" s="34" t="str">
        <f t="shared" si="46"/>
        <v/>
      </c>
      <c r="J254" s="34" t="str">
        <f t="shared" si="46"/>
        <v/>
      </c>
      <c r="K254" s="34" t="str">
        <f t="shared" si="46"/>
        <v/>
      </c>
      <c r="L254" s="34" t="str">
        <f t="shared" si="46"/>
        <v/>
      </c>
      <c r="M254" s="34" t="str">
        <f t="shared" si="46"/>
        <v/>
      </c>
      <c r="N254" s="34">
        <f t="shared" si="46"/>
        <v>60</v>
      </c>
      <c r="O254" s="34">
        <f t="shared" si="46"/>
        <v>70</v>
      </c>
      <c r="P254" s="34">
        <f t="shared" si="46"/>
        <v>82</v>
      </c>
      <c r="Q254" s="34">
        <f t="shared" si="46"/>
        <v>94</v>
      </c>
      <c r="R254" s="34">
        <f t="shared" si="46"/>
        <v>106</v>
      </c>
      <c r="S254" s="35">
        <f t="shared" si="45"/>
        <v>60</v>
      </c>
    </row>
    <row r="255" spans="2:19" hidden="1" outlineLevel="1">
      <c r="B255" s="14" t="s">
        <v>39</v>
      </c>
      <c r="C255" s="15" t="s">
        <v>65</v>
      </c>
      <c r="D255" s="52">
        <v>2038</v>
      </c>
      <c r="E255" s="34">
        <v>4</v>
      </c>
      <c r="F255" s="38">
        <f t="shared" si="42"/>
        <v>18709.842579371147</v>
      </c>
      <c r="G255" s="34">
        <f t="shared" si="43"/>
        <v>9</v>
      </c>
      <c r="H255" s="34">
        <f t="shared" si="44"/>
        <v>1</v>
      </c>
      <c r="I255" s="34" t="str">
        <f t="shared" si="46"/>
        <v/>
      </c>
      <c r="J255" s="34" t="str">
        <f t="shared" si="46"/>
        <v/>
      </c>
      <c r="K255" s="34" t="str">
        <f t="shared" si="46"/>
        <v/>
      </c>
      <c r="L255" s="34" t="str">
        <f t="shared" si="46"/>
        <v/>
      </c>
      <c r="M255" s="34" t="str">
        <f t="shared" si="46"/>
        <v/>
      </c>
      <c r="N255" s="34">
        <f t="shared" si="46"/>
        <v>60</v>
      </c>
      <c r="O255" s="34">
        <f t="shared" si="46"/>
        <v>69</v>
      </c>
      <c r="P255" s="34">
        <f t="shared" si="46"/>
        <v>81</v>
      </c>
      <c r="Q255" s="34">
        <f t="shared" si="46"/>
        <v>93</v>
      </c>
      <c r="R255" s="34">
        <f t="shared" si="46"/>
        <v>105</v>
      </c>
      <c r="S255" s="35">
        <f t="shared" si="45"/>
        <v>60</v>
      </c>
    </row>
    <row r="256" spans="2:19" hidden="1" outlineLevel="1">
      <c r="B256" s="14" t="s">
        <v>39</v>
      </c>
      <c r="C256" s="15" t="s">
        <v>65</v>
      </c>
      <c r="D256" s="52">
        <v>2038</v>
      </c>
      <c r="E256" s="34">
        <v>5</v>
      </c>
      <c r="F256" s="38">
        <f t="shared" si="42"/>
        <v>18709.842579371147</v>
      </c>
      <c r="G256" s="34">
        <f t="shared" si="43"/>
        <v>9</v>
      </c>
      <c r="H256" s="34">
        <f t="shared" si="44"/>
        <v>1</v>
      </c>
      <c r="I256" s="34" t="str">
        <f t="shared" si="46"/>
        <v/>
      </c>
      <c r="J256" s="34" t="str">
        <f t="shared" si="46"/>
        <v/>
      </c>
      <c r="K256" s="34" t="str">
        <f t="shared" si="46"/>
        <v/>
      </c>
      <c r="L256" s="34" t="str">
        <f t="shared" si="46"/>
        <v/>
      </c>
      <c r="M256" s="34" t="str">
        <f t="shared" si="46"/>
        <v/>
      </c>
      <c r="N256" s="34">
        <f t="shared" si="46"/>
        <v>60</v>
      </c>
      <c r="O256" s="34">
        <f t="shared" si="46"/>
        <v>68</v>
      </c>
      <c r="P256" s="34">
        <f t="shared" si="46"/>
        <v>80</v>
      </c>
      <c r="Q256" s="34">
        <f t="shared" si="46"/>
        <v>92</v>
      </c>
      <c r="R256" s="34">
        <f t="shared" si="46"/>
        <v>104</v>
      </c>
      <c r="S256" s="35">
        <f t="shared" si="45"/>
        <v>60</v>
      </c>
    </row>
    <row r="257" spans="2:19" hidden="1" outlineLevel="1">
      <c r="B257" s="14" t="s">
        <v>39</v>
      </c>
      <c r="C257" s="15" t="s">
        <v>65</v>
      </c>
      <c r="D257" s="52">
        <v>2038</v>
      </c>
      <c r="E257" s="34">
        <v>6</v>
      </c>
      <c r="F257" s="38">
        <f t="shared" si="42"/>
        <v>18709.842579371147</v>
      </c>
      <c r="G257" s="34">
        <f t="shared" si="43"/>
        <v>9</v>
      </c>
      <c r="H257" s="34">
        <f t="shared" si="44"/>
        <v>1</v>
      </c>
      <c r="I257" s="34" t="str">
        <f t="shared" si="46"/>
        <v/>
      </c>
      <c r="J257" s="34" t="str">
        <f t="shared" si="46"/>
        <v/>
      </c>
      <c r="K257" s="34" t="str">
        <f t="shared" si="46"/>
        <v/>
      </c>
      <c r="L257" s="34" t="str">
        <f t="shared" si="46"/>
        <v/>
      </c>
      <c r="M257" s="34" t="str">
        <f t="shared" si="46"/>
        <v/>
      </c>
      <c r="N257" s="34">
        <f t="shared" si="46"/>
        <v>60</v>
      </c>
      <c r="O257" s="34">
        <f t="shared" si="46"/>
        <v>67</v>
      </c>
      <c r="P257" s="34">
        <f t="shared" si="46"/>
        <v>79</v>
      </c>
      <c r="Q257" s="34">
        <f t="shared" si="46"/>
        <v>91</v>
      </c>
      <c r="R257" s="34">
        <f t="shared" si="46"/>
        <v>103</v>
      </c>
      <c r="S257" s="35">
        <f t="shared" si="45"/>
        <v>60</v>
      </c>
    </row>
    <row r="258" spans="2:19" hidden="1" outlineLevel="1">
      <c r="B258" s="14" t="s">
        <v>39</v>
      </c>
      <c r="C258" s="15" t="s">
        <v>65</v>
      </c>
      <c r="D258" s="52">
        <v>2038</v>
      </c>
      <c r="E258" s="34">
        <v>7</v>
      </c>
      <c r="F258" s="38">
        <f t="shared" si="42"/>
        <v>18709.842579371147</v>
      </c>
      <c r="G258" s="34">
        <f t="shared" si="43"/>
        <v>9</v>
      </c>
      <c r="H258" s="34">
        <f t="shared" si="44"/>
        <v>1</v>
      </c>
      <c r="I258" s="34" t="str">
        <f t="shared" si="46"/>
        <v/>
      </c>
      <c r="J258" s="34" t="str">
        <f t="shared" si="46"/>
        <v/>
      </c>
      <c r="K258" s="34" t="str">
        <f t="shared" si="46"/>
        <v/>
      </c>
      <c r="L258" s="34" t="str">
        <f t="shared" si="46"/>
        <v/>
      </c>
      <c r="M258" s="34" t="str">
        <f t="shared" si="46"/>
        <v/>
      </c>
      <c r="N258" s="34">
        <f t="shared" si="46"/>
        <v>60</v>
      </c>
      <c r="O258" s="34">
        <f t="shared" si="46"/>
        <v>66</v>
      </c>
      <c r="P258" s="34">
        <f t="shared" si="46"/>
        <v>78</v>
      </c>
      <c r="Q258" s="34">
        <f t="shared" si="46"/>
        <v>90</v>
      </c>
      <c r="R258" s="34">
        <f t="shared" si="46"/>
        <v>102</v>
      </c>
      <c r="S258" s="35">
        <f t="shared" si="45"/>
        <v>60</v>
      </c>
    </row>
    <row r="259" spans="2:19" hidden="1" outlineLevel="1">
      <c r="B259" s="14" t="s">
        <v>39</v>
      </c>
      <c r="C259" s="15" t="s">
        <v>65</v>
      </c>
      <c r="D259" s="52">
        <v>2038</v>
      </c>
      <c r="E259" s="34">
        <v>8</v>
      </c>
      <c r="F259" s="38">
        <f t="shared" si="42"/>
        <v>18709.842579371147</v>
      </c>
      <c r="G259" s="34">
        <f t="shared" si="43"/>
        <v>9</v>
      </c>
      <c r="H259" s="34">
        <f t="shared" si="44"/>
        <v>1</v>
      </c>
      <c r="I259" s="34" t="str">
        <f t="shared" si="46"/>
        <v/>
      </c>
      <c r="J259" s="34" t="str">
        <f t="shared" si="46"/>
        <v/>
      </c>
      <c r="K259" s="34" t="str">
        <f t="shared" si="46"/>
        <v/>
      </c>
      <c r="L259" s="34" t="str">
        <f t="shared" si="46"/>
        <v/>
      </c>
      <c r="M259" s="34" t="str">
        <f t="shared" si="46"/>
        <v/>
      </c>
      <c r="N259" s="34">
        <f t="shared" si="46"/>
        <v>60</v>
      </c>
      <c r="O259" s="34">
        <f t="shared" si="46"/>
        <v>65</v>
      </c>
      <c r="P259" s="34">
        <f t="shared" si="46"/>
        <v>77</v>
      </c>
      <c r="Q259" s="34">
        <f t="shared" si="46"/>
        <v>89</v>
      </c>
      <c r="R259" s="34">
        <f t="shared" si="46"/>
        <v>101</v>
      </c>
      <c r="S259" s="35">
        <f t="shared" si="45"/>
        <v>60</v>
      </c>
    </row>
    <row r="260" spans="2:19" hidden="1" outlineLevel="1">
      <c r="B260" s="14" t="s">
        <v>39</v>
      </c>
      <c r="C260" s="15" t="s">
        <v>65</v>
      </c>
      <c r="D260" s="52">
        <v>2038</v>
      </c>
      <c r="E260" s="34">
        <v>9</v>
      </c>
      <c r="F260" s="38">
        <f t="shared" si="42"/>
        <v>18709.842579371147</v>
      </c>
      <c r="G260" s="34">
        <f t="shared" si="43"/>
        <v>9</v>
      </c>
      <c r="H260" s="34">
        <f t="shared" si="44"/>
        <v>1</v>
      </c>
      <c r="I260" s="34" t="str">
        <f t="shared" ref="I260:R269" si="47">IF($D260&lt;$Z$18,"",IF(MAX($G260,INDEX($C$65:$F$108,$D260+I$119-2026,$H260))&lt;=12*I$119-$E260+12,MAX($G260,12*I$119-$E260+1,INDEX($C$65:$F$108,$D260+I$119-2026,$H260)),""))</f>
        <v/>
      </c>
      <c r="J260" s="34" t="str">
        <f t="shared" si="47"/>
        <v/>
      </c>
      <c r="K260" s="34" t="str">
        <f t="shared" si="47"/>
        <v/>
      </c>
      <c r="L260" s="34" t="str">
        <f t="shared" si="47"/>
        <v/>
      </c>
      <c r="M260" s="34" t="str">
        <f t="shared" si="47"/>
        <v/>
      </c>
      <c r="N260" s="34">
        <f t="shared" si="47"/>
        <v>60</v>
      </c>
      <c r="O260" s="34">
        <f t="shared" si="47"/>
        <v>64</v>
      </c>
      <c r="P260" s="34">
        <f t="shared" si="47"/>
        <v>76</v>
      </c>
      <c r="Q260" s="34">
        <f t="shared" si="47"/>
        <v>88</v>
      </c>
      <c r="R260" s="34">
        <f t="shared" si="47"/>
        <v>100</v>
      </c>
      <c r="S260" s="35">
        <f t="shared" si="45"/>
        <v>60</v>
      </c>
    </row>
    <row r="261" spans="2:19" hidden="1" outlineLevel="1">
      <c r="B261" s="14" t="s">
        <v>39</v>
      </c>
      <c r="C261" s="15" t="s">
        <v>65</v>
      </c>
      <c r="D261" s="52">
        <v>2038</v>
      </c>
      <c r="E261" s="34">
        <v>10</v>
      </c>
      <c r="F261" s="38">
        <f t="shared" si="42"/>
        <v>18709.842579371147</v>
      </c>
      <c r="G261" s="34">
        <f t="shared" si="43"/>
        <v>9</v>
      </c>
      <c r="H261" s="34">
        <f t="shared" si="44"/>
        <v>1</v>
      </c>
      <c r="I261" s="34" t="str">
        <f t="shared" si="47"/>
        <v/>
      </c>
      <c r="J261" s="34" t="str">
        <f t="shared" si="47"/>
        <v/>
      </c>
      <c r="K261" s="34" t="str">
        <f t="shared" si="47"/>
        <v/>
      </c>
      <c r="L261" s="34" t="str">
        <f t="shared" si="47"/>
        <v/>
      </c>
      <c r="M261" s="34" t="str">
        <f t="shared" si="47"/>
        <v/>
      </c>
      <c r="N261" s="34">
        <f t="shared" si="47"/>
        <v>60</v>
      </c>
      <c r="O261" s="34">
        <f t="shared" si="47"/>
        <v>63</v>
      </c>
      <c r="P261" s="34">
        <f t="shared" si="47"/>
        <v>75</v>
      </c>
      <c r="Q261" s="34">
        <f t="shared" si="47"/>
        <v>87</v>
      </c>
      <c r="R261" s="34">
        <f t="shared" si="47"/>
        <v>99</v>
      </c>
      <c r="S261" s="35">
        <f t="shared" si="45"/>
        <v>60</v>
      </c>
    </row>
    <row r="262" spans="2:19" hidden="1" outlineLevel="1">
      <c r="B262" s="14" t="s">
        <v>39</v>
      </c>
      <c r="C262" s="15" t="s">
        <v>65</v>
      </c>
      <c r="D262" s="52">
        <v>2038</v>
      </c>
      <c r="E262" s="34">
        <v>11</v>
      </c>
      <c r="F262" s="38">
        <f t="shared" si="42"/>
        <v>18709.842579371147</v>
      </c>
      <c r="G262" s="34">
        <f t="shared" si="43"/>
        <v>9</v>
      </c>
      <c r="H262" s="34">
        <f t="shared" si="44"/>
        <v>1</v>
      </c>
      <c r="I262" s="34" t="str">
        <f t="shared" si="47"/>
        <v/>
      </c>
      <c r="J262" s="34" t="str">
        <f t="shared" si="47"/>
        <v/>
      </c>
      <c r="K262" s="34" t="str">
        <f t="shared" si="47"/>
        <v/>
      </c>
      <c r="L262" s="34" t="str">
        <f t="shared" si="47"/>
        <v/>
      </c>
      <c r="M262" s="34" t="str">
        <f t="shared" si="47"/>
        <v/>
      </c>
      <c r="N262" s="34">
        <f t="shared" si="47"/>
        <v>60</v>
      </c>
      <c r="O262" s="34">
        <f t="shared" si="47"/>
        <v>62</v>
      </c>
      <c r="P262" s="34">
        <f t="shared" si="47"/>
        <v>74</v>
      </c>
      <c r="Q262" s="34">
        <f t="shared" si="47"/>
        <v>86</v>
      </c>
      <c r="R262" s="34">
        <f t="shared" si="47"/>
        <v>98</v>
      </c>
      <c r="S262" s="35">
        <f t="shared" si="45"/>
        <v>60</v>
      </c>
    </row>
    <row r="263" spans="2:19" hidden="1" outlineLevel="1">
      <c r="B263" s="14" t="s">
        <v>39</v>
      </c>
      <c r="C263" s="15" t="s">
        <v>65</v>
      </c>
      <c r="D263" s="52">
        <v>2038</v>
      </c>
      <c r="E263" s="34">
        <v>12</v>
      </c>
      <c r="F263" s="38">
        <f t="shared" si="42"/>
        <v>18709.842579371147</v>
      </c>
      <c r="G263" s="34">
        <f t="shared" si="43"/>
        <v>9</v>
      </c>
      <c r="H263" s="34">
        <f t="shared" si="44"/>
        <v>1</v>
      </c>
      <c r="I263" s="34" t="str">
        <f t="shared" si="47"/>
        <v/>
      </c>
      <c r="J263" s="34" t="str">
        <f t="shared" si="47"/>
        <v/>
      </c>
      <c r="K263" s="34" t="str">
        <f t="shared" si="47"/>
        <v/>
      </c>
      <c r="L263" s="34" t="str">
        <f t="shared" si="47"/>
        <v/>
      </c>
      <c r="M263" s="34" t="str">
        <f t="shared" si="47"/>
        <v/>
      </c>
      <c r="N263" s="34">
        <f t="shared" si="47"/>
        <v>60</v>
      </c>
      <c r="O263" s="34">
        <f t="shared" si="47"/>
        <v>61</v>
      </c>
      <c r="P263" s="34">
        <f t="shared" si="47"/>
        <v>73</v>
      </c>
      <c r="Q263" s="34">
        <f t="shared" si="47"/>
        <v>85</v>
      </c>
      <c r="R263" s="34">
        <f t="shared" si="47"/>
        <v>97</v>
      </c>
      <c r="S263" s="35">
        <f t="shared" si="45"/>
        <v>60</v>
      </c>
    </row>
    <row r="264" spans="2:19" hidden="1" outlineLevel="1">
      <c r="B264" s="14" t="s">
        <v>39</v>
      </c>
      <c r="C264" s="15" t="s">
        <v>65</v>
      </c>
      <c r="D264" s="52">
        <v>2039</v>
      </c>
      <c r="E264" s="34">
        <v>1</v>
      </c>
      <c r="F264" s="38">
        <f t="shared" si="42"/>
        <v>19285.266848060925</v>
      </c>
      <c r="G264" s="34">
        <f t="shared" si="43"/>
        <v>9</v>
      </c>
      <c r="H264" s="34">
        <f t="shared" si="44"/>
        <v>1</v>
      </c>
      <c r="I264" s="34" t="str">
        <f t="shared" si="47"/>
        <v/>
      </c>
      <c r="J264" s="34" t="str">
        <f t="shared" si="47"/>
        <v/>
      </c>
      <c r="K264" s="34" t="str">
        <f t="shared" si="47"/>
        <v/>
      </c>
      <c r="L264" s="34" t="str">
        <f t="shared" si="47"/>
        <v/>
      </c>
      <c r="M264" s="34" t="str">
        <f t="shared" si="47"/>
        <v/>
      </c>
      <c r="N264" s="34">
        <f t="shared" si="47"/>
        <v>60</v>
      </c>
      <c r="O264" s="34">
        <f t="shared" si="47"/>
        <v>72</v>
      </c>
      <c r="P264" s="34">
        <f t="shared" si="47"/>
        <v>84</v>
      </c>
      <c r="Q264" s="34">
        <f t="shared" si="47"/>
        <v>96</v>
      </c>
      <c r="R264" s="34">
        <f t="shared" si="47"/>
        <v>108</v>
      </c>
      <c r="S264" s="35">
        <f t="shared" si="45"/>
        <v>60</v>
      </c>
    </row>
    <row r="265" spans="2:19" hidden="1" outlineLevel="1">
      <c r="B265" s="14" t="s">
        <v>39</v>
      </c>
      <c r="C265" s="15" t="s">
        <v>65</v>
      </c>
      <c r="D265" s="52">
        <v>2039</v>
      </c>
      <c r="E265" s="34">
        <v>2</v>
      </c>
      <c r="F265" s="38">
        <f t="shared" si="42"/>
        <v>19285.266848060925</v>
      </c>
      <c r="G265" s="34">
        <f t="shared" si="43"/>
        <v>9</v>
      </c>
      <c r="H265" s="34">
        <f t="shared" si="44"/>
        <v>1</v>
      </c>
      <c r="I265" s="34" t="str">
        <f t="shared" si="47"/>
        <v/>
      </c>
      <c r="J265" s="34" t="str">
        <f t="shared" si="47"/>
        <v/>
      </c>
      <c r="K265" s="34" t="str">
        <f t="shared" si="47"/>
        <v/>
      </c>
      <c r="L265" s="34" t="str">
        <f t="shared" si="47"/>
        <v/>
      </c>
      <c r="M265" s="34" t="str">
        <f t="shared" si="47"/>
        <v/>
      </c>
      <c r="N265" s="34">
        <f t="shared" si="47"/>
        <v>60</v>
      </c>
      <c r="O265" s="34">
        <f t="shared" si="47"/>
        <v>71</v>
      </c>
      <c r="P265" s="34">
        <f t="shared" si="47"/>
        <v>83</v>
      </c>
      <c r="Q265" s="34">
        <f t="shared" si="47"/>
        <v>95</v>
      </c>
      <c r="R265" s="34">
        <f t="shared" si="47"/>
        <v>107</v>
      </c>
      <c r="S265" s="35">
        <f t="shared" si="45"/>
        <v>60</v>
      </c>
    </row>
    <row r="266" spans="2:19" hidden="1" outlineLevel="1">
      <c r="B266" s="14" t="s">
        <v>39</v>
      </c>
      <c r="C266" s="15" t="s">
        <v>65</v>
      </c>
      <c r="D266" s="52">
        <v>2039</v>
      </c>
      <c r="E266" s="34">
        <v>3</v>
      </c>
      <c r="F266" s="38">
        <f t="shared" si="42"/>
        <v>19285.266848060925</v>
      </c>
      <c r="G266" s="34">
        <f t="shared" si="43"/>
        <v>9</v>
      </c>
      <c r="H266" s="34">
        <f t="shared" si="44"/>
        <v>1</v>
      </c>
      <c r="I266" s="34" t="str">
        <f t="shared" si="47"/>
        <v/>
      </c>
      <c r="J266" s="34" t="str">
        <f t="shared" si="47"/>
        <v/>
      </c>
      <c r="K266" s="34" t="str">
        <f t="shared" si="47"/>
        <v/>
      </c>
      <c r="L266" s="34" t="str">
        <f t="shared" si="47"/>
        <v/>
      </c>
      <c r="M266" s="34" t="str">
        <f t="shared" si="47"/>
        <v/>
      </c>
      <c r="N266" s="34">
        <f t="shared" si="47"/>
        <v>60</v>
      </c>
      <c r="O266" s="34">
        <f t="shared" si="47"/>
        <v>70</v>
      </c>
      <c r="P266" s="34">
        <f t="shared" si="47"/>
        <v>82</v>
      </c>
      <c r="Q266" s="34">
        <f t="shared" si="47"/>
        <v>94</v>
      </c>
      <c r="R266" s="34">
        <f t="shared" si="47"/>
        <v>106</v>
      </c>
      <c r="S266" s="35">
        <f t="shared" si="45"/>
        <v>60</v>
      </c>
    </row>
    <row r="267" spans="2:19" hidden="1" outlineLevel="1">
      <c r="B267" s="14" t="s">
        <v>39</v>
      </c>
      <c r="C267" s="15" t="s">
        <v>65</v>
      </c>
      <c r="D267" s="52">
        <v>2039</v>
      </c>
      <c r="E267" s="34">
        <v>4</v>
      </c>
      <c r="F267" s="38">
        <f t="shared" si="42"/>
        <v>19285.266848060925</v>
      </c>
      <c r="G267" s="34">
        <f t="shared" si="43"/>
        <v>9</v>
      </c>
      <c r="H267" s="34">
        <f t="shared" si="44"/>
        <v>1</v>
      </c>
      <c r="I267" s="34" t="str">
        <f t="shared" si="47"/>
        <v/>
      </c>
      <c r="J267" s="34" t="str">
        <f t="shared" si="47"/>
        <v/>
      </c>
      <c r="K267" s="34" t="str">
        <f t="shared" si="47"/>
        <v/>
      </c>
      <c r="L267" s="34" t="str">
        <f t="shared" si="47"/>
        <v/>
      </c>
      <c r="M267" s="34" t="str">
        <f t="shared" si="47"/>
        <v/>
      </c>
      <c r="N267" s="34">
        <f t="shared" si="47"/>
        <v>60</v>
      </c>
      <c r="O267" s="34">
        <f t="shared" si="47"/>
        <v>69</v>
      </c>
      <c r="P267" s="34">
        <f t="shared" si="47"/>
        <v>81</v>
      </c>
      <c r="Q267" s="34">
        <f t="shared" si="47"/>
        <v>93</v>
      </c>
      <c r="R267" s="34">
        <f t="shared" si="47"/>
        <v>105</v>
      </c>
      <c r="S267" s="35">
        <f t="shared" si="45"/>
        <v>60</v>
      </c>
    </row>
    <row r="268" spans="2:19" hidden="1" outlineLevel="1">
      <c r="B268" s="14" t="s">
        <v>39</v>
      </c>
      <c r="C268" s="15" t="s">
        <v>65</v>
      </c>
      <c r="D268" s="52">
        <v>2039</v>
      </c>
      <c r="E268" s="34">
        <v>5</v>
      </c>
      <c r="F268" s="38">
        <f t="shared" si="42"/>
        <v>19285.266848060925</v>
      </c>
      <c r="G268" s="34">
        <f t="shared" si="43"/>
        <v>9</v>
      </c>
      <c r="H268" s="34">
        <f t="shared" si="44"/>
        <v>1</v>
      </c>
      <c r="I268" s="34" t="str">
        <f t="shared" si="47"/>
        <v/>
      </c>
      <c r="J268" s="34" t="str">
        <f t="shared" si="47"/>
        <v/>
      </c>
      <c r="K268" s="34" t="str">
        <f t="shared" si="47"/>
        <v/>
      </c>
      <c r="L268" s="34" t="str">
        <f t="shared" si="47"/>
        <v/>
      </c>
      <c r="M268" s="34" t="str">
        <f t="shared" si="47"/>
        <v/>
      </c>
      <c r="N268" s="34">
        <f t="shared" si="47"/>
        <v>60</v>
      </c>
      <c r="O268" s="34">
        <f t="shared" si="47"/>
        <v>68</v>
      </c>
      <c r="P268" s="34">
        <f t="shared" si="47"/>
        <v>80</v>
      </c>
      <c r="Q268" s="34">
        <f t="shared" si="47"/>
        <v>92</v>
      </c>
      <c r="R268" s="34">
        <f t="shared" si="47"/>
        <v>104</v>
      </c>
      <c r="S268" s="35">
        <f t="shared" si="45"/>
        <v>60</v>
      </c>
    </row>
    <row r="269" spans="2:19" hidden="1" outlineLevel="1">
      <c r="B269" s="14" t="s">
        <v>39</v>
      </c>
      <c r="C269" s="15" t="s">
        <v>65</v>
      </c>
      <c r="D269" s="52">
        <v>2039</v>
      </c>
      <c r="E269" s="34">
        <v>6</v>
      </c>
      <c r="F269" s="38">
        <f t="shared" si="42"/>
        <v>19285.266848060925</v>
      </c>
      <c r="G269" s="34">
        <f t="shared" si="43"/>
        <v>9</v>
      </c>
      <c r="H269" s="34">
        <f t="shared" si="44"/>
        <v>1</v>
      </c>
      <c r="I269" s="34" t="str">
        <f t="shared" si="47"/>
        <v/>
      </c>
      <c r="J269" s="34" t="str">
        <f t="shared" si="47"/>
        <v/>
      </c>
      <c r="K269" s="34" t="str">
        <f t="shared" si="47"/>
        <v/>
      </c>
      <c r="L269" s="34" t="str">
        <f t="shared" si="47"/>
        <v/>
      </c>
      <c r="M269" s="34" t="str">
        <f t="shared" si="47"/>
        <v/>
      </c>
      <c r="N269" s="34">
        <f t="shared" si="47"/>
        <v>60</v>
      </c>
      <c r="O269" s="34">
        <f t="shared" si="47"/>
        <v>67</v>
      </c>
      <c r="P269" s="34">
        <f t="shared" si="47"/>
        <v>79</v>
      </c>
      <c r="Q269" s="34">
        <f t="shared" si="47"/>
        <v>91</v>
      </c>
      <c r="R269" s="34">
        <f t="shared" si="47"/>
        <v>103</v>
      </c>
      <c r="S269" s="35">
        <f t="shared" si="45"/>
        <v>60</v>
      </c>
    </row>
    <row r="270" spans="2:19" hidden="1" outlineLevel="1">
      <c r="B270" s="14" t="s">
        <v>39</v>
      </c>
      <c r="C270" s="15" t="s">
        <v>65</v>
      </c>
      <c r="D270" s="52">
        <v>2039</v>
      </c>
      <c r="E270" s="34">
        <v>7</v>
      </c>
      <c r="F270" s="38">
        <f t="shared" si="42"/>
        <v>19285.266848060925</v>
      </c>
      <c r="G270" s="34">
        <f t="shared" si="43"/>
        <v>9</v>
      </c>
      <c r="H270" s="34">
        <f t="shared" si="44"/>
        <v>1</v>
      </c>
      <c r="I270" s="34" t="str">
        <f t="shared" ref="I270:R279" si="48">IF($D270&lt;$Z$18,"",IF(MAX($G270,INDEX($C$65:$F$108,$D270+I$119-2026,$H270))&lt;=12*I$119-$E270+12,MAX($G270,12*I$119-$E270+1,INDEX($C$65:$F$108,$D270+I$119-2026,$H270)),""))</f>
        <v/>
      </c>
      <c r="J270" s="34" t="str">
        <f t="shared" si="48"/>
        <v/>
      </c>
      <c r="K270" s="34" t="str">
        <f t="shared" si="48"/>
        <v/>
      </c>
      <c r="L270" s="34" t="str">
        <f t="shared" si="48"/>
        <v/>
      </c>
      <c r="M270" s="34" t="str">
        <f t="shared" si="48"/>
        <v/>
      </c>
      <c r="N270" s="34">
        <f t="shared" si="48"/>
        <v>60</v>
      </c>
      <c r="O270" s="34">
        <f t="shared" si="48"/>
        <v>66</v>
      </c>
      <c r="P270" s="34">
        <f t="shared" si="48"/>
        <v>78</v>
      </c>
      <c r="Q270" s="34">
        <f t="shared" si="48"/>
        <v>90</v>
      </c>
      <c r="R270" s="34">
        <f t="shared" si="48"/>
        <v>102</v>
      </c>
      <c r="S270" s="35">
        <f t="shared" si="45"/>
        <v>60</v>
      </c>
    </row>
    <row r="271" spans="2:19" hidden="1" outlineLevel="1">
      <c r="B271" s="14" t="s">
        <v>39</v>
      </c>
      <c r="C271" s="15" t="s">
        <v>65</v>
      </c>
      <c r="D271" s="52">
        <v>2039</v>
      </c>
      <c r="E271" s="34">
        <v>8</v>
      </c>
      <c r="F271" s="38">
        <f t="shared" si="42"/>
        <v>19285.266848060925</v>
      </c>
      <c r="G271" s="34">
        <f t="shared" si="43"/>
        <v>9</v>
      </c>
      <c r="H271" s="34">
        <f t="shared" si="44"/>
        <v>1</v>
      </c>
      <c r="I271" s="34" t="str">
        <f t="shared" si="48"/>
        <v/>
      </c>
      <c r="J271" s="34" t="str">
        <f t="shared" si="48"/>
        <v/>
      </c>
      <c r="K271" s="34" t="str">
        <f t="shared" si="48"/>
        <v/>
      </c>
      <c r="L271" s="34" t="str">
        <f t="shared" si="48"/>
        <v/>
      </c>
      <c r="M271" s="34" t="str">
        <f t="shared" si="48"/>
        <v/>
      </c>
      <c r="N271" s="34">
        <f t="shared" si="48"/>
        <v>60</v>
      </c>
      <c r="O271" s="34">
        <f t="shared" si="48"/>
        <v>65</v>
      </c>
      <c r="P271" s="34">
        <f t="shared" si="48"/>
        <v>77</v>
      </c>
      <c r="Q271" s="34">
        <f t="shared" si="48"/>
        <v>89</v>
      </c>
      <c r="R271" s="34">
        <f t="shared" si="48"/>
        <v>101</v>
      </c>
      <c r="S271" s="35">
        <f t="shared" si="45"/>
        <v>60</v>
      </c>
    </row>
    <row r="272" spans="2:19" hidden="1" outlineLevel="1">
      <c r="B272" s="14" t="s">
        <v>39</v>
      </c>
      <c r="C272" s="15" t="s">
        <v>65</v>
      </c>
      <c r="D272" s="52">
        <v>2039</v>
      </c>
      <c r="E272" s="34">
        <v>9</v>
      </c>
      <c r="F272" s="38">
        <f t="shared" si="42"/>
        <v>19285.266848060925</v>
      </c>
      <c r="G272" s="34">
        <f t="shared" si="43"/>
        <v>9</v>
      </c>
      <c r="H272" s="34">
        <f t="shared" si="44"/>
        <v>1</v>
      </c>
      <c r="I272" s="34" t="str">
        <f t="shared" si="48"/>
        <v/>
      </c>
      <c r="J272" s="34" t="str">
        <f t="shared" si="48"/>
        <v/>
      </c>
      <c r="K272" s="34" t="str">
        <f t="shared" si="48"/>
        <v/>
      </c>
      <c r="L272" s="34" t="str">
        <f t="shared" si="48"/>
        <v/>
      </c>
      <c r="M272" s="34" t="str">
        <f t="shared" si="48"/>
        <v/>
      </c>
      <c r="N272" s="34">
        <f t="shared" si="48"/>
        <v>60</v>
      </c>
      <c r="O272" s="34">
        <f t="shared" si="48"/>
        <v>64</v>
      </c>
      <c r="P272" s="34">
        <f t="shared" si="48"/>
        <v>76</v>
      </c>
      <c r="Q272" s="34">
        <f t="shared" si="48"/>
        <v>88</v>
      </c>
      <c r="R272" s="34">
        <f t="shared" si="48"/>
        <v>100</v>
      </c>
      <c r="S272" s="35">
        <f t="shared" si="45"/>
        <v>60</v>
      </c>
    </row>
    <row r="273" spans="2:19" hidden="1" outlineLevel="1">
      <c r="B273" s="14" t="s">
        <v>39</v>
      </c>
      <c r="C273" s="15" t="s">
        <v>65</v>
      </c>
      <c r="D273" s="52">
        <v>2039</v>
      </c>
      <c r="E273" s="34">
        <v>10</v>
      </c>
      <c r="F273" s="38">
        <f t="shared" si="42"/>
        <v>19285.266848060925</v>
      </c>
      <c r="G273" s="34">
        <f t="shared" si="43"/>
        <v>9</v>
      </c>
      <c r="H273" s="34">
        <f t="shared" si="44"/>
        <v>1</v>
      </c>
      <c r="I273" s="34" t="str">
        <f t="shared" si="48"/>
        <v/>
      </c>
      <c r="J273" s="34" t="str">
        <f t="shared" si="48"/>
        <v/>
      </c>
      <c r="K273" s="34" t="str">
        <f t="shared" si="48"/>
        <v/>
      </c>
      <c r="L273" s="34" t="str">
        <f t="shared" si="48"/>
        <v/>
      </c>
      <c r="M273" s="34" t="str">
        <f t="shared" si="48"/>
        <v/>
      </c>
      <c r="N273" s="34">
        <f t="shared" si="48"/>
        <v>60</v>
      </c>
      <c r="O273" s="34">
        <f t="shared" si="48"/>
        <v>63</v>
      </c>
      <c r="P273" s="34">
        <f t="shared" si="48"/>
        <v>75</v>
      </c>
      <c r="Q273" s="34">
        <f t="shared" si="48"/>
        <v>87</v>
      </c>
      <c r="R273" s="34">
        <f t="shared" si="48"/>
        <v>99</v>
      </c>
      <c r="S273" s="35">
        <f t="shared" si="45"/>
        <v>60</v>
      </c>
    </row>
    <row r="274" spans="2:19" hidden="1" outlineLevel="1">
      <c r="B274" s="14" t="s">
        <v>39</v>
      </c>
      <c r="C274" s="15" t="s">
        <v>65</v>
      </c>
      <c r="D274" s="52">
        <v>2039</v>
      </c>
      <c r="E274" s="34">
        <v>11</v>
      </c>
      <c r="F274" s="38">
        <f t="shared" si="42"/>
        <v>19285.266848060925</v>
      </c>
      <c r="G274" s="34">
        <f t="shared" si="43"/>
        <v>9</v>
      </c>
      <c r="H274" s="34">
        <f t="shared" si="44"/>
        <v>1</v>
      </c>
      <c r="I274" s="34" t="str">
        <f t="shared" si="48"/>
        <v/>
      </c>
      <c r="J274" s="34" t="str">
        <f t="shared" si="48"/>
        <v/>
      </c>
      <c r="K274" s="34" t="str">
        <f t="shared" si="48"/>
        <v/>
      </c>
      <c r="L274" s="34" t="str">
        <f t="shared" si="48"/>
        <v/>
      </c>
      <c r="M274" s="34" t="str">
        <f t="shared" si="48"/>
        <v/>
      </c>
      <c r="N274" s="34">
        <f t="shared" si="48"/>
        <v>60</v>
      </c>
      <c r="O274" s="34">
        <f t="shared" si="48"/>
        <v>62</v>
      </c>
      <c r="P274" s="34">
        <f t="shared" si="48"/>
        <v>74</v>
      </c>
      <c r="Q274" s="34">
        <f t="shared" si="48"/>
        <v>86</v>
      </c>
      <c r="R274" s="34">
        <f t="shared" si="48"/>
        <v>98</v>
      </c>
      <c r="S274" s="35">
        <f t="shared" si="45"/>
        <v>60</v>
      </c>
    </row>
    <row r="275" spans="2:19" hidden="1" outlineLevel="1">
      <c r="B275" s="14" t="s">
        <v>39</v>
      </c>
      <c r="C275" s="15" t="s">
        <v>65</v>
      </c>
      <c r="D275" s="52">
        <v>2039</v>
      </c>
      <c r="E275" s="34">
        <v>12</v>
      </c>
      <c r="F275" s="38">
        <f t="shared" si="42"/>
        <v>19285.266848060925</v>
      </c>
      <c r="G275" s="34">
        <f t="shared" si="43"/>
        <v>9</v>
      </c>
      <c r="H275" s="34">
        <f t="shared" si="44"/>
        <v>1</v>
      </c>
      <c r="I275" s="34" t="str">
        <f t="shared" si="48"/>
        <v/>
      </c>
      <c r="J275" s="34" t="str">
        <f t="shared" si="48"/>
        <v/>
      </c>
      <c r="K275" s="34" t="str">
        <f t="shared" si="48"/>
        <v/>
      </c>
      <c r="L275" s="34" t="str">
        <f t="shared" si="48"/>
        <v/>
      </c>
      <c r="M275" s="34" t="str">
        <f t="shared" si="48"/>
        <v/>
      </c>
      <c r="N275" s="34">
        <f t="shared" si="48"/>
        <v>60</v>
      </c>
      <c r="O275" s="34">
        <f t="shared" si="48"/>
        <v>61</v>
      </c>
      <c r="P275" s="34">
        <f t="shared" si="48"/>
        <v>73</v>
      </c>
      <c r="Q275" s="34">
        <f t="shared" si="48"/>
        <v>85</v>
      </c>
      <c r="R275" s="34">
        <f t="shared" si="48"/>
        <v>97</v>
      </c>
      <c r="S275" s="35">
        <f t="shared" si="45"/>
        <v>60</v>
      </c>
    </row>
    <row r="276" spans="2:19" hidden="1" outlineLevel="1">
      <c r="B276" s="14" t="s">
        <v>39</v>
      </c>
      <c r="C276" s="15" t="s">
        <v>65</v>
      </c>
      <c r="D276" s="52">
        <v>2040</v>
      </c>
      <c r="E276" s="34">
        <v>1</v>
      </c>
      <c r="F276" s="38">
        <f t="shared" si="42"/>
        <v>19747.713953030016</v>
      </c>
      <c r="G276" s="34">
        <f t="shared" si="43"/>
        <v>9</v>
      </c>
      <c r="H276" s="34">
        <f t="shared" si="44"/>
        <v>1</v>
      </c>
      <c r="I276" s="34" t="str">
        <f t="shared" si="48"/>
        <v/>
      </c>
      <c r="J276" s="34" t="str">
        <f t="shared" si="48"/>
        <v/>
      </c>
      <c r="K276" s="34" t="str">
        <f t="shared" si="48"/>
        <v/>
      </c>
      <c r="L276" s="34" t="str">
        <f t="shared" si="48"/>
        <v/>
      </c>
      <c r="M276" s="34" t="str">
        <f t="shared" si="48"/>
        <v/>
      </c>
      <c r="N276" s="34">
        <f t="shared" si="48"/>
        <v>60</v>
      </c>
      <c r="O276" s="34">
        <f t="shared" si="48"/>
        <v>72</v>
      </c>
      <c r="P276" s="34">
        <f t="shared" si="48"/>
        <v>84</v>
      </c>
      <c r="Q276" s="34">
        <f t="shared" si="48"/>
        <v>96</v>
      </c>
      <c r="R276" s="34">
        <f t="shared" si="48"/>
        <v>108</v>
      </c>
      <c r="S276" s="35">
        <f t="shared" si="45"/>
        <v>60</v>
      </c>
    </row>
    <row r="277" spans="2:19" hidden="1" outlineLevel="1">
      <c r="B277" s="14" t="s">
        <v>39</v>
      </c>
      <c r="C277" s="15" t="s">
        <v>65</v>
      </c>
      <c r="D277" s="52">
        <v>2040</v>
      </c>
      <c r="E277" s="34">
        <v>2</v>
      </c>
      <c r="F277" s="38">
        <f t="shared" si="42"/>
        <v>19747.713953030016</v>
      </c>
      <c r="G277" s="34">
        <f t="shared" si="43"/>
        <v>9</v>
      </c>
      <c r="H277" s="34">
        <f t="shared" si="44"/>
        <v>1</v>
      </c>
      <c r="I277" s="34" t="str">
        <f t="shared" si="48"/>
        <v/>
      </c>
      <c r="J277" s="34" t="str">
        <f t="shared" si="48"/>
        <v/>
      </c>
      <c r="K277" s="34" t="str">
        <f t="shared" si="48"/>
        <v/>
      </c>
      <c r="L277" s="34" t="str">
        <f t="shared" si="48"/>
        <v/>
      </c>
      <c r="M277" s="34" t="str">
        <f t="shared" si="48"/>
        <v/>
      </c>
      <c r="N277" s="34">
        <f t="shared" si="48"/>
        <v>60</v>
      </c>
      <c r="O277" s="34">
        <f t="shared" si="48"/>
        <v>71</v>
      </c>
      <c r="P277" s="34">
        <f t="shared" si="48"/>
        <v>83</v>
      </c>
      <c r="Q277" s="34">
        <f t="shared" si="48"/>
        <v>95</v>
      </c>
      <c r="R277" s="34">
        <f t="shared" si="48"/>
        <v>107</v>
      </c>
      <c r="S277" s="35">
        <f t="shared" si="45"/>
        <v>60</v>
      </c>
    </row>
    <row r="278" spans="2:19" hidden="1" outlineLevel="1">
      <c r="B278" s="14" t="s">
        <v>39</v>
      </c>
      <c r="C278" s="15" t="s">
        <v>65</v>
      </c>
      <c r="D278" s="52">
        <v>2040</v>
      </c>
      <c r="E278" s="34">
        <v>3</v>
      </c>
      <c r="F278" s="38">
        <f t="shared" si="42"/>
        <v>19747.713953030016</v>
      </c>
      <c r="G278" s="34">
        <f t="shared" si="43"/>
        <v>9</v>
      </c>
      <c r="H278" s="34">
        <f t="shared" si="44"/>
        <v>1</v>
      </c>
      <c r="I278" s="34" t="str">
        <f t="shared" si="48"/>
        <v/>
      </c>
      <c r="J278" s="34" t="str">
        <f t="shared" si="48"/>
        <v/>
      </c>
      <c r="K278" s="34" t="str">
        <f t="shared" si="48"/>
        <v/>
      </c>
      <c r="L278" s="34" t="str">
        <f t="shared" si="48"/>
        <v/>
      </c>
      <c r="M278" s="34" t="str">
        <f t="shared" si="48"/>
        <v/>
      </c>
      <c r="N278" s="34">
        <f t="shared" si="48"/>
        <v>60</v>
      </c>
      <c r="O278" s="34">
        <f t="shared" si="48"/>
        <v>70</v>
      </c>
      <c r="P278" s="34">
        <f t="shared" si="48"/>
        <v>82</v>
      </c>
      <c r="Q278" s="34">
        <f t="shared" si="48"/>
        <v>94</v>
      </c>
      <c r="R278" s="34">
        <f t="shared" si="48"/>
        <v>106</v>
      </c>
      <c r="S278" s="35">
        <f t="shared" si="45"/>
        <v>60</v>
      </c>
    </row>
    <row r="279" spans="2:19" hidden="1" outlineLevel="1">
      <c r="B279" s="14" t="s">
        <v>39</v>
      </c>
      <c r="C279" s="15" t="s">
        <v>65</v>
      </c>
      <c r="D279" s="52">
        <v>2040</v>
      </c>
      <c r="E279" s="34">
        <v>4</v>
      </c>
      <c r="F279" s="38">
        <f t="shared" si="42"/>
        <v>19747.713953030016</v>
      </c>
      <c r="G279" s="34">
        <f t="shared" si="43"/>
        <v>9</v>
      </c>
      <c r="H279" s="34">
        <f t="shared" si="44"/>
        <v>1</v>
      </c>
      <c r="I279" s="34" t="str">
        <f t="shared" si="48"/>
        <v/>
      </c>
      <c r="J279" s="34" t="str">
        <f t="shared" si="48"/>
        <v/>
      </c>
      <c r="K279" s="34" t="str">
        <f t="shared" si="48"/>
        <v/>
      </c>
      <c r="L279" s="34" t="str">
        <f t="shared" si="48"/>
        <v/>
      </c>
      <c r="M279" s="34" t="str">
        <f t="shared" si="48"/>
        <v/>
      </c>
      <c r="N279" s="34">
        <f t="shared" si="48"/>
        <v>60</v>
      </c>
      <c r="O279" s="34">
        <f t="shared" si="48"/>
        <v>69</v>
      </c>
      <c r="P279" s="34">
        <f t="shared" si="48"/>
        <v>81</v>
      </c>
      <c r="Q279" s="34">
        <f t="shared" si="48"/>
        <v>93</v>
      </c>
      <c r="R279" s="34">
        <f t="shared" si="48"/>
        <v>105</v>
      </c>
      <c r="S279" s="35">
        <f t="shared" si="45"/>
        <v>60</v>
      </c>
    </row>
    <row r="280" spans="2:19" hidden="1" outlineLevel="1">
      <c r="B280" s="14" t="s">
        <v>39</v>
      </c>
      <c r="C280" s="15" t="s">
        <v>65</v>
      </c>
      <c r="D280" s="52">
        <v>2040</v>
      </c>
      <c r="E280" s="34">
        <v>5</v>
      </c>
      <c r="F280" s="38">
        <f t="shared" si="42"/>
        <v>19747.713953030016</v>
      </c>
      <c r="G280" s="34">
        <f t="shared" si="43"/>
        <v>9</v>
      </c>
      <c r="H280" s="34">
        <f t="shared" si="44"/>
        <v>1</v>
      </c>
      <c r="I280" s="34" t="str">
        <f t="shared" ref="I280:R289" si="49">IF($D280&lt;$Z$18,"",IF(MAX($G280,INDEX($C$65:$F$108,$D280+I$119-2026,$H280))&lt;=12*I$119-$E280+12,MAX($G280,12*I$119-$E280+1,INDEX($C$65:$F$108,$D280+I$119-2026,$H280)),""))</f>
        <v/>
      </c>
      <c r="J280" s="34" t="str">
        <f t="shared" si="49"/>
        <v/>
      </c>
      <c r="K280" s="34" t="str">
        <f t="shared" si="49"/>
        <v/>
      </c>
      <c r="L280" s="34" t="str">
        <f t="shared" si="49"/>
        <v/>
      </c>
      <c r="M280" s="34" t="str">
        <f t="shared" si="49"/>
        <v/>
      </c>
      <c r="N280" s="34">
        <f t="shared" si="49"/>
        <v>60</v>
      </c>
      <c r="O280" s="34">
        <f t="shared" si="49"/>
        <v>68</v>
      </c>
      <c r="P280" s="34">
        <f t="shared" si="49"/>
        <v>80</v>
      </c>
      <c r="Q280" s="34">
        <f t="shared" si="49"/>
        <v>92</v>
      </c>
      <c r="R280" s="34">
        <f t="shared" si="49"/>
        <v>104</v>
      </c>
      <c r="S280" s="35">
        <f t="shared" si="45"/>
        <v>60</v>
      </c>
    </row>
    <row r="281" spans="2:19" hidden="1" outlineLevel="1">
      <c r="B281" s="14" t="s">
        <v>39</v>
      </c>
      <c r="C281" s="15" t="s">
        <v>65</v>
      </c>
      <c r="D281" s="52">
        <v>2040</v>
      </c>
      <c r="E281" s="34">
        <v>6</v>
      </c>
      <c r="F281" s="38">
        <f t="shared" si="42"/>
        <v>19747.713953030016</v>
      </c>
      <c r="G281" s="34">
        <f t="shared" si="43"/>
        <v>9</v>
      </c>
      <c r="H281" s="34">
        <f t="shared" si="44"/>
        <v>1</v>
      </c>
      <c r="I281" s="34" t="str">
        <f t="shared" si="49"/>
        <v/>
      </c>
      <c r="J281" s="34" t="str">
        <f t="shared" si="49"/>
        <v/>
      </c>
      <c r="K281" s="34" t="str">
        <f t="shared" si="49"/>
        <v/>
      </c>
      <c r="L281" s="34" t="str">
        <f t="shared" si="49"/>
        <v/>
      </c>
      <c r="M281" s="34" t="str">
        <f t="shared" si="49"/>
        <v/>
      </c>
      <c r="N281" s="34">
        <f t="shared" si="49"/>
        <v>60</v>
      </c>
      <c r="O281" s="34">
        <f t="shared" si="49"/>
        <v>67</v>
      </c>
      <c r="P281" s="34">
        <f t="shared" si="49"/>
        <v>79</v>
      </c>
      <c r="Q281" s="34">
        <f t="shared" si="49"/>
        <v>91</v>
      </c>
      <c r="R281" s="34">
        <f t="shared" si="49"/>
        <v>103</v>
      </c>
      <c r="S281" s="35">
        <f t="shared" si="45"/>
        <v>60</v>
      </c>
    </row>
    <row r="282" spans="2:19" hidden="1" outlineLevel="1">
      <c r="B282" s="14" t="s">
        <v>39</v>
      </c>
      <c r="C282" s="15" t="s">
        <v>65</v>
      </c>
      <c r="D282" s="52">
        <v>2040</v>
      </c>
      <c r="E282" s="34">
        <v>7</v>
      </c>
      <c r="F282" s="38">
        <f t="shared" si="42"/>
        <v>19747.713953030016</v>
      </c>
      <c r="G282" s="34">
        <f t="shared" si="43"/>
        <v>9</v>
      </c>
      <c r="H282" s="34">
        <f t="shared" si="44"/>
        <v>1</v>
      </c>
      <c r="I282" s="34" t="str">
        <f t="shared" si="49"/>
        <v/>
      </c>
      <c r="J282" s="34" t="str">
        <f t="shared" si="49"/>
        <v/>
      </c>
      <c r="K282" s="34" t="str">
        <f t="shared" si="49"/>
        <v/>
      </c>
      <c r="L282" s="34" t="str">
        <f t="shared" si="49"/>
        <v/>
      </c>
      <c r="M282" s="34" t="str">
        <f t="shared" si="49"/>
        <v/>
      </c>
      <c r="N282" s="34">
        <f t="shared" si="49"/>
        <v>60</v>
      </c>
      <c r="O282" s="34">
        <f t="shared" si="49"/>
        <v>66</v>
      </c>
      <c r="P282" s="34">
        <f t="shared" si="49"/>
        <v>78</v>
      </c>
      <c r="Q282" s="34">
        <f t="shared" si="49"/>
        <v>90</v>
      </c>
      <c r="R282" s="34">
        <f t="shared" si="49"/>
        <v>102</v>
      </c>
      <c r="S282" s="35">
        <f t="shared" si="45"/>
        <v>60</v>
      </c>
    </row>
    <row r="283" spans="2:19" hidden="1" outlineLevel="1">
      <c r="B283" s="14" t="s">
        <v>39</v>
      </c>
      <c r="C283" s="15" t="s">
        <v>65</v>
      </c>
      <c r="D283" s="52">
        <v>2040</v>
      </c>
      <c r="E283" s="34">
        <v>8</v>
      </c>
      <c r="F283" s="38">
        <f t="shared" si="42"/>
        <v>19747.713953030016</v>
      </c>
      <c r="G283" s="34">
        <f t="shared" si="43"/>
        <v>9</v>
      </c>
      <c r="H283" s="34">
        <f t="shared" si="44"/>
        <v>1</v>
      </c>
      <c r="I283" s="34" t="str">
        <f t="shared" si="49"/>
        <v/>
      </c>
      <c r="J283" s="34" t="str">
        <f t="shared" si="49"/>
        <v/>
      </c>
      <c r="K283" s="34" t="str">
        <f t="shared" si="49"/>
        <v/>
      </c>
      <c r="L283" s="34" t="str">
        <f t="shared" si="49"/>
        <v/>
      </c>
      <c r="M283" s="34" t="str">
        <f t="shared" si="49"/>
        <v/>
      </c>
      <c r="N283" s="34">
        <f t="shared" si="49"/>
        <v>60</v>
      </c>
      <c r="O283" s="34">
        <f t="shared" si="49"/>
        <v>65</v>
      </c>
      <c r="P283" s="34">
        <f t="shared" si="49"/>
        <v>77</v>
      </c>
      <c r="Q283" s="34">
        <f t="shared" si="49"/>
        <v>89</v>
      </c>
      <c r="R283" s="34">
        <f t="shared" si="49"/>
        <v>101</v>
      </c>
      <c r="S283" s="35">
        <f t="shared" si="45"/>
        <v>60</v>
      </c>
    </row>
    <row r="284" spans="2:19" hidden="1" outlineLevel="1">
      <c r="B284" s="14" t="s">
        <v>39</v>
      </c>
      <c r="C284" s="15" t="s">
        <v>65</v>
      </c>
      <c r="D284" s="52">
        <v>2040</v>
      </c>
      <c r="E284" s="34">
        <v>9</v>
      </c>
      <c r="F284" s="38">
        <f t="shared" si="42"/>
        <v>19747.713953030016</v>
      </c>
      <c r="G284" s="34">
        <f t="shared" si="43"/>
        <v>9</v>
      </c>
      <c r="H284" s="34">
        <f t="shared" si="44"/>
        <v>1</v>
      </c>
      <c r="I284" s="34" t="str">
        <f t="shared" si="49"/>
        <v/>
      </c>
      <c r="J284" s="34" t="str">
        <f t="shared" si="49"/>
        <v/>
      </c>
      <c r="K284" s="34" t="str">
        <f t="shared" si="49"/>
        <v/>
      </c>
      <c r="L284" s="34" t="str">
        <f t="shared" si="49"/>
        <v/>
      </c>
      <c r="M284" s="34" t="str">
        <f t="shared" si="49"/>
        <v/>
      </c>
      <c r="N284" s="34">
        <f t="shared" si="49"/>
        <v>60</v>
      </c>
      <c r="O284" s="34">
        <f t="shared" si="49"/>
        <v>64</v>
      </c>
      <c r="P284" s="34">
        <f t="shared" si="49"/>
        <v>76</v>
      </c>
      <c r="Q284" s="34">
        <f t="shared" si="49"/>
        <v>88</v>
      </c>
      <c r="R284" s="34">
        <f t="shared" si="49"/>
        <v>100</v>
      </c>
      <c r="S284" s="35">
        <f t="shared" si="45"/>
        <v>60</v>
      </c>
    </row>
    <row r="285" spans="2:19" hidden="1" outlineLevel="1">
      <c r="B285" s="14" t="s">
        <v>39</v>
      </c>
      <c r="C285" s="15" t="s">
        <v>65</v>
      </c>
      <c r="D285" s="52">
        <v>2040</v>
      </c>
      <c r="E285" s="34">
        <v>10</v>
      </c>
      <c r="F285" s="38">
        <f t="shared" si="42"/>
        <v>19747.713953030016</v>
      </c>
      <c r="G285" s="34">
        <f t="shared" si="43"/>
        <v>9</v>
      </c>
      <c r="H285" s="34">
        <f t="shared" si="44"/>
        <v>1</v>
      </c>
      <c r="I285" s="34" t="str">
        <f t="shared" si="49"/>
        <v/>
      </c>
      <c r="J285" s="34" t="str">
        <f t="shared" si="49"/>
        <v/>
      </c>
      <c r="K285" s="34" t="str">
        <f t="shared" si="49"/>
        <v/>
      </c>
      <c r="L285" s="34" t="str">
        <f t="shared" si="49"/>
        <v/>
      </c>
      <c r="M285" s="34" t="str">
        <f t="shared" si="49"/>
        <v/>
      </c>
      <c r="N285" s="34">
        <f t="shared" si="49"/>
        <v>60</v>
      </c>
      <c r="O285" s="34">
        <f t="shared" si="49"/>
        <v>63</v>
      </c>
      <c r="P285" s="34">
        <f t="shared" si="49"/>
        <v>75</v>
      </c>
      <c r="Q285" s="34">
        <f t="shared" si="49"/>
        <v>87</v>
      </c>
      <c r="R285" s="34">
        <f t="shared" si="49"/>
        <v>99</v>
      </c>
      <c r="S285" s="35">
        <f t="shared" si="45"/>
        <v>60</v>
      </c>
    </row>
    <row r="286" spans="2:19" hidden="1" outlineLevel="1">
      <c r="B286" s="14" t="s">
        <v>39</v>
      </c>
      <c r="C286" s="15" t="s">
        <v>65</v>
      </c>
      <c r="D286" s="52">
        <v>2040</v>
      </c>
      <c r="E286" s="34">
        <v>11</v>
      </c>
      <c r="F286" s="38">
        <f t="shared" si="42"/>
        <v>19747.713953030016</v>
      </c>
      <c r="G286" s="34">
        <f t="shared" si="43"/>
        <v>9</v>
      </c>
      <c r="H286" s="34">
        <f t="shared" si="44"/>
        <v>1</v>
      </c>
      <c r="I286" s="34" t="str">
        <f t="shared" si="49"/>
        <v/>
      </c>
      <c r="J286" s="34" t="str">
        <f t="shared" si="49"/>
        <v/>
      </c>
      <c r="K286" s="34" t="str">
        <f t="shared" si="49"/>
        <v/>
      </c>
      <c r="L286" s="34" t="str">
        <f t="shared" si="49"/>
        <v/>
      </c>
      <c r="M286" s="34" t="str">
        <f t="shared" si="49"/>
        <v/>
      </c>
      <c r="N286" s="34">
        <f t="shared" si="49"/>
        <v>60</v>
      </c>
      <c r="O286" s="34">
        <f t="shared" si="49"/>
        <v>62</v>
      </c>
      <c r="P286" s="34">
        <f t="shared" si="49"/>
        <v>74</v>
      </c>
      <c r="Q286" s="34">
        <f t="shared" si="49"/>
        <v>86</v>
      </c>
      <c r="R286" s="34">
        <f t="shared" si="49"/>
        <v>98</v>
      </c>
      <c r="S286" s="35">
        <f t="shared" si="45"/>
        <v>60</v>
      </c>
    </row>
    <row r="287" spans="2:19" hidden="1" outlineLevel="1">
      <c r="B287" s="14" t="s">
        <v>39</v>
      </c>
      <c r="C287" s="15" t="s">
        <v>65</v>
      </c>
      <c r="D287" s="52">
        <v>2040</v>
      </c>
      <c r="E287" s="34">
        <v>12</v>
      </c>
      <c r="F287" s="38">
        <f t="shared" si="42"/>
        <v>19747.713953030016</v>
      </c>
      <c r="G287" s="34">
        <f t="shared" si="43"/>
        <v>9</v>
      </c>
      <c r="H287" s="34">
        <f t="shared" si="44"/>
        <v>1</v>
      </c>
      <c r="I287" s="34" t="str">
        <f t="shared" si="49"/>
        <v/>
      </c>
      <c r="J287" s="34" t="str">
        <f t="shared" si="49"/>
        <v/>
      </c>
      <c r="K287" s="34" t="str">
        <f t="shared" si="49"/>
        <v/>
      </c>
      <c r="L287" s="34" t="str">
        <f t="shared" si="49"/>
        <v/>
      </c>
      <c r="M287" s="34" t="str">
        <f t="shared" si="49"/>
        <v/>
      </c>
      <c r="N287" s="34">
        <f t="shared" si="49"/>
        <v>60</v>
      </c>
      <c r="O287" s="34">
        <f t="shared" si="49"/>
        <v>61</v>
      </c>
      <c r="P287" s="34">
        <f t="shared" si="49"/>
        <v>73</v>
      </c>
      <c r="Q287" s="34">
        <f t="shared" si="49"/>
        <v>85</v>
      </c>
      <c r="R287" s="34">
        <f t="shared" si="49"/>
        <v>97</v>
      </c>
      <c r="S287" s="35">
        <f t="shared" si="45"/>
        <v>60</v>
      </c>
    </row>
    <row r="288" spans="2:19" hidden="1" outlineLevel="1">
      <c r="B288" s="14" t="s">
        <v>39</v>
      </c>
      <c r="C288" s="15" t="s">
        <v>65</v>
      </c>
      <c r="D288" s="52">
        <v>2041</v>
      </c>
      <c r="E288" s="34">
        <v>1</v>
      </c>
      <c r="F288" s="38">
        <f t="shared" si="42"/>
        <v>20036.622381249534</v>
      </c>
      <c r="G288" s="34">
        <f t="shared" si="43"/>
        <v>9</v>
      </c>
      <c r="H288" s="34">
        <f t="shared" si="44"/>
        <v>1</v>
      </c>
      <c r="I288" s="34" t="str">
        <f t="shared" si="49"/>
        <v/>
      </c>
      <c r="J288" s="34" t="str">
        <f t="shared" si="49"/>
        <v/>
      </c>
      <c r="K288" s="34" t="str">
        <f t="shared" si="49"/>
        <v/>
      </c>
      <c r="L288" s="34" t="str">
        <f t="shared" si="49"/>
        <v/>
      </c>
      <c r="M288" s="34" t="str">
        <f t="shared" si="49"/>
        <v/>
      </c>
      <c r="N288" s="34">
        <f t="shared" si="49"/>
        <v>60</v>
      </c>
      <c r="O288" s="34">
        <f t="shared" si="49"/>
        <v>72</v>
      </c>
      <c r="P288" s="34">
        <f t="shared" si="49"/>
        <v>84</v>
      </c>
      <c r="Q288" s="34">
        <f t="shared" si="49"/>
        <v>96</v>
      </c>
      <c r="R288" s="34">
        <f t="shared" si="49"/>
        <v>108</v>
      </c>
      <c r="S288" s="35">
        <f t="shared" si="45"/>
        <v>60</v>
      </c>
    </row>
    <row r="289" spans="2:19" hidden="1" outlineLevel="1">
      <c r="B289" s="14" t="s">
        <v>39</v>
      </c>
      <c r="C289" s="15" t="s">
        <v>65</v>
      </c>
      <c r="D289" s="52">
        <v>2041</v>
      </c>
      <c r="E289" s="34">
        <v>2</v>
      </c>
      <c r="F289" s="38">
        <f t="shared" si="42"/>
        <v>20036.622381249534</v>
      </c>
      <c r="G289" s="34">
        <f t="shared" si="43"/>
        <v>9</v>
      </c>
      <c r="H289" s="34">
        <f t="shared" si="44"/>
        <v>1</v>
      </c>
      <c r="I289" s="34" t="str">
        <f t="shared" si="49"/>
        <v/>
      </c>
      <c r="J289" s="34" t="str">
        <f t="shared" si="49"/>
        <v/>
      </c>
      <c r="K289" s="34" t="str">
        <f t="shared" si="49"/>
        <v/>
      </c>
      <c r="L289" s="34" t="str">
        <f t="shared" si="49"/>
        <v/>
      </c>
      <c r="M289" s="34" t="str">
        <f t="shared" si="49"/>
        <v/>
      </c>
      <c r="N289" s="34">
        <f t="shared" si="49"/>
        <v>60</v>
      </c>
      <c r="O289" s="34">
        <f t="shared" si="49"/>
        <v>71</v>
      </c>
      <c r="P289" s="34">
        <f t="shared" si="49"/>
        <v>83</v>
      </c>
      <c r="Q289" s="34">
        <f t="shared" si="49"/>
        <v>95</v>
      </c>
      <c r="R289" s="34">
        <f t="shared" si="49"/>
        <v>107</v>
      </c>
      <c r="S289" s="35">
        <f t="shared" si="45"/>
        <v>60</v>
      </c>
    </row>
    <row r="290" spans="2:19" hidden="1" outlineLevel="1">
      <c r="B290" s="14" t="s">
        <v>39</v>
      </c>
      <c r="C290" s="15" t="s">
        <v>65</v>
      </c>
      <c r="D290" s="52">
        <v>2041</v>
      </c>
      <c r="E290" s="34">
        <v>3</v>
      </c>
      <c r="F290" s="38">
        <f t="shared" si="42"/>
        <v>20036.622381249534</v>
      </c>
      <c r="G290" s="34">
        <f t="shared" si="43"/>
        <v>9</v>
      </c>
      <c r="H290" s="34">
        <f t="shared" si="44"/>
        <v>1</v>
      </c>
      <c r="I290" s="34" t="str">
        <f t="shared" ref="I290:R299" si="50">IF($D290&lt;$Z$18,"",IF(MAX($G290,INDEX($C$65:$F$108,$D290+I$119-2026,$H290))&lt;=12*I$119-$E290+12,MAX($G290,12*I$119-$E290+1,INDEX($C$65:$F$108,$D290+I$119-2026,$H290)),""))</f>
        <v/>
      </c>
      <c r="J290" s="34" t="str">
        <f t="shared" si="50"/>
        <v/>
      </c>
      <c r="K290" s="34" t="str">
        <f t="shared" si="50"/>
        <v/>
      </c>
      <c r="L290" s="34" t="str">
        <f t="shared" si="50"/>
        <v/>
      </c>
      <c r="M290" s="34" t="str">
        <f t="shared" si="50"/>
        <v/>
      </c>
      <c r="N290" s="34">
        <f t="shared" si="50"/>
        <v>60</v>
      </c>
      <c r="O290" s="34">
        <f t="shared" si="50"/>
        <v>70</v>
      </c>
      <c r="P290" s="34">
        <f t="shared" si="50"/>
        <v>82</v>
      </c>
      <c r="Q290" s="34">
        <f t="shared" si="50"/>
        <v>94</v>
      </c>
      <c r="R290" s="34">
        <f t="shared" si="50"/>
        <v>106</v>
      </c>
      <c r="S290" s="35">
        <f t="shared" si="45"/>
        <v>60</v>
      </c>
    </row>
    <row r="291" spans="2:19" hidden="1" outlineLevel="1">
      <c r="B291" s="14" t="s">
        <v>39</v>
      </c>
      <c r="C291" s="15" t="s">
        <v>65</v>
      </c>
      <c r="D291" s="52">
        <v>2041</v>
      </c>
      <c r="E291" s="34">
        <v>4</v>
      </c>
      <c r="F291" s="38">
        <f t="shared" si="42"/>
        <v>20036.622381249534</v>
      </c>
      <c r="G291" s="34">
        <f t="shared" si="43"/>
        <v>9</v>
      </c>
      <c r="H291" s="34">
        <f t="shared" si="44"/>
        <v>1</v>
      </c>
      <c r="I291" s="34" t="str">
        <f t="shared" si="50"/>
        <v/>
      </c>
      <c r="J291" s="34" t="str">
        <f t="shared" si="50"/>
        <v/>
      </c>
      <c r="K291" s="34" t="str">
        <f t="shared" si="50"/>
        <v/>
      </c>
      <c r="L291" s="34" t="str">
        <f t="shared" si="50"/>
        <v/>
      </c>
      <c r="M291" s="34" t="str">
        <f t="shared" si="50"/>
        <v/>
      </c>
      <c r="N291" s="34">
        <f t="shared" si="50"/>
        <v>60</v>
      </c>
      <c r="O291" s="34">
        <f t="shared" si="50"/>
        <v>69</v>
      </c>
      <c r="P291" s="34">
        <f t="shared" si="50"/>
        <v>81</v>
      </c>
      <c r="Q291" s="34">
        <f t="shared" si="50"/>
        <v>93</v>
      </c>
      <c r="R291" s="34">
        <f t="shared" si="50"/>
        <v>105</v>
      </c>
      <c r="S291" s="35">
        <f t="shared" si="45"/>
        <v>60</v>
      </c>
    </row>
    <row r="292" spans="2:19" hidden="1" outlineLevel="1">
      <c r="B292" s="14" t="s">
        <v>39</v>
      </c>
      <c r="C292" s="15" t="s">
        <v>65</v>
      </c>
      <c r="D292" s="52">
        <v>2041</v>
      </c>
      <c r="E292" s="34">
        <v>5</v>
      </c>
      <c r="F292" s="38">
        <f t="shared" si="42"/>
        <v>20036.622381249534</v>
      </c>
      <c r="G292" s="34">
        <f t="shared" si="43"/>
        <v>9</v>
      </c>
      <c r="H292" s="34">
        <f t="shared" si="44"/>
        <v>1</v>
      </c>
      <c r="I292" s="34" t="str">
        <f t="shared" si="50"/>
        <v/>
      </c>
      <c r="J292" s="34" t="str">
        <f t="shared" si="50"/>
        <v/>
      </c>
      <c r="K292" s="34" t="str">
        <f t="shared" si="50"/>
        <v/>
      </c>
      <c r="L292" s="34" t="str">
        <f t="shared" si="50"/>
        <v/>
      </c>
      <c r="M292" s="34" t="str">
        <f t="shared" si="50"/>
        <v/>
      </c>
      <c r="N292" s="34">
        <f t="shared" si="50"/>
        <v>60</v>
      </c>
      <c r="O292" s="34">
        <f t="shared" si="50"/>
        <v>68</v>
      </c>
      <c r="P292" s="34">
        <f t="shared" si="50"/>
        <v>80</v>
      </c>
      <c r="Q292" s="34">
        <f t="shared" si="50"/>
        <v>92</v>
      </c>
      <c r="R292" s="34">
        <f t="shared" si="50"/>
        <v>104</v>
      </c>
      <c r="S292" s="35">
        <f t="shared" si="45"/>
        <v>60</v>
      </c>
    </row>
    <row r="293" spans="2:19" hidden="1" outlineLevel="1">
      <c r="B293" s="14" t="s">
        <v>39</v>
      </c>
      <c r="C293" s="15" t="s">
        <v>65</v>
      </c>
      <c r="D293" s="52">
        <v>2041</v>
      </c>
      <c r="E293" s="34">
        <v>6</v>
      </c>
      <c r="F293" s="38">
        <f t="shared" si="42"/>
        <v>20036.622381249534</v>
      </c>
      <c r="G293" s="34">
        <f t="shared" si="43"/>
        <v>9</v>
      </c>
      <c r="H293" s="34">
        <f t="shared" si="44"/>
        <v>1</v>
      </c>
      <c r="I293" s="34" t="str">
        <f t="shared" si="50"/>
        <v/>
      </c>
      <c r="J293" s="34" t="str">
        <f t="shared" si="50"/>
        <v/>
      </c>
      <c r="K293" s="34" t="str">
        <f t="shared" si="50"/>
        <v/>
      </c>
      <c r="L293" s="34" t="str">
        <f t="shared" si="50"/>
        <v/>
      </c>
      <c r="M293" s="34" t="str">
        <f t="shared" si="50"/>
        <v/>
      </c>
      <c r="N293" s="34">
        <f t="shared" si="50"/>
        <v>60</v>
      </c>
      <c r="O293" s="34">
        <f t="shared" si="50"/>
        <v>67</v>
      </c>
      <c r="P293" s="34">
        <f t="shared" si="50"/>
        <v>79</v>
      </c>
      <c r="Q293" s="34">
        <f t="shared" si="50"/>
        <v>91</v>
      </c>
      <c r="R293" s="34">
        <f t="shared" si="50"/>
        <v>103</v>
      </c>
      <c r="S293" s="35">
        <f t="shared" si="45"/>
        <v>60</v>
      </c>
    </row>
    <row r="294" spans="2:19" hidden="1" outlineLevel="1">
      <c r="B294" s="14" t="s">
        <v>39</v>
      </c>
      <c r="C294" s="15" t="s">
        <v>65</v>
      </c>
      <c r="D294" s="52">
        <v>2041</v>
      </c>
      <c r="E294" s="34">
        <v>7</v>
      </c>
      <c r="F294" s="38">
        <f t="shared" si="42"/>
        <v>20036.622381249534</v>
      </c>
      <c r="G294" s="34">
        <f t="shared" si="43"/>
        <v>9</v>
      </c>
      <c r="H294" s="34">
        <f t="shared" si="44"/>
        <v>1</v>
      </c>
      <c r="I294" s="34" t="str">
        <f t="shared" si="50"/>
        <v/>
      </c>
      <c r="J294" s="34" t="str">
        <f t="shared" si="50"/>
        <v/>
      </c>
      <c r="K294" s="34" t="str">
        <f t="shared" si="50"/>
        <v/>
      </c>
      <c r="L294" s="34" t="str">
        <f t="shared" si="50"/>
        <v/>
      </c>
      <c r="M294" s="34" t="str">
        <f t="shared" si="50"/>
        <v/>
      </c>
      <c r="N294" s="34">
        <f t="shared" si="50"/>
        <v>60</v>
      </c>
      <c r="O294" s="34">
        <f t="shared" si="50"/>
        <v>66</v>
      </c>
      <c r="P294" s="34">
        <f t="shared" si="50"/>
        <v>78</v>
      </c>
      <c r="Q294" s="34">
        <f t="shared" si="50"/>
        <v>90</v>
      </c>
      <c r="R294" s="34">
        <f t="shared" si="50"/>
        <v>102</v>
      </c>
      <c r="S294" s="35">
        <f t="shared" si="45"/>
        <v>60</v>
      </c>
    </row>
    <row r="295" spans="2:19" hidden="1" outlineLevel="1">
      <c r="B295" s="14" t="s">
        <v>39</v>
      </c>
      <c r="C295" s="15" t="s">
        <v>65</v>
      </c>
      <c r="D295" s="52">
        <v>2041</v>
      </c>
      <c r="E295" s="34">
        <v>8</v>
      </c>
      <c r="F295" s="38">
        <f t="shared" si="42"/>
        <v>20036.622381249534</v>
      </c>
      <c r="G295" s="34">
        <f t="shared" si="43"/>
        <v>9</v>
      </c>
      <c r="H295" s="34">
        <f t="shared" si="44"/>
        <v>1</v>
      </c>
      <c r="I295" s="34" t="str">
        <f t="shared" si="50"/>
        <v/>
      </c>
      <c r="J295" s="34" t="str">
        <f t="shared" si="50"/>
        <v/>
      </c>
      <c r="K295" s="34" t="str">
        <f t="shared" si="50"/>
        <v/>
      </c>
      <c r="L295" s="34" t="str">
        <f t="shared" si="50"/>
        <v/>
      </c>
      <c r="M295" s="34" t="str">
        <f t="shared" si="50"/>
        <v/>
      </c>
      <c r="N295" s="34">
        <f t="shared" si="50"/>
        <v>60</v>
      </c>
      <c r="O295" s="34">
        <f t="shared" si="50"/>
        <v>65</v>
      </c>
      <c r="P295" s="34">
        <f t="shared" si="50"/>
        <v>77</v>
      </c>
      <c r="Q295" s="34">
        <f t="shared" si="50"/>
        <v>89</v>
      </c>
      <c r="R295" s="34">
        <f t="shared" si="50"/>
        <v>101</v>
      </c>
      <c r="S295" s="35">
        <f t="shared" si="45"/>
        <v>60</v>
      </c>
    </row>
    <row r="296" spans="2:19" hidden="1" outlineLevel="1">
      <c r="B296" s="14" t="s">
        <v>39</v>
      </c>
      <c r="C296" s="15" t="s">
        <v>65</v>
      </c>
      <c r="D296" s="52">
        <v>2041</v>
      </c>
      <c r="E296" s="34">
        <v>9</v>
      </c>
      <c r="F296" s="38">
        <f t="shared" si="42"/>
        <v>20036.622381249534</v>
      </c>
      <c r="G296" s="34">
        <f t="shared" si="43"/>
        <v>9</v>
      </c>
      <c r="H296" s="34">
        <f t="shared" si="44"/>
        <v>1</v>
      </c>
      <c r="I296" s="34" t="str">
        <f t="shared" si="50"/>
        <v/>
      </c>
      <c r="J296" s="34" t="str">
        <f t="shared" si="50"/>
        <v/>
      </c>
      <c r="K296" s="34" t="str">
        <f t="shared" si="50"/>
        <v/>
      </c>
      <c r="L296" s="34" t="str">
        <f t="shared" si="50"/>
        <v/>
      </c>
      <c r="M296" s="34" t="str">
        <f t="shared" si="50"/>
        <v/>
      </c>
      <c r="N296" s="34">
        <f t="shared" si="50"/>
        <v>60</v>
      </c>
      <c r="O296" s="34">
        <f t="shared" si="50"/>
        <v>64</v>
      </c>
      <c r="P296" s="34">
        <f t="shared" si="50"/>
        <v>76</v>
      </c>
      <c r="Q296" s="34">
        <f t="shared" si="50"/>
        <v>88</v>
      </c>
      <c r="R296" s="34">
        <f t="shared" si="50"/>
        <v>100</v>
      </c>
      <c r="S296" s="35">
        <f t="shared" si="45"/>
        <v>60</v>
      </c>
    </row>
    <row r="297" spans="2:19" hidden="1" outlineLevel="1">
      <c r="B297" s="14" t="s">
        <v>39</v>
      </c>
      <c r="C297" s="15" t="s">
        <v>65</v>
      </c>
      <c r="D297" s="52">
        <v>2041</v>
      </c>
      <c r="E297" s="34">
        <v>10</v>
      </c>
      <c r="F297" s="38">
        <f t="shared" si="42"/>
        <v>20036.622381249534</v>
      </c>
      <c r="G297" s="34">
        <f t="shared" si="43"/>
        <v>9</v>
      </c>
      <c r="H297" s="34">
        <f t="shared" si="44"/>
        <v>1</v>
      </c>
      <c r="I297" s="34" t="str">
        <f t="shared" si="50"/>
        <v/>
      </c>
      <c r="J297" s="34" t="str">
        <f t="shared" si="50"/>
        <v/>
      </c>
      <c r="K297" s="34" t="str">
        <f t="shared" si="50"/>
        <v/>
      </c>
      <c r="L297" s="34" t="str">
        <f t="shared" si="50"/>
        <v/>
      </c>
      <c r="M297" s="34" t="str">
        <f t="shared" si="50"/>
        <v/>
      </c>
      <c r="N297" s="34">
        <f t="shared" si="50"/>
        <v>60</v>
      </c>
      <c r="O297" s="34">
        <f t="shared" si="50"/>
        <v>63</v>
      </c>
      <c r="P297" s="34">
        <f t="shared" si="50"/>
        <v>75</v>
      </c>
      <c r="Q297" s="34">
        <f t="shared" si="50"/>
        <v>87</v>
      </c>
      <c r="R297" s="34">
        <f t="shared" si="50"/>
        <v>99</v>
      </c>
      <c r="S297" s="35">
        <f t="shared" si="45"/>
        <v>60</v>
      </c>
    </row>
    <row r="298" spans="2:19" hidden="1" outlineLevel="1">
      <c r="B298" s="14" t="s">
        <v>39</v>
      </c>
      <c r="C298" s="15" t="s">
        <v>65</v>
      </c>
      <c r="D298" s="52">
        <v>2041</v>
      </c>
      <c r="E298" s="34">
        <v>11</v>
      </c>
      <c r="F298" s="38">
        <f t="shared" si="42"/>
        <v>20036.622381249534</v>
      </c>
      <c r="G298" s="34">
        <f t="shared" si="43"/>
        <v>9</v>
      </c>
      <c r="H298" s="34">
        <f t="shared" si="44"/>
        <v>1</v>
      </c>
      <c r="I298" s="34" t="str">
        <f t="shared" si="50"/>
        <v/>
      </c>
      <c r="J298" s="34" t="str">
        <f t="shared" si="50"/>
        <v/>
      </c>
      <c r="K298" s="34" t="str">
        <f t="shared" si="50"/>
        <v/>
      </c>
      <c r="L298" s="34" t="str">
        <f t="shared" si="50"/>
        <v/>
      </c>
      <c r="M298" s="34" t="str">
        <f t="shared" si="50"/>
        <v/>
      </c>
      <c r="N298" s="34">
        <f t="shared" si="50"/>
        <v>60</v>
      </c>
      <c r="O298" s="34">
        <f t="shared" si="50"/>
        <v>62</v>
      </c>
      <c r="P298" s="34">
        <f t="shared" si="50"/>
        <v>74</v>
      </c>
      <c r="Q298" s="34">
        <f t="shared" si="50"/>
        <v>86</v>
      </c>
      <c r="R298" s="34">
        <f t="shared" si="50"/>
        <v>98</v>
      </c>
      <c r="S298" s="35">
        <f t="shared" si="45"/>
        <v>60</v>
      </c>
    </row>
    <row r="299" spans="2:19" hidden="1" outlineLevel="1">
      <c r="B299" s="14" t="s">
        <v>39</v>
      </c>
      <c r="C299" s="15" t="s">
        <v>65</v>
      </c>
      <c r="D299" s="52">
        <v>2041</v>
      </c>
      <c r="E299" s="34">
        <v>12</v>
      </c>
      <c r="F299" s="38">
        <f t="shared" si="42"/>
        <v>20036.622381249534</v>
      </c>
      <c r="G299" s="34">
        <f t="shared" si="43"/>
        <v>9</v>
      </c>
      <c r="H299" s="34">
        <f t="shared" si="44"/>
        <v>1</v>
      </c>
      <c r="I299" s="34" t="str">
        <f t="shared" si="50"/>
        <v/>
      </c>
      <c r="J299" s="34" t="str">
        <f t="shared" si="50"/>
        <v/>
      </c>
      <c r="K299" s="34" t="str">
        <f t="shared" si="50"/>
        <v/>
      </c>
      <c r="L299" s="34" t="str">
        <f t="shared" si="50"/>
        <v/>
      </c>
      <c r="M299" s="34" t="str">
        <f t="shared" si="50"/>
        <v/>
      </c>
      <c r="N299" s="34">
        <f t="shared" si="50"/>
        <v>60</v>
      </c>
      <c r="O299" s="34">
        <f t="shared" si="50"/>
        <v>61</v>
      </c>
      <c r="P299" s="34">
        <f t="shared" si="50"/>
        <v>73</v>
      </c>
      <c r="Q299" s="34">
        <f t="shared" si="50"/>
        <v>85</v>
      </c>
      <c r="R299" s="34">
        <f t="shared" si="50"/>
        <v>97</v>
      </c>
      <c r="S299" s="35">
        <f t="shared" si="45"/>
        <v>60</v>
      </c>
    </row>
    <row r="300" spans="2:19" hidden="1" outlineLevel="1">
      <c r="B300" s="14" t="s">
        <v>39</v>
      </c>
      <c r="C300" s="15" t="s">
        <v>65</v>
      </c>
      <c r="D300" s="52">
        <v>2042</v>
      </c>
      <c r="E300" s="34">
        <v>1</v>
      </c>
      <c r="F300" s="38">
        <f t="shared" si="42"/>
        <v>20183.87025273126</v>
      </c>
      <c r="G300" s="34">
        <f t="shared" si="43"/>
        <v>9</v>
      </c>
      <c r="H300" s="34">
        <f t="shared" si="44"/>
        <v>1</v>
      </c>
      <c r="I300" s="34" t="str">
        <f t="shared" ref="I300:R309" si="51">IF($D300&lt;$Z$18,"",IF(MAX($G300,INDEX($C$65:$F$108,$D300+I$119-2026,$H300))&lt;=12*I$119-$E300+12,MAX($G300,12*I$119-$E300+1,INDEX($C$65:$F$108,$D300+I$119-2026,$H300)),""))</f>
        <v/>
      </c>
      <c r="J300" s="34" t="str">
        <f t="shared" si="51"/>
        <v/>
      </c>
      <c r="K300" s="34" t="str">
        <f t="shared" si="51"/>
        <v/>
      </c>
      <c r="L300" s="34" t="str">
        <f t="shared" si="51"/>
        <v/>
      </c>
      <c r="M300" s="34" t="str">
        <f t="shared" si="51"/>
        <v/>
      </c>
      <c r="N300" s="34">
        <f t="shared" si="51"/>
        <v>60</v>
      </c>
      <c r="O300" s="34">
        <f t="shared" si="51"/>
        <v>72</v>
      </c>
      <c r="P300" s="34">
        <f t="shared" si="51"/>
        <v>84</v>
      </c>
      <c r="Q300" s="34">
        <f t="shared" si="51"/>
        <v>96</v>
      </c>
      <c r="R300" s="34">
        <f t="shared" si="51"/>
        <v>108</v>
      </c>
      <c r="S300" s="35">
        <f t="shared" si="45"/>
        <v>60</v>
      </c>
    </row>
    <row r="301" spans="2:19" hidden="1" outlineLevel="1">
      <c r="B301" s="14" t="s">
        <v>39</v>
      </c>
      <c r="C301" s="15" t="s">
        <v>65</v>
      </c>
      <c r="D301" s="52">
        <v>2042</v>
      </c>
      <c r="E301" s="34">
        <v>2</v>
      </c>
      <c r="F301" s="38">
        <f t="shared" si="42"/>
        <v>20183.87025273126</v>
      </c>
      <c r="G301" s="34">
        <f t="shared" si="43"/>
        <v>9</v>
      </c>
      <c r="H301" s="34">
        <f t="shared" si="44"/>
        <v>1</v>
      </c>
      <c r="I301" s="34" t="str">
        <f t="shared" si="51"/>
        <v/>
      </c>
      <c r="J301" s="34" t="str">
        <f t="shared" si="51"/>
        <v/>
      </c>
      <c r="K301" s="34" t="str">
        <f t="shared" si="51"/>
        <v/>
      </c>
      <c r="L301" s="34" t="str">
        <f t="shared" si="51"/>
        <v/>
      </c>
      <c r="M301" s="34" t="str">
        <f t="shared" si="51"/>
        <v/>
      </c>
      <c r="N301" s="34">
        <f t="shared" si="51"/>
        <v>60</v>
      </c>
      <c r="O301" s="34">
        <f t="shared" si="51"/>
        <v>71</v>
      </c>
      <c r="P301" s="34">
        <f t="shared" si="51"/>
        <v>83</v>
      </c>
      <c r="Q301" s="34">
        <f t="shared" si="51"/>
        <v>95</v>
      </c>
      <c r="R301" s="34">
        <f t="shared" si="51"/>
        <v>107</v>
      </c>
      <c r="S301" s="35">
        <f t="shared" si="45"/>
        <v>60</v>
      </c>
    </row>
    <row r="302" spans="2:19" hidden="1" outlineLevel="1">
      <c r="B302" s="14" t="s">
        <v>39</v>
      </c>
      <c r="C302" s="15" t="s">
        <v>65</v>
      </c>
      <c r="D302" s="52">
        <v>2042</v>
      </c>
      <c r="E302" s="34">
        <v>3</v>
      </c>
      <c r="F302" s="38">
        <f t="shared" si="42"/>
        <v>20183.87025273126</v>
      </c>
      <c r="G302" s="34">
        <f t="shared" si="43"/>
        <v>9</v>
      </c>
      <c r="H302" s="34">
        <f t="shared" si="44"/>
        <v>1</v>
      </c>
      <c r="I302" s="34" t="str">
        <f t="shared" si="51"/>
        <v/>
      </c>
      <c r="J302" s="34" t="str">
        <f t="shared" si="51"/>
        <v/>
      </c>
      <c r="K302" s="34" t="str">
        <f t="shared" si="51"/>
        <v/>
      </c>
      <c r="L302" s="34" t="str">
        <f t="shared" si="51"/>
        <v/>
      </c>
      <c r="M302" s="34" t="str">
        <f t="shared" si="51"/>
        <v/>
      </c>
      <c r="N302" s="34">
        <f t="shared" si="51"/>
        <v>60</v>
      </c>
      <c r="O302" s="34">
        <f t="shared" si="51"/>
        <v>70</v>
      </c>
      <c r="P302" s="34">
        <f t="shared" si="51"/>
        <v>82</v>
      </c>
      <c r="Q302" s="34">
        <f t="shared" si="51"/>
        <v>94</v>
      </c>
      <c r="R302" s="34">
        <f t="shared" si="51"/>
        <v>106</v>
      </c>
      <c r="S302" s="35">
        <f t="shared" si="45"/>
        <v>60</v>
      </c>
    </row>
    <row r="303" spans="2:19" hidden="1" outlineLevel="1">
      <c r="B303" s="14" t="s">
        <v>39</v>
      </c>
      <c r="C303" s="15" t="s">
        <v>65</v>
      </c>
      <c r="D303" s="52">
        <v>2042</v>
      </c>
      <c r="E303" s="34">
        <v>4</v>
      </c>
      <c r="F303" s="38">
        <f t="shared" si="42"/>
        <v>20183.87025273126</v>
      </c>
      <c r="G303" s="34">
        <f t="shared" si="43"/>
        <v>9</v>
      </c>
      <c r="H303" s="34">
        <f t="shared" si="44"/>
        <v>1</v>
      </c>
      <c r="I303" s="34" t="str">
        <f t="shared" si="51"/>
        <v/>
      </c>
      <c r="J303" s="34" t="str">
        <f t="shared" si="51"/>
        <v/>
      </c>
      <c r="K303" s="34" t="str">
        <f t="shared" si="51"/>
        <v/>
      </c>
      <c r="L303" s="34" t="str">
        <f t="shared" si="51"/>
        <v/>
      </c>
      <c r="M303" s="34" t="str">
        <f t="shared" si="51"/>
        <v/>
      </c>
      <c r="N303" s="34">
        <f t="shared" si="51"/>
        <v>60</v>
      </c>
      <c r="O303" s="34">
        <f t="shared" si="51"/>
        <v>69</v>
      </c>
      <c r="P303" s="34">
        <f t="shared" si="51"/>
        <v>81</v>
      </c>
      <c r="Q303" s="34">
        <f t="shared" si="51"/>
        <v>93</v>
      </c>
      <c r="R303" s="34">
        <f t="shared" si="51"/>
        <v>105</v>
      </c>
      <c r="S303" s="35">
        <f t="shared" si="45"/>
        <v>60</v>
      </c>
    </row>
    <row r="304" spans="2:19" hidden="1" outlineLevel="1">
      <c r="B304" s="14" t="s">
        <v>39</v>
      </c>
      <c r="C304" s="15" t="s">
        <v>65</v>
      </c>
      <c r="D304" s="52">
        <v>2042</v>
      </c>
      <c r="E304" s="34">
        <v>5</v>
      </c>
      <c r="F304" s="38">
        <f t="shared" si="42"/>
        <v>20183.87025273126</v>
      </c>
      <c r="G304" s="34">
        <f t="shared" si="43"/>
        <v>9</v>
      </c>
      <c r="H304" s="34">
        <f t="shared" si="44"/>
        <v>1</v>
      </c>
      <c r="I304" s="34" t="str">
        <f t="shared" si="51"/>
        <v/>
      </c>
      <c r="J304" s="34" t="str">
        <f t="shared" si="51"/>
        <v/>
      </c>
      <c r="K304" s="34" t="str">
        <f t="shared" si="51"/>
        <v/>
      </c>
      <c r="L304" s="34" t="str">
        <f t="shared" si="51"/>
        <v/>
      </c>
      <c r="M304" s="34" t="str">
        <f t="shared" si="51"/>
        <v/>
      </c>
      <c r="N304" s="34">
        <f t="shared" si="51"/>
        <v>60</v>
      </c>
      <c r="O304" s="34">
        <f t="shared" si="51"/>
        <v>68</v>
      </c>
      <c r="P304" s="34">
        <f t="shared" si="51"/>
        <v>80</v>
      </c>
      <c r="Q304" s="34">
        <f t="shared" si="51"/>
        <v>92</v>
      </c>
      <c r="R304" s="34">
        <f t="shared" si="51"/>
        <v>104</v>
      </c>
      <c r="S304" s="35">
        <f t="shared" si="45"/>
        <v>60</v>
      </c>
    </row>
    <row r="305" spans="2:19" hidden="1" outlineLevel="1">
      <c r="B305" s="14" t="s">
        <v>39</v>
      </c>
      <c r="C305" s="15" t="s">
        <v>65</v>
      </c>
      <c r="D305" s="52">
        <v>2042</v>
      </c>
      <c r="E305" s="34">
        <v>6</v>
      </c>
      <c r="F305" s="38">
        <f t="shared" si="42"/>
        <v>20183.87025273126</v>
      </c>
      <c r="G305" s="34">
        <f t="shared" si="43"/>
        <v>9</v>
      </c>
      <c r="H305" s="34">
        <f t="shared" si="44"/>
        <v>1</v>
      </c>
      <c r="I305" s="34" t="str">
        <f t="shared" si="51"/>
        <v/>
      </c>
      <c r="J305" s="34" t="str">
        <f t="shared" si="51"/>
        <v/>
      </c>
      <c r="K305" s="34" t="str">
        <f t="shared" si="51"/>
        <v/>
      </c>
      <c r="L305" s="34" t="str">
        <f t="shared" si="51"/>
        <v/>
      </c>
      <c r="M305" s="34" t="str">
        <f t="shared" si="51"/>
        <v/>
      </c>
      <c r="N305" s="34">
        <f t="shared" si="51"/>
        <v>60</v>
      </c>
      <c r="O305" s="34">
        <f t="shared" si="51"/>
        <v>67</v>
      </c>
      <c r="P305" s="34">
        <f t="shared" si="51"/>
        <v>79</v>
      </c>
      <c r="Q305" s="34">
        <f t="shared" si="51"/>
        <v>91</v>
      </c>
      <c r="R305" s="34">
        <f t="shared" si="51"/>
        <v>103</v>
      </c>
      <c r="S305" s="35">
        <f t="shared" si="45"/>
        <v>60</v>
      </c>
    </row>
    <row r="306" spans="2:19" hidden="1" outlineLevel="1">
      <c r="B306" s="14" t="s">
        <v>39</v>
      </c>
      <c r="C306" s="15" t="s">
        <v>65</v>
      </c>
      <c r="D306" s="52">
        <v>2042</v>
      </c>
      <c r="E306" s="34">
        <v>7</v>
      </c>
      <c r="F306" s="38">
        <f t="shared" si="42"/>
        <v>20183.87025273126</v>
      </c>
      <c r="G306" s="34">
        <f t="shared" si="43"/>
        <v>9</v>
      </c>
      <c r="H306" s="34">
        <f t="shared" si="44"/>
        <v>1</v>
      </c>
      <c r="I306" s="34" t="str">
        <f t="shared" si="51"/>
        <v/>
      </c>
      <c r="J306" s="34" t="str">
        <f t="shared" si="51"/>
        <v/>
      </c>
      <c r="K306" s="34" t="str">
        <f t="shared" si="51"/>
        <v/>
      </c>
      <c r="L306" s="34" t="str">
        <f t="shared" si="51"/>
        <v/>
      </c>
      <c r="M306" s="34" t="str">
        <f t="shared" si="51"/>
        <v/>
      </c>
      <c r="N306" s="34">
        <f t="shared" si="51"/>
        <v>60</v>
      </c>
      <c r="O306" s="34">
        <f t="shared" si="51"/>
        <v>66</v>
      </c>
      <c r="P306" s="34">
        <f t="shared" si="51"/>
        <v>78</v>
      </c>
      <c r="Q306" s="34">
        <f t="shared" si="51"/>
        <v>90</v>
      </c>
      <c r="R306" s="34">
        <f t="shared" si="51"/>
        <v>102</v>
      </c>
      <c r="S306" s="35">
        <f t="shared" si="45"/>
        <v>60</v>
      </c>
    </row>
    <row r="307" spans="2:19" hidden="1" outlineLevel="1">
      <c r="B307" s="14" t="s">
        <v>39</v>
      </c>
      <c r="C307" s="15" t="s">
        <v>65</v>
      </c>
      <c r="D307" s="52">
        <v>2042</v>
      </c>
      <c r="E307" s="34">
        <v>8</v>
      </c>
      <c r="F307" s="38">
        <f t="shared" si="42"/>
        <v>20183.87025273126</v>
      </c>
      <c r="G307" s="34">
        <f t="shared" si="43"/>
        <v>9</v>
      </c>
      <c r="H307" s="34">
        <f t="shared" si="44"/>
        <v>1</v>
      </c>
      <c r="I307" s="34" t="str">
        <f t="shared" si="51"/>
        <v/>
      </c>
      <c r="J307" s="34" t="str">
        <f t="shared" si="51"/>
        <v/>
      </c>
      <c r="K307" s="34" t="str">
        <f t="shared" si="51"/>
        <v/>
      </c>
      <c r="L307" s="34" t="str">
        <f t="shared" si="51"/>
        <v/>
      </c>
      <c r="M307" s="34" t="str">
        <f t="shared" si="51"/>
        <v/>
      </c>
      <c r="N307" s="34">
        <f t="shared" si="51"/>
        <v>60</v>
      </c>
      <c r="O307" s="34">
        <f t="shared" si="51"/>
        <v>65</v>
      </c>
      <c r="P307" s="34">
        <f t="shared" si="51"/>
        <v>77</v>
      </c>
      <c r="Q307" s="34">
        <f t="shared" si="51"/>
        <v>89</v>
      </c>
      <c r="R307" s="34">
        <f t="shared" si="51"/>
        <v>101</v>
      </c>
      <c r="S307" s="35">
        <f t="shared" si="45"/>
        <v>60</v>
      </c>
    </row>
    <row r="308" spans="2:19" hidden="1" outlineLevel="1">
      <c r="B308" s="14" t="s">
        <v>39</v>
      </c>
      <c r="C308" s="15" t="s">
        <v>65</v>
      </c>
      <c r="D308" s="52">
        <v>2042</v>
      </c>
      <c r="E308" s="34">
        <v>9</v>
      </c>
      <c r="F308" s="38">
        <f t="shared" si="42"/>
        <v>20183.87025273126</v>
      </c>
      <c r="G308" s="34">
        <f t="shared" si="43"/>
        <v>9</v>
      </c>
      <c r="H308" s="34">
        <f t="shared" si="44"/>
        <v>1</v>
      </c>
      <c r="I308" s="34" t="str">
        <f t="shared" si="51"/>
        <v/>
      </c>
      <c r="J308" s="34" t="str">
        <f t="shared" si="51"/>
        <v/>
      </c>
      <c r="K308" s="34" t="str">
        <f t="shared" si="51"/>
        <v/>
      </c>
      <c r="L308" s="34" t="str">
        <f t="shared" si="51"/>
        <v/>
      </c>
      <c r="M308" s="34" t="str">
        <f t="shared" si="51"/>
        <v/>
      </c>
      <c r="N308" s="34">
        <f t="shared" si="51"/>
        <v>60</v>
      </c>
      <c r="O308" s="34">
        <f t="shared" si="51"/>
        <v>64</v>
      </c>
      <c r="P308" s="34">
        <f t="shared" si="51"/>
        <v>76</v>
      </c>
      <c r="Q308" s="34">
        <f t="shared" si="51"/>
        <v>88</v>
      </c>
      <c r="R308" s="34">
        <f t="shared" si="51"/>
        <v>100</v>
      </c>
      <c r="S308" s="35">
        <f t="shared" si="45"/>
        <v>60</v>
      </c>
    </row>
    <row r="309" spans="2:19" hidden="1" outlineLevel="1">
      <c r="B309" s="14" t="s">
        <v>39</v>
      </c>
      <c r="C309" s="15" t="s">
        <v>65</v>
      </c>
      <c r="D309" s="52">
        <v>2042</v>
      </c>
      <c r="E309" s="34">
        <v>10</v>
      </c>
      <c r="F309" s="38">
        <f t="shared" si="42"/>
        <v>20183.87025273126</v>
      </c>
      <c r="G309" s="34">
        <f t="shared" si="43"/>
        <v>9</v>
      </c>
      <c r="H309" s="34">
        <f t="shared" si="44"/>
        <v>1</v>
      </c>
      <c r="I309" s="34" t="str">
        <f t="shared" si="51"/>
        <v/>
      </c>
      <c r="J309" s="34" t="str">
        <f t="shared" si="51"/>
        <v/>
      </c>
      <c r="K309" s="34" t="str">
        <f t="shared" si="51"/>
        <v/>
      </c>
      <c r="L309" s="34" t="str">
        <f t="shared" si="51"/>
        <v/>
      </c>
      <c r="M309" s="34" t="str">
        <f t="shared" si="51"/>
        <v/>
      </c>
      <c r="N309" s="34">
        <f t="shared" si="51"/>
        <v>60</v>
      </c>
      <c r="O309" s="34">
        <f t="shared" si="51"/>
        <v>63</v>
      </c>
      <c r="P309" s="34">
        <f t="shared" si="51"/>
        <v>75</v>
      </c>
      <c r="Q309" s="34">
        <f t="shared" si="51"/>
        <v>87</v>
      </c>
      <c r="R309" s="34">
        <f t="shared" si="51"/>
        <v>99</v>
      </c>
      <c r="S309" s="35">
        <f t="shared" si="45"/>
        <v>60</v>
      </c>
    </row>
    <row r="310" spans="2:19" hidden="1" outlineLevel="1">
      <c r="B310" s="14" t="s">
        <v>39</v>
      </c>
      <c r="C310" s="15" t="s">
        <v>65</v>
      </c>
      <c r="D310" s="52">
        <v>2042</v>
      </c>
      <c r="E310" s="34">
        <v>11</v>
      </c>
      <c r="F310" s="38">
        <f t="shared" si="42"/>
        <v>20183.87025273126</v>
      </c>
      <c r="G310" s="34">
        <f t="shared" si="43"/>
        <v>9</v>
      </c>
      <c r="H310" s="34">
        <f t="shared" si="44"/>
        <v>1</v>
      </c>
      <c r="I310" s="34" t="str">
        <f t="shared" ref="I310:R319" si="52">IF($D310&lt;$Z$18,"",IF(MAX($G310,INDEX($C$65:$F$108,$D310+I$119-2026,$H310))&lt;=12*I$119-$E310+12,MAX($G310,12*I$119-$E310+1,INDEX($C$65:$F$108,$D310+I$119-2026,$H310)),""))</f>
        <v/>
      </c>
      <c r="J310" s="34" t="str">
        <f t="shared" si="52"/>
        <v/>
      </c>
      <c r="K310" s="34" t="str">
        <f t="shared" si="52"/>
        <v/>
      </c>
      <c r="L310" s="34" t="str">
        <f t="shared" si="52"/>
        <v/>
      </c>
      <c r="M310" s="34" t="str">
        <f t="shared" si="52"/>
        <v/>
      </c>
      <c r="N310" s="34">
        <f t="shared" si="52"/>
        <v>60</v>
      </c>
      <c r="O310" s="34">
        <f t="shared" si="52"/>
        <v>62</v>
      </c>
      <c r="P310" s="34">
        <f t="shared" si="52"/>
        <v>74</v>
      </c>
      <c r="Q310" s="34">
        <f t="shared" si="52"/>
        <v>86</v>
      </c>
      <c r="R310" s="34">
        <f t="shared" si="52"/>
        <v>98</v>
      </c>
      <c r="S310" s="35">
        <f t="shared" si="45"/>
        <v>60</v>
      </c>
    </row>
    <row r="311" spans="2:19" hidden="1" outlineLevel="1">
      <c r="B311" s="14" t="s">
        <v>39</v>
      </c>
      <c r="C311" s="15" t="s">
        <v>65</v>
      </c>
      <c r="D311" s="52">
        <v>2042</v>
      </c>
      <c r="E311" s="34">
        <v>12</v>
      </c>
      <c r="F311" s="38">
        <f t="shared" si="42"/>
        <v>20183.87025273126</v>
      </c>
      <c r="G311" s="34">
        <f t="shared" si="43"/>
        <v>9</v>
      </c>
      <c r="H311" s="34">
        <f t="shared" si="44"/>
        <v>1</v>
      </c>
      <c r="I311" s="34" t="str">
        <f t="shared" si="52"/>
        <v/>
      </c>
      <c r="J311" s="34" t="str">
        <f t="shared" si="52"/>
        <v/>
      </c>
      <c r="K311" s="34" t="str">
        <f t="shared" si="52"/>
        <v/>
      </c>
      <c r="L311" s="34" t="str">
        <f t="shared" si="52"/>
        <v/>
      </c>
      <c r="M311" s="34" t="str">
        <f t="shared" si="52"/>
        <v/>
      </c>
      <c r="N311" s="34">
        <f t="shared" si="52"/>
        <v>60</v>
      </c>
      <c r="O311" s="34">
        <f t="shared" si="52"/>
        <v>61</v>
      </c>
      <c r="P311" s="34">
        <f t="shared" si="52"/>
        <v>73</v>
      </c>
      <c r="Q311" s="34">
        <f t="shared" si="52"/>
        <v>85</v>
      </c>
      <c r="R311" s="34">
        <f t="shared" si="52"/>
        <v>97</v>
      </c>
      <c r="S311" s="35">
        <f t="shared" si="45"/>
        <v>60</v>
      </c>
    </row>
    <row r="312" spans="2:19" hidden="1" outlineLevel="1">
      <c r="B312" s="14" t="s">
        <v>39</v>
      </c>
      <c r="C312" s="15" t="s">
        <v>65</v>
      </c>
      <c r="D312" s="52">
        <v>2043</v>
      </c>
      <c r="E312" s="34">
        <v>1</v>
      </c>
      <c r="F312" s="38">
        <f t="shared" ref="F312:F375" si="53">IF($C312="Homens",INDEX($C$5:$C$55,MATCH($D312,$B$5:$B$55,0)),INDEX($F$5:$F$55,MATCH($D312,$B$5:$B$55,0)))/12</f>
        <v>20298.8389345785</v>
      </c>
      <c r="G312" s="34">
        <f t="shared" ref="G312:G375" si="54">IF($C312="Homens",$Z$17,$AA$17)</f>
        <v>9</v>
      </c>
      <c r="H312" s="34">
        <f t="shared" ref="H312:H375" si="55">1+2*($B312="Com Transição")+($C312="Mulheres")</f>
        <v>1</v>
      </c>
      <c r="I312" s="34" t="str">
        <f t="shared" si="52"/>
        <v/>
      </c>
      <c r="J312" s="34" t="str">
        <f t="shared" si="52"/>
        <v/>
      </c>
      <c r="K312" s="34" t="str">
        <f t="shared" si="52"/>
        <v/>
      </c>
      <c r="L312" s="34" t="str">
        <f t="shared" si="52"/>
        <v/>
      </c>
      <c r="M312" s="34" t="str">
        <f t="shared" si="52"/>
        <v/>
      </c>
      <c r="N312" s="34">
        <f t="shared" si="52"/>
        <v>60</v>
      </c>
      <c r="O312" s="34">
        <f t="shared" si="52"/>
        <v>72</v>
      </c>
      <c r="P312" s="34">
        <f t="shared" si="52"/>
        <v>84</v>
      </c>
      <c r="Q312" s="34">
        <f t="shared" si="52"/>
        <v>96</v>
      </c>
      <c r="R312" s="34">
        <f t="shared" si="52"/>
        <v>108</v>
      </c>
      <c r="S312" s="35">
        <f t="shared" ref="S312:S375" si="56">IF($D312&lt;$Z$18,$G312,MIN(I312:R312))</f>
        <v>60</v>
      </c>
    </row>
    <row r="313" spans="2:19" hidden="1" outlineLevel="1">
      <c r="B313" s="14" t="s">
        <v>39</v>
      </c>
      <c r="C313" s="15" t="s">
        <v>65</v>
      </c>
      <c r="D313" s="52">
        <v>2043</v>
      </c>
      <c r="E313" s="34">
        <v>2</v>
      </c>
      <c r="F313" s="38">
        <f t="shared" si="53"/>
        <v>20298.8389345785</v>
      </c>
      <c r="G313" s="34">
        <f t="shared" si="54"/>
        <v>9</v>
      </c>
      <c r="H313" s="34">
        <f t="shared" si="55"/>
        <v>1</v>
      </c>
      <c r="I313" s="34" t="str">
        <f t="shared" si="52"/>
        <v/>
      </c>
      <c r="J313" s="34" t="str">
        <f t="shared" si="52"/>
        <v/>
      </c>
      <c r="K313" s="34" t="str">
        <f t="shared" si="52"/>
        <v/>
      </c>
      <c r="L313" s="34" t="str">
        <f t="shared" si="52"/>
        <v/>
      </c>
      <c r="M313" s="34" t="str">
        <f t="shared" si="52"/>
        <v/>
      </c>
      <c r="N313" s="34">
        <f t="shared" si="52"/>
        <v>60</v>
      </c>
      <c r="O313" s="34">
        <f t="shared" si="52"/>
        <v>71</v>
      </c>
      <c r="P313" s="34">
        <f t="shared" si="52"/>
        <v>83</v>
      </c>
      <c r="Q313" s="34">
        <f t="shared" si="52"/>
        <v>95</v>
      </c>
      <c r="R313" s="34">
        <f t="shared" si="52"/>
        <v>107</v>
      </c>
      <c r="S313" s="35">
        <f t="shared" si="56"/>
        <v>60</v>
      </c>
    </row>
    <row r="314" spans="2:19" hidden="1" outlineLevel="1">
      <c r="B314" s="14" t="s">
        <v>39</v>
      </c>
      <c r="C314" s="15" t="s">
        <v>65</v>
      </c>
      <c r="D314" s="52">
        <v>2043</v>
      </c>
      <c r="E314" s="34">
        <v>3</v>
      </c>
      <c r="F314" s="38">
        <f t="shared" si="53"/>
        <v>20298.8389345785</v>
      </c>
      <c r="G314" s="34">
        <f t="shared" si="54"/>
        <v>9</v>
      </c>
      <c r="H314" s="34">
        <f t="shared" si="55"/>
        <v>1</v>
      </c>
      <c r="I314" s="34" t="str">
        <f t="shared" si="52"/>
        <v/>
      </c>
      <c r="J314" s="34" t="str">
        <f t="shared" si="52"/>
        <v/>
      </c>
      <c r="K314" s="34" t="str">
        <f t="shared" si="52"/>
        <v/>
      </c>
      <c r="L314" s="34" t="str">
        <f t="shared" si="52"/>
        <v/>
      </c>
      <c r="M314" s="34" t="str">
        <f t="shared" si="52"/>
        <v/>
      </c>
      <c r="N314" s="34">
        <f t="shared" si="52"/>
        <v>60</v>
      </c>
      <c r="O314" s="34">
        <f t="shared" si="52"/>
        <v>70</v>
      </c>
      <c r="P314" s="34">
        <f t="shared" si="52"/>
        <v>82</v>
      </c>
      <c r="Q314" s="34">
        <f t="shared" si="52"/>
        <v>94</v>
      </c>
      <c r="R314" s="34">
        <f t="shared" si="52"/>
        <v>106</v>
      </c>
      <c r="S314" s="35">
        <f t="shared" si="56"/>
        <v>60</v>
      </c>
    </row>
    <row r="315" spans="2:19" hidden="1" outlineLevel="1">
      <c r="B315" s="14" t="s">
        <v>39</v>
      </c>
      <c r="C315" s="15" t="s">
        <v>65</v>
      </c>
      <c r="D315" s="52">
        <v>2043</v>
      </c>
      <c r="E315" s="34">
        <v>4</v>
      </c>
      <c r="F315" s="38">
        <f t="shared" si="53"/>
        <v>20298.8389345785</v>
      </c>
      <c r="G315" s="34">
        <f t="shared" si="54"/>
        <v>9</v>
      </c>
      <c r="H315" s="34">
        <f t="shared" si="55"/>
        <v>1</v>
      </c>
      <c r="I315" s="34" t="str">
        <f t="shared" si="52"/>
        <v/>
      </c>
      <c r="J315" s="34" t="str">
        <f t="shared" si="52"/>
        <v/>
      </c>
      <c r="K315" s="34" t="str">
        <f t="shared" si="52"/>
        <v/>
      </c>
      <c r="L315" s="34" t="str">
        <f t="shared" si="52"/>
        <v/>
      </c>
      <c r="M315" s="34" t="str">
        <f t="shared" si="52"/>
        <v/>
      </c>
      <c r="N315" s="34">
        <f t="shared" si="52"/>
        <v>60</v>
      </c>
      <c r="O315" s="34">
        <f t="shared" si="52"/>
        <v>69</v>
      </c>
      <c r="P315" s="34">
        <f t="shared" si="52"/>
        <v>81</v>
      </c>
      <c r="Q315" s="34">
        <f t="shared" si="52"/>
        <v>93</v>
      </c>
      <c r="R315" s="34">
        <f t="shared" si="52"/>
        <v>105</v>
      </c>
      <c r="S315" s="35">
        <f t="shared" si="56"/>
        <v>60</v>
      </c>
    </row>
    <row r="316" spans="2:19" hidden="1" outlineLevel="1">
      <c r="B316" s="14" t="s">
        <v>39</v>
      </c>
      <c r="C316" s="15" t="s">
        <v>65</v>
      </c>
      <c r="D316" s="52">
        <v>2043</v>
      </c>
      <c r="E316" s="34">
        <v>5</v>
      </c>
      <c r="F316" s="38">
        <f t="shared" si="53"/>
        <v>20298.8389345785</v>
      </c>
      <c r="G316" s="34">
        <f t="shared" si="54"/>
        <v>9</v>
      </c>
      <c r="H316" s="34">
        <f t="shared" si="55"/>
        <v>1</v>
      </c>
      <c r="I316" s="34" t="str">
        <f t="shared" si="52"/>
        <v/>
      </c>
      <c r="J316" s="34" t="str">
        <f t="shared" si="52"/>
        <v/>
      </c>
      <c r="K316" s="34" t="str">
        <f t="shared" si="52"/>
        <v/>
      </c>
      <c r="L316" s="34" t="str">
        <f t="shared" si="52"/>
        <v/>
      </c>
      <c r="M316" s="34" t="str">
        <f t="shared" si="52"/>
        <v/>
      </c>
      <c r="N316" s="34">
        <f t="shared" si="52"/>
        <v>60</v>
      </c>
      <c r="O316" s="34">
        <f t="shared" si="52"/>
        <v>68</v>
      </c>
      <c r="P316" s="34">
        <f t="shared" si="52"/>
        <v>80</v>
      </c>
      <c r="Q316" s="34">
        <f t="shared" si="52"/>
        <v>92</v>
      </c>
      <c r="R316" s="34">
        <f t="shared" si="52"/>
        <v>104</v>
      </c>
      <c r="S316" s="35">
        <f t="shared" si="56"/>
        <v>60</v>
      </c>
    </row>
    <row r="317" spans="2:19" hidden="1" outlineLevel="1">
      <c r="B317" s="14" t="s">
        <v>39</v>
      </c>
      <c r="C317" s="15" t="s">
        <v>65</v>
      </c>
      <c r="D317" s="52">
        <v>2043</v>
      </c>
      <c r="E317" s="34">
        <v>6</v>
      </c>
      <c r="F317" s="38">
        <f t="shared" si="53"/>
        <v>20298.8389345785</v>
      </c>
      <c r="G317" s="34">
        <f t="shared" si="54"/>
        <v>9</v>
      </c>
      <c r="H317" s="34">
        <f t="shared" si="55"/>
        <v>1</v>
      </c>
      <c r="I317" s="34" t="str">
        <f t="shared" si="52"/>
        <v/>
      </c>
      <c r="J317" s="34" t="str">
        <f t="shared" si="52"/>
        <v/>
      </c>
      <c r="K317" s="34" t="str">
        <f t="shared" si="52"/>
        <v/>
      </c>
      <c r="L317" s="34" t="str">
        <f t="shared" si="52"/>
        <v/>
      </c>
      <c r="M317" s="34" t="str">
        <f t="shared" si="52"/>
        <v/>
      </c>
      <c r="N317" s="34">
        <f t="shared" si="52"/>
        <v>60</v>
      </c>
      <c r="O317" s="34">
        <f t="shared" si="52"/>
        <v>67</v>
      </c>
      <c r="P317" s="34">
        <f t="shared" si="52"/>
        <v>79</v>
      </c>
      <c r="Q317" s="34">
        <f t="shared" si="52"/>
        <v>91</v>
      </c>
      <c r="R317" s="34">
        <f t="shared" si="52"/>
        <v>103</v>
      </c>
      <c r="S317" s="35">
        <f t="shared" si="56"/>
        <v>60</v>
      </c>
    </row>
    <row r="318" spans="2:19" hidden="1" outlineLevel="1">
      <c r="B318" s="14" t="s">
        <v>39</v>
      </c>
      <c r="C318" s="15" t="s">
        <v>65</v>
      </c>
      <c r="D318" s="52">
        <v>2043</v>
      </c>
      <c r="E318" s="34">
        <v>7</v>
      </c>
      <c r="F318" s="38">
        <f t="shared" si="53"/>
        <v>20298.8389345785</v>
      </c>
      <c r="G318" s="34">
        <f t="shared" si="54"/>
        <v>9</v>
      </c>
      <c r="H318" s="34">
        <f t="shared" si="55"/>
        <v>1</v>
      </c>
      <c r="I318" s="34" t="str">
        <f t="shared" si="52"/>
        <v/>
      </c>
      <c r="J318" s="34" t="str">
        <f t="shared" si="52"/>
        <v/>
      </c>
      <c r="K318" s="34" t="str">
        <f t="shared" si="52"/>
        <v/>
      </c>
      <c r="L318" s="34" t="str">
        <f t="shared" si="52"/>
        <v/>
      </c>
      <c r="M318" s="34" t="str">
        <f t="shared" si="52"/>
        <v/>
      </c>
      <c r="N318" s="34">
        <f t="shared" si="52"/>
        <v>60</v>
      </c>
      <c r="O318" s="34">
        <f t="shared" si="52"/>
        <v>66</v>
      </c>
      <c r="P318" s="34">
        <f t="shared" si="52"/>
        <v>78</v>
      </c>
      <c r="Q318" s="34">
        <f t="shared" si="52"/>
        <v>90</v>
      </c>
      <c r="R318" s="34">
        <f t="shared" si="52"/>
        <v>102</v>
      </c>
      <c r="S318" s="35">
        <f t="shared" si="56"/>
        <v>60</v>
      </c>
    </row>
    <row r="319" spans="2:19" hidden="1" outlineLevel="1">
      <c r="B319" s="14" t="s">
        <v>39</v>
      </c>
      <c r="C319" s="15" t="s">
        <v>65</v>
      </c>
      <c r="D319" s="52">
        <v>2043</v>
      </c>
      <c r="E319" s="34">
        <v>8</v>
      </c>
      <c r="F319" s="38">
        <f t="shared" si="53"/>
        <v>20298.8389345785</v>
      </c>
      <c r="G319" s="34">
        <f t="shared" si="54"/>
        <v>9</v>
      </c>
      <c r="H319" s="34">
        <f t="shared" si="55"/>
        <v>1</v>
      </c>
      <c r="I319" s="34" t="str">
        <f t="shared" si="52"/>
        <v/>
      </c>
      <c r="J319" s="34" t="str">
        <f t="shared" si="52"/>
        <v/>
      </c>
      <c r="K319" s="34" t="str">
        <f t="shared" si="52"/>
        <v/>
      </c>
      <c r="L319" s="34" t="str">
        <f t="shared" si="52"/>
        <v/>
      </c>
      <c r="M319" s="34" t="str">
        <f t="shared" si="52"/>
        <v/>
      </c>
      <c r="N319" s="34">
        <f t="shared" si="52"/>
        <v>60</v>
      </c>
      <c r="O319" s="34">
        <f t="shared" si="52"/>
        <v>65</v>
      </c>
      <c r="P319" s="34">
        <f t="shared" si="52"/>
        <v>77</v>
      </c>
      <c r="Q319" s="34">
        <f t="shared" si="52"/>
        <v>89</v>
      </c>
      <c r="R319" s="34">
        <f t="shared" si="52"/>
        <v>101</v>
      </c>
      <c r="S319" s="35">
        <f t="shared" si="56"/>
        <v>60</v>
      </c>
    </row>
    <row r="320" spans="2:19" hidden="1" outlineLevel="1">
      <c r="B320" s="14" t="s">
        <v>39</v>
      </c>
      <c r="C320" s="15" t="s">
        <v>65</v>
      </c>
      <c r="D320" s="52">
        <v>2043</v>
      </c>
      <c r="E320" s="34">
        <v>9</v>
      </c>
      <c r="F320" s="38">
        <f t="shared" si="53"/>
        <v>20298.8389345785</v>
      </c>
      <c r="G320" s="34">
        <f t="shared" si="54"/>
        <v>9</v>
      </c>
      <c r="H320" s="34">
        <f t="shared" si="55"/>
        <v>1</v>
      </c>
      <c r="I320" s="34" t="str">
        <f t="shared" ref="I320:R329" si="57">IF($D320&lt;$Z$18,"",IF(MAX($G320,INDEX($C$65:$F$108,$D320+I$119-2026,$H320))&lt;=12*I$119-$E320+12,MAX($G320,12*I$119-$E320+1,INDEX($C$65:$F$108,$D320+I$119-2026,$H320)),""))</f>
        <v/>
      </c>
      <c r="J320" s="34" t="str">
        <f t="shared" si="57"/>
        <v/>
      </c>
      <c r="K320" s="34" t="str">
        <f t="shared" si="57"/>
        <v/>
      </c>
      <c r="L320" s="34" t="str">
        <f t="shared" si="57"/>
        <v/>
      </c>
      <c r="M320" s="34" t="str">
        <f t="shared" si="57"/>
        <v/>
      </c>
      <c r="N320" s="34">
        <f t="shared" si="57"/>
        <v>60</v>
      </c>
      <c r="O320" s="34">
        <f t="shared" si="57"/>
        <v>64</v>
      </c>
      <c r="P320" s="34">
        <f t="shared" si="57"/>
        <v>76</v>
      </c>
      <c r="Q320" s="34">
        <f t="shared" si="57"/>
        <v>88</v>
      </c>
      <c r="R320" s="34">
        <f t="shared" si="57"/>
        <v>100</v>
      </c>
      <c r="S320" s="35">
        <f t="shared" si="56"/>
        <v>60</v>
      </c>
    </row>
    <row r="321" spans="2:19" hidden="1" outlineLevel="1">
      <c r="B321" s="14" t="s">
        <v>39</v>
      </c>
      <c r="C321" s="15" t="s">
        <v>65</v>
      </c>
      <c r="D321" s="52">
        <v>2043</v>
      </c>
      <c r="E321" s="34">
        <v>10</v>
      </c>
      <c r="F321" s="38">
        <f t="shared" si="53"/>
        <v>20298.8389345785</v>
      </c>
      <c r="G321" s="34">
        <f t="shared" si="54"/>
        <v>9</v>
      </c>
      <c r="H321" s="34">
        <f t="shared" si="55"/>
        <v>1</v>
      </c>
      <c r="I321" s="34" t="str">
        <f t="shared" si="57"/>
        <v/>
      </c>
      <c r="J321" s="34" t="str">
        <f t="shared" si="57"/>
        <v/>
      </c>
      <c r="K321" s="34" t="str">
        <f t="shared" si="57"/>
        <v/>
      </c>
      <c r="L321" s="34" t="str">
        <f t="shared" si="57"/>
        <v/>
      </c>
      <c r="M321" s="34" t="str">
        <f t="shared" si="57"/>
        <v/>
      </c>
      <c r="N321" s="34">
        <f t="shared" si="57"/>
        <v>60</v>
      </c>
      <c r="O321" s="34">
        <f t="shared" si="57"/>
        <v>63</v>
      </c>
      <c r="P321" s="34">
        <f t="shared" si="57"/>
        <v>75</v>
      </c>
      <c r="Q321" s="34">
        <f t="shared" si="57"/>
        <v>87</v>
      </c>
      <c r="R321" s="34">
        <f t="shared" si="57"/>
        <v>99</v>
      </c>
      <c r="S321" s="35">
        <f t="shared" si="56"/>
        <v>60</v>
      </c>
    </row>
    <row r="322" spans="2:19" hidden="1" outlineLevel="1">
      <c r="B322" s="14" t="s">
        <v>39</v>
      </c>
      <c r="C322" s="15" t="s">
        <v>65</v>
      </c>
      <c r="D322" s="52">
        <v>2043</v>
      </c>
      <c r="E322" s="34">
        <v>11</v>
      </c>
      <c r="F322" s="38">
        <f t="shared" si="53"/>
        <v>20298.8389345785</v>
      </c>
      <c r="G322" s="34">
        <f t="shared" si="54"/>
        <v>9</v>
      </c>
      <c r="H322" s="34">
        <f t="shared" si="55"/>
        <v>1</v>
      </c>
      <c r="I322" s="34" t="str">
        <f t="shared" si="57"/>
        <v/>
      </c>
      <c r="J322" s="34" t="str">
        <f t="shared" si="57"/>
        <v/>
      </c>
      <c r="K322" s="34" t="str">
        <f t="shared" si="57"/>
        <v/>
      </c>
      <c r="L322" s="34" t="str">
        <f t="shared" si="57"/>
        <v/>
      </c>
      <c r="M322" s="34" t="str">
        <f t="shared" si="57"/>
        <v/>
      </c>
      <c r="N322" s="34">
        <f t="shared" si="57"/>
        <v>60</v>
      </c>
      <c r="O322" s="34">
        <f t="shared" si="57"/>
        <v>62</v>
      </c>
      <c r="P322" s="34">
        <f t="shared" si="57"/>
        <v>74</v>
      </c>
      <c r="Q322" s="34">
        <f t="shared" si="57"/>
        <v>86</v>
      </c>
      <c r="R322" s="34">
        <f t="shared" si="57"/>
        <v>98</v>
      </c>
      <c r="S322" s="35">
        <f t="shared" si="56"/>
        <v>60</v>
      </c>
    </row>
    <row r="323" spans="2:19" hidden="1" outlineLevel="1">
      <c r="B323" s="14" t="s">
        <v>39</v>
      </c>
      <c r="C323" s="15" t="s">
        <v>65</v>
      </c>
      <c r="D323" s="52">
        <v>2043</v>
      </c>
      <c r="E323" s="34">
        <v>12</v>
      </c>
      <c r="F323" s="38">
        <f t="shared" si="53"/>
        <v>20298.8389345785</v>
      </c>
      <c r="G323" s="34">
        <f t="shared" si="54"/>
        <v>9</v>
      </c>
      <c r="H323" s="34">
        <f t="shared" si="55"/>
        <v>1</v>
      </c>
      <c r="I323" s="34" t="str">
        <f t="shared" si="57"/>
        <v/>
      </c>
      <c r="J323" s="34" t="str">
        <f t="shared" si="57"/>
        <v/>
      </c>
      <c r="K323" s="34" t="str">
        <f t="shared" si="57"/>
        <v/>
      </c>
      <c r="L323" s="34" t="str">
        <f t="shared" si="57"/>
        <v/>
      </c>
      <c r="M323" s="34" t="str">
        <f t="shared" si="57"/>
        <v/>
      </c>
      <c r="N323" s="34">
        <f t="shared" si="57"/>
        <v>60</v>
      </c>
      <c r="O323" s="34">
        <f t="shared" si="57"/>
        <v>61</v>
      </c>
      <c r="P323" s="34">
        <f t="shared" si="57"/>
        <v>73</v>
      </c>
      <c r="Q323" s="34">
        <f t="shared" si="57"/>
        <v>85</v>
      </c>
      <c r="R323" s="34">
        <f t="shared" si="57"/>
        <v>97</v>
      </c>
      <c r="S323" s="35">
        <f t="shared" si="56"/>
        <v>60</v>
      </c>
    </row>
    <row r="324" spans="2:19" hidden="1" outlineLevel="1">
      <c r="B324" s="14" t="s">
        <v>39</v>
      </c>
      <c r="C324" s="15" t="s">
        <v>65</v>
      </c>
      <c r="D324" s="52">
        <v>2044</v>
      </c>
      <c r="E324" s="34">
        <v>1</v>
      </c>
      <c r="F324" s="38">
        <f t="shared" si="53"/>
        <v>20407.736252137165</v>
      </c>
      <c r="G324" s="34">
        <f t="shared" si="54"/>
        <v>9</v>
      </c>
      <c r="H324" s="34">
        <f t="shared" si="55"/>
        <v>1</v>
      </c>
      <c r="I324" s="34" t="str">
        <f t="shared" si="57"/>
        <v/>
      </c>
      <c r="J324" s="34" t="str">
        <f t="shared" si="57"/>
        <v/>
      </c>
      <c r="K324" s="34" t="str">
        <f t="shared" si="57"/>
        <v/>
      </c>
      <c r="L324" s="34" t="str">
        <f t="shared" si="57"/>
        <v/>
      </c>
      <c r="M324" s="34" t="str">
        <f t="shared" si="57"/>
        <v/>
      </c>
      <c r="N324" s="34">
        <f t="shared" si="57"/>
        <v>60</v>
      </c>
      <c r="O324" s="34">
        <f t="shared" si="57"/>
        <v>72</v>
      </c>
      <c r="P324" s="34">
        <f t="shared" si="57"/>
        <v>84</v>
      </c>
      <c r="Q324" s="34">
        <f t="shared" si="57"/>
        <v>96</v>
      </c>
      <c r="R324" s="34">
        <f t="shared" si="57"/>
        <v>108</v>
      </c>
      <c r="S324" s="35">
        <f t="shared" si="56"/>
        <v>60</v>
      </c>
    </row>
    <row r="325" spans="2:19" hidden="1" outlineLevel="1">
      <c r="B325" s="14" t="s">
        <v>39</v>
      </c>
      <c r="C325" s="15" t="s">
        <v>65</v>
      </c>
      <c r="D325" s="52">
        <v>2044</v>
      </c>
      <c r="E325" s="34">
        <v>2</v>
      </c>
      <c r="F325" s="38">
        <f t="shared" si="53"/>
        <v>20407.736252137165</v>
      </c>
      <c r="G325" s="34">
        <f t="shared" si="54"/>
        <v>9</v>
      </c>
      <c r="H325" s="34">
        <f t="shared" si="55"/>
        <v>1</v>
      </c>
      <c r="I325" s="34" t="str">
        <f t="shared" si="57"/>
        <v/>
      </c>
      <c r="J325" s="34" t="str">
        <f t="shared" si="57"/>
        <v/>
      </c>
      <c r="K325" s="34" t="str">
        <f t="shared" si="57"/>
        <v/>
      </c>
      <c r="L325" s="34" t="str">
        <f t="shared" si="57"/>
        <v/>
      </c>
      <c r="M325" s="34" t="str">
        <f t="shared" si="57"/>
        <v/>
      </c>
      <c r="N325" s="34">
        <f t="shared" si="57"/>
        <v>60</v>
      </c>
      <c r="O325" s="34">
        <f t="shared" si="57"/>
        <v>71</v>
      </c>
      <c r="P325" s="34">
        <f t="shared" si="57"/>
        <v>83</v>
      </c>
      <c r="Q325" s="34">
        <f t="shared" si="57"/>
        <v>95</v>
      </c>
      <c r="R325" s="34">
        <f t="shared" si="57"/>
        <v>107</v>
      </c>
      <c r="S325" s="35">
        <f t="shared" si="56"/>
        <v>60</v>
      </c>
    </row>
    <row r="326" spans="2:19" hidden="1" outlineLevel="1">
      <c r="B326" s="14" t="s">
        <v>39</v>
      </c>
      <c r="C326" s="15" t="s">
        <v>65</v>
      </c>
      <c r="D326" s="52">
        <v>2044</v>
      </c>
      <c r="E326" s="34">
        <v>3</v>
      </c>
      <c r="F326" s="38">
        <f t="shared" si="53"/>
        <v>20407.736252137165</v>
      </c>
      <c r="G326" s="34">
        <f t="shared" si="54"/>
        <v>9</v>
      </c>
      <c r="H326" s="34">
        <f t="shared" si="55"/>
        <v>1</v>
      </c>
      <c r="I326" s="34" t="str">
        <f t="shared" si="57"/>
        <v/>
      </c>
      <c r="J326" s="34" t="str">
        <f t="shared" si="57"/>
        <v/>
      </c>
      <c r="K326" s="34" t="str">
        <f t="shared" si="57"/>
        <v/>
      </c>
      <c r="L326" s="34" t="str">
        <f t="shared" si="57"/>
        <v/>
      </c>
      <c r="M326" s="34" t="str">
        <f t="shared" si="57"/>
        <v/>
      </c>
      <c r="N326" s="34">
        <f t="shared" si="57"/>
        <v>60</v>
      </c>
      <c r="O326" s="34">
        <f t="shared" si="57"/>
        <v>70</v>
      </c>
      <c r="P326" s="34">
        <f t="shared" si="57"/>
        <v>82</v>
      </c>
      <c r="Q326" s="34">
        <f t="shared" si="57"/>
        <v>94</v>
      </c>
      <c r="R326" s="34">
        <f t="shared" si="57"/>
        <v>106</v>
      </c>
      <c r="S326" s="35">
        <f t="shared" si="56"/>
        <v>60</v>
      </c>
    </row>
    <row r="327" spans="2:19" hidden="1" outlineLevel="1">
      <c r="B327" s="14" t="s">
        <v>39</v>
      </c>
      <c r="C327" s="15" t="s">
        <v>65</v>
      </c>
      <c r="D327" s="52">
        <v>2044</v>
      </c>
      <c r="E327" s="34">
        <v>4</v>
      </c>
      <c r="F327" s="38">
        <f t="shared" si="53"/>
        <v>20407.736252137165</v>
      </c>
      <c r="G327" s="34">
        <f t="shared" si="54"/>
        <v>9</v>
      </c>
      <c r="H327" s="34">
        <f t="shared" si="55"/>
        <v>1</v>
      </c>
      <c r="I327" s="34" t="str">
        <f t="shared" si="57"/>
        <v/>
      </c>
      <c r="J327" s="34" t="str">
        <f t="shared" si="57"/>
        <v/>
      </c>
      <c r="K327" s="34" t="str">
        <f t="shared" si="57"/>
        <v/>
      </c>
      <c r="L327" s="34" t="str">
        <f t="shared" si="57"/>
        <v/>
      </c>
      <c r="M327" s="34" t="str">
        <f t="shared" si="57"/>
        <v/>
      </c>
      <c r="N327" s="34">
        <f t="shared" si="57"/>
        <v>60</v>
      </c>
      <c r="O327" s="34">
        <f t="shared" si="57"/>
        <v>69</v>
      </c>
      <c r="P327" s="34">
        <f t="shared" si="57"/>
        <v>81</v>
      </c>
      <c r="Q327" s="34">
        <f t="shared" si="57"/>
        <v>93</v>
      </c>
      <c r="R327" s="34">
        <f t="shared" si="57"/>
        <v>105</v>
      </c>
      <c r="S327" s="35">
        <f t="shared" si="56"/>
        <v>60</v>
      </c>
    </row>
    <row r="328" spans="2:19" hidden="1" outlineLevel="1">
      <c r="B328" s="14" t="s">
        <v>39</v>
      </c>
      <c r="C328" s="15" t="s">
        <v>65</v>
      </c>
      <c r="D328" s="52">
        <v>2044</v>
      </c>
      <c r="E328" s="34">
        <v>5</v>
      </c>
      <c r="F328" s="38">
        <f t="shared" si="53"/>
        <v>20407.736252137165</v>
      </c>
      <c r="G328" s="34">
        <f t="shared" si="54"/>
        <v>9</v>
      </c>
      <c r="H328" s="34">
        <f t="shared" si="55"/>
        <v>1</v>
      </c>
      <c r="I328" s="34" t="str">
        <f t="shared" si="57"/>
        <v/>
      </c>
      <c r="J328" s="34" t="str">
        <f t="shared" si="57"/>
        <v/>
      </c>
      <c r="K328" s="34" t="str">
        <f t="shared" si="57"/>
        <v/>
      </c>
      <c r="L328" s="34" t="str">
        <f t="shared" si="57"/>
        <v/>
      </c>
      <c r="M328" s="34" t="str">
        <f t="shared" si="57"/>
        <v/>
      </c>
      <c r="N328" s="34">
        <f t="shared" si="57"/>
        <v>60</v>
      </c>
      <c r="O328" s="34">
        <f t="shared" si="57"/>
        <v>68</v>
      </c>
      <c r="P328" s="34">
        <f t="shared" si="57"/>
        <v>80</v>
      </c>
      <c r="Q328" s="34">
        <f t="shared" si="57"/>
        <v>92</v>
      </c>
      <c r="R328" s="34">
        <f t="shared" si="57"/>
        <v>104</v>
      </c>
      <c r="S328" s="35">
        <f t="shared" si="56"/>
        <v>60</v>
      </c>
    </row>
    <row r="329" spans="2:19" hidden="1" outlineLevel="1">
      <c r="B329" s="14" t="s">
        <v>39</v>
      </c>
      <c r="C329" s="15" t="s">
        <v>65</v>
      </c>
      <c r="D329" s="52">
        <v>2044</v>
      </c>
      <c r="E329" s="34">
        <v>6</v>
      </c>
      <c r="F329" s="38">
        <f t="shared" si="53"/>
        <v>20407.736252137165</v>
      </c>
      <c r="G329" s="34">
        <f t="shared" si="54"/>
        <v>9</v>
      </c>
      <c r="H329" s="34">
        <f t="shared" si="55"/>
        <v>1</v>
      </c>
      <c r="I329" s="34" t="str">
        <f t="shared" si="57"/>
        <v/>
      </c>
      <c r="J329" s="34" t="str">
        <f t="shared" si="57"/>
        <v/>
      </c>
      <c r="K329" s="34" t="str">
        <f t="shared" si="57"/>
        <v/>
      </c>
      <c r="L329" s="34" t="str">
        <f t="shared" si="57"/>
        <v/>
      </c>
      <c r="M329" s="34" t="str">
        <f t="shared" si="57"/>
        <v/>
      </c>
      <c r="N329" s="34">
        <f t="shared" si="57"/>
        <v>60</v>
      </c>
      <c r="O329" s="34">
        <f t="shared" si="57"/>
        <v>67</v>
      </c>
      <c r="P329" s="34">
        <f t="shared" si="57"/>
        <v>79</v>
      </c>
      <c r="Q329" s="34">
        <f t="shared" si="57"/>
        <v>91</v>
      </c>
      <c r="R329" s="34">
        <f t="shared" si="57"/>
        <v>103</v>
      </c>
      <c r="S329" s="35">
        <f t="shared" si="56"/>
        <v>60</v>
      </c>
    </row>
    <row r="330" spans="2:19" hidden="1" outlineLevel="1">
      <c r="B330" s="14" t="s">
        <v>39</v>
      </c>
      <c r="C330" s="15" t="s">
        <v>65</v>
      </c>
      <c r="D330" s="52">
        <v>2044</v>
      </c>
      <c r="E330" s="34">
        <v>7</v>
      </c>
      <c r="F330" s="38">
        <f t="shared" si="53"/>
        <v>20407.736252137165</v>
      </c>
      <c r="G330" s="34">
        <f t="shared" si="54"/>
        <v>9</v>
      </c>
      <c r="H330" s="34">
        <f t="shared" si="55"/>
        <v>1</v>
      </c>
      <c r="I330" s="34" t="str">
        <f t="shared" ref="I330:R339" si="58">IF($D330&lt;$Z$18,"",IF(MAX($G330,INDEX($C$65:$F$108,$D330+I$119-2026,$H330))&lt;=12*I$119-$E330+12,MAX($G330,12*I$119-$E330+1,INDEX($C$65:$F$108,$D330+I$119-2026,$H330)),""))</f>
        <v/>
      </c>
      <c r="J330" s="34" t="str">
        <f t="shared" si="58"/>
        <v/>
      </c>
      <c r="K330" s="34" t="str">
        <f t="shared" si="58"/>
        <v/>
      </c>
      <c r="L330" s="34" t="str">
        <f t="shared" si="58"/>
        <v/>
      </c>
      <c r="M330" s="34" t="str">
        <f t="shared" si="58"/>
        <v/>
      </c>
      <c r="N330" s="34">
        <f t="shared" si="58"/>
        <v>60</v>
      </c>
      <c r="O330" s="34">
        <f t="shared" si="58"/>
        <v>66</v>
      </c>
      <c r="P330" s="34">
        <f t="shared" si="58"/>
        <v>78</v>
      </c>
      <c r="Q330" s="34">
        <f t="shared" si="58"/>
        <v>90</v>
      </c>
      <c r="R330" s="34">
        <f t="shared" si="58"/>
        <v>102</v>
      </c>
      <c r="S330" s="35">
        <f t="shared" si="56"/>
        <v>60</v>
      </c>
    </row>
    <row r="331" spans="2:19" hidden="1" outlineLevel="1">
      <c r="B331" s="14" t="s">
        <v>39</v>
      </c>
      <c r="C331" s="15" t="s">
        <v>65</v>
      </c>
      <c r="D331" s="52">
        <v>2044</v>
      </c>
      <c r="E331" s="34">
        <v>8</v>
      </c>
      <c r="F331" s="38">
        <f t="shared" si="53"/>
        <v>20407.736252137165</v>
      </c>
      <c r="G331" s="34">
        <f t="shared" si="54"/>
        <v>9</v>
      </c>
      <c r="H331" s="34">
        <f t="shared" si="55"/>
        <v>1</v>
      </c>
      <c r="I331" s="34" t="str">
        <f t="shared" si="58"/>
        <v/>
      </c>
      <c r="J331" s="34" t="str">
        <f t="shared" si="58"/>
        <v/>
      </c>
      <c r="K331" s="34" t="str">
        <f t="shared" si="58"/>
        <v/>
      </c>
      <c r="L331" s="34" t="str">
        <f t="shared" si="58"/>
        <v/>
      </c>
      <c r="M331" s="34" t="str">
        <f t="shared" si="58"/>
        <v/>
      </c>
      <c r="N331" s="34">
        <f t="shared" si="58"/>
        <v>60</v>
      </c>
      <c r="O331" s="34">
        <f t="shared" si="58"/>
        <v>65</v>
      </c>
      <c r="P331" s="34">
        <f t="shared" si="58"/>
        <v>77</v>
      </c>
      <c r="Q331" s="34">
        <f t="shared" si="58"/>
        <v>89</v>
      </c>
      <c r="R331" s="34">
        <f t="shared" si="58"/>
        <v>101</v>
      </c>
      <c r="S331" s="35">
        <f t="shared" si="56"/>
        <v>60</v>
      </c>
    </row>
    <row r="332" spans="2:19" hidden="1" outlineLevel="1">
      <c r="B332" s="14" t="s">
        <v>39</v>
      </c>
      <c r="C332" s="15" t="s">
        <v>65</v>
      </c>
      <c r="D332" s="52">
        <v>2044</v>
      </c>
      <c r="E332" s="34">
        <v>9</v>
      </c>
      <c r="F332" s="38">
        <f t="shared" si="53"/>
        <v>20407.736252137165</v>
      </c>
      <c r="G332" s="34">
        <f t="shared" si="54"/>
        <v>9</v>
      </c>
      <c r="H332" s="34">
        <f t="shared" si="55"/>
        <v>1</v>
      </c>
      <c r="I332" s="34" t="str">
        <f t="shared" si="58"/>
        <v/>
      </c>
      <c r="J332" s="34" t="str">
        <f t="shared" si="58"/>
        <v/>
      </c>
      <c r="K332" s="34" t="str">
        <f t="shared" si="58"/>
        <v/>
      </c>
      <c r="L332" s="34" t="str">
        <f t="shared" si="58"/>
        <v/>
      </c>
      <c r="M332" s="34" t="str">
        <f t="shared" si="58"/>
        <v/>
      </c>
      <c r="N332" s="34">
        <f t="shared" si="58"/>
        <v>60</v>
      </c>
      <c r="O332" s="34">
        <f t="shared" si="58"/>
        <v>64</v>
      </c>
      <c r="P332" s="34">
        <f t="shared" si="58"/>
        <v>76</v>
      </c>
      <c r="Q332" s="34">
        <f t="shared" si="58"/>
        <v>88</v>
      </c>
      <c r="R332" s="34">
        <f t="shared" si="58"/>
        <v>100</v>
      </c>
      <c r="S332" s="35">
        <f t="shared" si="56"/>
        <v>60</v>
      </c>
    </row>
    <row r="333" spans="2:19" hidden="1" outlineLevel="1">
      <c r="B333" s="14" t="s">
        <v>39</v>
      </c>
      <c r="C333" s="15" t="s">
        <v>65</v>
      </c>
      <c r="D333" s="52">
        <v>2044</v>
      </c>
      <c r="E333" s="34">
        <v>10</v>
      </c>
      <c r="F333" s="38">
        <f t="shared" si="53"/>
        <v>20407.736252137165</v>
      </c>
      <c r="G333" s="34">
        <f t="shared" si="54"/>
        <v>9</v>
      </c>
      <c r="H333" s="34">
        <f t="shared" si="55"/>
        <v>1</v>
      </c>
      <c r="I333" s="34" t="str">
        <f t="shared" si="58"/>
        <v/>
      </c>
      <c r="J333" s="34" t="str">
        <f t="shared" si="58"/>
        <v/>
      </c>
      <c r="K333" s="34" t="str">
        <f t="shared" si="58"/>
        <v/>
      </c>
      <c r="L333" s="34" t="str">
        <f t="shared" si="58"/>
        <v/>
      </c>
      <c r="M333" s="34" t="str">
        <f t="shared" si="58"/>
        <v/>
      </c>
      <c r="N333" s="34">
        <f t="shared" si="58"/>
        <v>60</v>
      </c>
      <c r="O333" s="34">
        <f t="shared" si="58"/>
        <v>63</v>
      </c>
      <c r="P333" s="34">
        <f t="shared" si="58"/>
        <v>75</v>
      </c>
      <c r="Q333" s="34">
        <f t="shared" si="58"/>
        <v>87</v>
      </c>
      <c r="R333" s="34">
        <f t="shared" si="58"/>
        <v>99</v>
      </c>
      <c r="S333" s="35">
        <f t="shared" si="56"/>
        <v>60</v>
      </c>
    </row>
    <row r="334" spans="2:19" hidden="1" outlineLevel="1">
      <c r="B334" s="14" t="s">
        <v>39</v>
      </c>
      <c r="C334" s="15" t="s">
        <v>65</v>
      </c>
      <c r="D334" s="52">
        <v>2044</v>
      </c>
      <c r="E334" s="34">
        <v>11</v>
      </c>
      <c r="F334" s="38">
        <f t="shared" si="53"/>
        <v>20407.736252137165</v>
      </c>
      <c r="G334" s="34">
        <f t="shared" si="54"/>
        <v>9</v>
      </c>
      <c r="H334" s="34">
        <f t="shared" si="55"/>
        <v>1</v>
      </c>
      <c r="I334" s="34" t="str">
        <f t="shared" si="58"/>
        <v/>
      </c>
      <c r="J334" s="34" t="str">
        <f t="shared" si="58"/>
        <v/>
      </c>
      <c r="K334" s="34" t="str">
        <f t="shared" si="58"/>
        <v/>
      </c>
      <c r="L334" s="34" t="str">
        <f t="shared" si="58"/>
        <v/>
      </c>
      <c r="M334" s="34" t="str">
        <f t="shared" si="58"/>
        <v/>
      </c>
      <c r="N334" s="34">
        <f t="shared" si="58"/>
        <v>60</v>
      </c>
      <c r="O334" s="34">
        <f t="shared" si="58"/>
        <v>62</v>
      </c>
      <c r="P334" s="34">
        <f t="shared" si="58"/>
        <v>74</v>
      </c>
      <c r="Q334" s="34">
        <f t="shared" si="58"/>
        <v>86</v>
      </c>
      <c r="R334" s="34">
        <f t="shared" si="58"/>
        <v>98</v>
      </c>
      <c r="S334" s="35">
        <f t="shared" si="56"/>
        <v>60</v>
      </c>
    </row>
    <row r="335" spans="2:19" hidden="1" outlineLevel="1">
      <c r="B335" s="14" t="s">
        <v>39</v>
      </c>
      <c r="C335" s="15" t="s">
        <v>65</v>
      </c>
      <c r="D335" s="52">
        <v>2044</v>
      </c>
      <c r="E335" s="34">
        <v>12</v>
      </c>
      <c r="F335" s="38">
        <f t="shared" si="53"/>
        <v>20407.736252137165</v>
      </c>
      <c r="G335" s="34">
        <f t="shared" si="54"/>
        <v>9</v>
      </c>
      <c r="H335" s="34">
        <f t="shared" si="55"/>
        <v>1</v>
      </c>
      <c r="I335" s="34" t="str">
        <f t="shared" si="58"/>
        <v/>
      </c>
      <c r="J335" s="34" t="str">
        <f t="shared" si="58"/>
        <v/>
      </c>
      <c r="K335" s="34" t="str">
        <f t="shared" si="58"/>
        <v/>
      </c>
      <c r="L335" s="34" t="str">
        <f t="shared" si="58"/>
        <v/>
      </c>
      <c r="M335" s="34" t="str">
        <f t="shared" si="58"/>
        <v/>
      </c>
      <c r="N335" s="34">
        <f t="shared" si="58"/>
        <v>60</v>
      </c>
      <c r="O335" s="34">
        <f t="shared" si="58"/>
        <v>61</v>
      </c>
      <c r="P335" s="34">
        <f t="shared" si="58"/>
        <v>73</v>
      </c>
      <c r="Q335" s="34">
        <f t="shared" si="58"/>
        <v>85</v>
      </c>
      <c r="R335" s="34">
        <f t="shared" si="58"/>
        <v>97</v>
      </c>
      <c r="S335" s="35">
        <f t="shared" si="56"/>
        <v>60</v>
      </c>
    </row>
    <row r="336" spans="2:19" hidden="1" outlineLevel="1">
      <c r="B336" s="14" t="s">
        <v>39</v>
      </c>
      <c r="C336" s="15" t="s">
        <v>65</v>
      </c>
      <c r="D336" s="52">
        <v>2045</v>
      </c>
      <c r="E336" s="34">
        <v>1</v>
      </c>
      <c r="F336" s="38">
        <f t="shared" si="53"/>
        <v>20426.420564560551</v>
      </c>
      <c r="G336" s="34">
        <f t="shared" si="54"/>
        <v>9</v>
      </c>
      <c r="H336" s="34">
        <f t="shared" si="55"/>
        <v>1</v>
      </c>
      <c r="I336" s="34" t="str">
        <f t="shared" si="58"/>
        <v/>
      </c>
      <c r="J336" s="34" t="str">
        <f t="shared" si="58"/>
        <v/>
      </c>
      <c r="K336" s="34" t="str">
        <f t="shared" si="58"/>
        <v/>
      </c>
      <c r="L336" s="34" t="str">
        <f t="shared" si="58"/>
        <v/>
      </c>
      <c r="M336" s="34" t="str">
        <f t="shared" si="58"/>
        <v/>
      </c>
      <c r="N336" s="34">
        <f t="shared" si="58"/>
        <v>60</v>
      </c>
      <c r="O336" s="34">
        <f t="shared" si="58"/>
        <v>72</v>
      </c>
      <c r="P336" s="34">
        <f t="shared" si="58"/>
        <v>84</v>
      </c>
      <c r="Q336" s="34">
        <f t="shared" si="58"/>
        <v>96</v>
      </c>
      <c r="R336" s="34">
        <f t="shared" si="58"/>
        <v>108</v>
      </c>
      <c r="S336" s="35">
        <f t="shared" si="56"/>
        <v>60</v>
      </c>
    </row>
    <row r="337" spans="2:19" hidden="1" outlineLevel="1">
      <c r="B337" s="14" t="s">
        <v>39</v>
      </c>
      <c r="C337" s="15" t="s">
        <v>65</v>
      </c>
      <c r="D337" s="52">
        <v>2045</v>
      </c>
      <c r="E337" s="34">
        <v>2</v>
      </c>
      <c r="F337" s="38">
        <f t="shared" si="53"/>
        <v>20426.420564560551</v>
      </c>
      <c r="G337" s="34">
        <f t="shared" si="54"/>
        <v>9</v>
      </c>
      <c r="H337" s="34">
        <f t="shared" si="55"/>
        <v>1</v>
      </c>
      <c r="I337" s="34" t="str">
        <f t="shared" si="58"/>
        <v/>
      </c>
      <c r="J337" s="34" t="str">
        <f t="shared" si="58"/>
        <v/>
      </c>
      <c r="K337" s="34" t="str">
        <f t="shared" si="58"/>
        <v/>
      </c>
      <c r="L337" s="34" t="str">
        <f t="shared" si="58"/>
        <v/>
      </c>
      <c r="M337" s="34" t="str">
        <f t="shared" si="58"/>
        <v/>
      </c>
      <c r="N337" s="34">
        <f t="shared" si="58"/>
        <v>60</v>
      </c>
      <c r="O337" s="34">
        <f t="shared" si="58"/>
        <v>71</v>
      </c>
      <c r="P337" s="34">
        <f t="shared" si="58"/>
        <v>83</v>
      </c>
      <c r="Q337" s="34">
        <f t="shared" si="58"/>
        <v>95</v>
      </c>
      <c r="R337" s="34">
        <f t="shared" si="58"/>
        <v>107</v>
      </c>
      <c r="S337" s="35">
        <f t="shared" si="56"/>
        <v>60</v>
      </c>
    </row>
    <row r="338" spans="2:19" hidden="1" outlineLevel="1">
      <c r="B338" s="14" t="s">
        <v>39</v>
      </c>
      <c r="C338" s="15" t="s">
        <v>65</v>
      </c>
      <c r="D338" s="52">
        <v>2045</v>
      </c>
      <c r="E338" s="34">
        <v>3</v>
      </c>
      <c r="F338" s="38">
        <f t="shared" si="53"/>
        <v>20426.420564560551</v>
      </c>
      <c r="G338" s="34">
        <f t="shared" si="54"/>
        <v>9</v>
      </c>
      <c r="H338" s="34">
        <f t="shared" si="55"/>
        <v>1</v>
      </c>
      <c r="I338" s="34" t="str">
        <f t="shared" si="58"/>
        <v/>
      </c>
      <c r="J338" s="34" t="str">
        <f t="shared" si="58"/>
        <v/>
      </c>
      <c r="K338" s="34" t="str">
        <f t="shared" si="58"/>
        <v/>
      </c>
      <c r="L338" s="34" t="str">
        <f t="shared" si="58"/>
        <v/>
      </c>
      <c r="M338" s="34" t="str">
        <f t="shared" si="58"/>
        <v/>
      </c>
      <c r="N338" s="34">
        <f t="shared" si="58"/>
        <v>60</v>
      </c>
      <c r="O338" s="34">
        <f t="shared" si="58"/>
        <v>70</v>
      </c>
      <c r="P338" s="34">
        <f t="shared" si="58"/>
        <v>82</v>
      </c>
      <c r="Q338" s="34">
        <f t="shared" si="58"/>
        <v>94</v>
      </c>
      <c r="R338" s="34">
        <f t="shared" si="58"/>
        <v>106</v>
      </c>
      <c r="S338" s="35">
        <f t="shared" si="56"/>
        <v>60</v>
      </c>
    </row>
    <row r="339" spans="2:19" hidden="1" outlineLevel="1">
      <c r="B339" s="14" t="s">
        <v>39</v>
      </c>
      <c r="C339" s="15" t="s">
        <v>65</v>
      </c>
      <c r="D339" s="52">
        <v>2045</v>
      </c>
      <c r="E339" s="34">
        <v>4</v>
      </c>
      <c r="F339" s="38">
        <f t="shared" si="53"/>
        <v>20426.420564560551</v>
      </c>
      <c r="G339" s="34">
        <f t="shared" si="54"/>
        <v>9</v>
      </c>
      <c r="H339" s="34">
        <f t="shared" si="55"/>
        <v>1</v>
      </c>
      <c r="I339" s="34" t="str">
        <f t="shared" si="58"/>
        <v/>
      </c>
      <c r="J339" s="34" t="str">
        <f t="shared" si="58"/>
        <v/>
      </c>
      <c r="K339" s="34" t="str">
        <f t="shared" si="58"/>
        <v/>
      </c>
      <c r="L339" s="34" t="str">
        <f t="shared" si="58"/>
        <v/>
      </c>
      <c r="M339" s="34" t="str">
        <f t="shared" si="58"/>
        <v/>
      </c>
      <c r="N339" s="34">
        <f t="shared" si="58"/>
        <v>60</v>
      </c>
      <c r="O339" s="34">
        <f t="shared" si="58"/>
        <v>69</v>
      </c>
      <c r="P339" s="34">
        <f t="shared" si="58"/>
        <v>81</v>
      </c>
      <c r="Q339" s="34">
        <f t="shared" si="58"/>
        <v>93</v>
      </c>
      <c r="R339" s="34">
        <f t="shared" si="58"/>
        <v>105</v>
      </c>
      <c r="S339" s="35">
        <f t="shared" si="56"/>
        <v>60</v>
      </c>
    </row>
    <row r="340" spans="2:19" hidden="1" outlineLevel="1">
      <c r="B340" s="14" t="s">
        <v>39</v>
      </c>
      <c r="C340" s="15" t="s">
        <v>65</v>
      </c>
      <c r="D340" s="52">
        <v>2045</v>
      </c>
      <c r="E340" s="34">
        <v>5</v>
      </c>
      <c r="F340" s="38">
        <f t="shared" si="53"/>
        <v>20426.420564560551</v>
      </c>
      <c r="G340" s="34">
        <f t="shared" si="54"/>
        <v>9</v>
      </c>
      <c r="H340" s="34">
        <f t="shared" si="55"/>
        <v>1</v>
      </c>
      <c r="I340" s="34" t="str">
        <f t="shared" ref="I340:R349" si="59">IF($D340&lt;$Z$18,"",IF(MAX($G340,INDEX($C$65:$F$108,$D340+I$119-2026,$H340))&lt;=12*I$119-$E340+12,MAX($G340,12*I$119-$E340+1,INDEX($C$65:$F$108,$D340+I$119-2026,$H340)),""))</f>
        <v/>
      </c>
      <c r="J340" s="34" t="str">
        <f t="shared" si="59"/>
        <v/>
      </c>
      <c r="K340" s="34" t="str">
        <f t="shared" si="59"/>
        <v/>
      </c>
      <c r="L340" s="34" t="str">
        <f t="shared" si="59"/>
        <v/>
      </c>
      <c r="M340" s="34" t="str">
        <f t="shared" si="59"/>
        <v/>
      </c>
      <c r="N340" s="34">
        <f t="shared" si="59"/>
        <v>60</v>
      </c>
      <c r="O340" s="34">
        <f t="shared" si="59"/>
        <v>68</v>
      </c>
      <c r="P340" s="34">
        <f t="shared" si="59"/>
        <v>80</v>
      </c>
      <c r="Q340" s="34">
        <f t="shared" si="59"/>
        <v>92</v>
      </c>
      <c r="R340" s="34">
        <f t="shared" si="59"/>
        <v>104</v>
      </c>
      <c r="S340" s="35">
        <f t="shared" si="56"/>
        <v>60</v>
      </c>
    </row>
    <row r="341" spans="2:19" hidden="1" outlineLevel="1">
      <c r="B341" s="14" t="s">
        <v>39</v>
      </c>
      <c r="C341" s="15" t="s">
        <v>65</v>
      </c>
      <c r="D341" s="52">
        <v>2045</v>
      </c>
      <c r="E341" s="34">
        <v>6</v>
      </c>
      <c r="F341" s="38">
        <f t="shared" si="53"/>
        <v>20426.420564560551</v>
      </c>
      <c r="G341" s="34">
        <f t="shared" si="54"/>
        <v>9</v>
      </c>
      <c r="H341" s="34">
        <f t="shared" si="55"/>
        <v>1</v>
      </c>
      <c r="I341" s="34" t="str">
        <f t="shared" si="59"/>
        <v/>
      </c>
      <c r="J341" s="34" t="str">
        <f t="shared" si="59"/>
        <v/>
      </c>
      <c r="K341" s="34" t="str">
        <f t="shared" si="59"/>
        <v/>
      </c>
      <c r="L341" s="34" t="str">
        <f t="shared" si="59"/>
        <v/>
      </c>
      <c r="M341" s="34" t="str">
        <f t="shared" si="59"/>
        <v/>
      </c>
      <c r="N341" s="34">
        <f t="shared" si="59"/>
        <v>60</v>
      </c>
      <c r="O341" s="34">
        <f t="shared" si="59"/>
        <v>67</v>
      </c>
      <c r="P341" s="34">
        <f t="shared" si="59"/>
        <v>79</v>
      </c>
      <c r="Q341" s="34">
        <f t="shared" si="59"/>
        <v>91</v>
      </c>
      <c r="R341" s="34">
        <f t="shared" si="59"/>
        <v>103</v>
      </c>
      <c r="S341" s="35">
        <f t="shared" si="56"/>
        <v>60</v>
      </c>
    </row>
    <row r="342" spans="2:19" hidden="1" outlineLevel="1">
      <c r="B342" s="14" t="s">
        <v>39</v>
      </c>
      <c r="C342" s="15" t="s">
        <v>65</v>
      </c>
      <c r="D342" s="52">
        <v>2045</v>
      </c>
      <c r="E342" s="34">
        <v>7</v>
      </c>
      <c r="F342" s="38">
        <f t="shared" si="53"/>
        <v>20426.420564560551</v>
      </c>
      <c r="G342" s="34">
        <f t="shared" si="54"/>
        <v>9</v>
      </c>
      <c r="H342" s="34">
        <f t="shared" si="55"/>
        <v>1</v>
      </c>
      <c r="I342" s="34" t="str">
        <f t="shared" si="59"/>
        <v/>
      </c>
      <c r="J342" s="34" t="str">
        <f t="shared" si="59"/>
        <v/>
      </c>
      <c r="K342" s="34" t="str">
        <f t="shared" si="59"/>
        <v/>
      </c>
      <c r="L342" s="34" t="str">
        <f t="shared" si="59"/>
        <v/>
      </c>
      <c r="M342" s="34" t="str">
        <f t="shared" si="59"/>
        <v/>
      </c>
      <c r="N342" s="34">
        <f t="shared" si="59"/>
        <v>60</v>
      </c>
      <c r="O342" s="34">
        <f t="shared" si="59"/>
        <v>66</v>
      </c>
      <c r="P342" s="34">
        <f t="shared" si="59"/>
        <v>78</v>
      </c>
      <c r="Q342" s="34">
        <f t="shared" si="59"/>
        <v>90</v>
      </c>
      <c r="R342" s="34">
        <f t="shared" si="59"/>
        <v>102</v>
      </c>
      <c r="S342" s="35">
        <f t="shared" si="56"/>
        <v>60</v>
      </c>
    </row>
    <row r="343" spans="2:19" hidden="1" outlineLevel="1">
      <c r="B343" s="14" t="s">
        <v>39</v>
      </c>
      <c r="C343" s="15" t="s">
        <v>65</v>
      </c>
      <c r="D343" s="52">
        <v>2045</v>
      </c>
      <c r="E343" s="34">
        <v>8</v>
      </c>
      <c r="F343" s="38">
        <f t="shared" si="53"/>
        <v>20426.420564560551</v>
      </c>
      <c r="G343" s="34">
        <f t="shared" si="54"/>
        <v>9</v>
      </c>
      <c r="H343" s="34">
        <f t="shared" si="55"/>
        <v>1</v>
      </c>
      <c r="I343" s="34" t="str">
        <f t="shared" si="59"/>
        <v/>
      </c>
      <c r="J343" s="34" t="str">
        <f t="shared" si="59"/>
        <v/>
      </c>
      <c r="K343" s="34" t="str">
        <f t="shared" si="59"/>
        <v/>
      </c>
      <c r="L343" s="34" t="str">
        <f t="shared" si="59"/>
        <v/>
      </c>
      <c r="M343" s="34" t="str">
        <f t="shared" si="59"/>
        <v/>
      </c>
      <c r="N343" s="34">
        <f t="shared" si="59"/>
        <v>60</v>
      </c>
      <c r="O343" s="34">
        <f t="shared" si="59"/>
        <v>65</v>
      </c>
      <c r="P343" s="34">
        <f t="shared" si="59"/>
        <v>77</v>
      </c>
      <c r="Q343" s="34">
        <f t="shared" si="59"/>
        <v>89</v>
      </c>
      <c r="R343" s="34">
        <f t="shared" si="59"/>
        <v>101</v>
      </c>
      <c r="S343" s="35">
        <f t="shared" si="56"/>
        <v>60</v>
      </c>
    </row>
    <row r="344" spans="2:19" hidden="1" outlineLevel="1">
      <c r="B344" s="14" t="s">
        <v>39</v>
      </c>
      <c r="C344" s="15" t="s">
        <v>65</v>
      </c>
      <c r="D344" s="52">
        <v>2045</v>
      </c>
      <c r="E344" s="34">
        <v>9</v>
      </c>
      <c r="F344" s="38">
        <f t="shared" si="53"/>
        <v>20426.420564560551</v>
      </c>
      <c r="G344" s="34">
        <f t="shared" si="54"/>
        <v>9</v>
      </c>
      <c r="H344" s="34">
        <f t="shared" si="55"/>
        <v>1</v>
      </c>
      <c r="I344" s="34" t="str">
        <f t="shared" si="59"/>
        <v/>
      </c>
      <c r="J344" s="34" t="str">
        <f t="shared" si="59"/>
        <v/>
      </c>
      <c r="K344" s="34" t="str">
        <f t="shared" si="59"/>
        <v/>
      </c>
      <c r="L344" s="34" t="str">
        <f t="shared" si="59"/>
        <v/>
      </c>
      <c r="M344" s="34" t="str">
        <f t="shared" si="59"/>
        <v/>
      </c>
      <c r="N344" s="34">
        <f t="shared" si="59"/>
        <v>60</v>
      </c>
      <c r="O344" s="34">
        <f t="shared" si="59"/>
        <v>64</v>
      </c>
      <c r="P344" s="34">
        <f t="shared" si="59"/>
        <v>76</v>
      </c>
      <c r="Q344" s="34">
        <f t="shared" si="59"/>
        <v>88</v>
      </c>
      <c r="R344" s="34">
        <f t="shared" si="59"/>
        <v>100</v>
      </c>
      <c r="S344" s="35">
        <f t="shared" si="56"/>
        <v>60</v>
      </c>
    </row>
    <row r="345" spans="2:19" hidden="1" outlineLevel="1">
      <c r="B345" s="14" t="s">
        <v>39</v>
      </c>
      <c r="C345" s="15" t="s">
        <v>65</v>
      </c>
      <c r="D345" s="52">
        <v>2045</v>
      </c>
      <c r="E345" s="34">
        <v>10</v>
      </c>
      <c r="F345" s="38">
        <f t="shared" si="53"/>
        <v>20426.420564560551</v>
      </c>
      <c r="G345" s="34">
        <f t="shared" si="54"/>
        <v>9</v>
      </c>
      <c r="H345" s="34">
        <f t="shared" si="55"/>
        <v>1</v>
      </c>
      <c r="I345" s="34" t="str">
        <f t="shared" si="59"/>
        <v/>
      </c>
      <c r="J345" s="34" t="str">
        <f t="shared" si="59"/>
        <v/>
      </c>
      <c r="K345" s="34" t="str">
        <f t="shared" si="59"/>
        <v/>
      </c>
      <c r="L345" s="34" t="str">
        <f t="shared" si="59"/>
        <v/>
      </c>
      <c r="M345" s="34" t="str">
        <f t="shared" si="59"/>
        <v/>
      </c>
      <c r="N345" s="34">
        <f t="shared" si="59"/>
        <v>60</v>
      </c>
      <c r="O345" s="34">
        <f t="shared" si="59"/>
        <v>63</v>
      </c>
      <c r="P345" s="34">
        <f t="shared" si="59"/>
        <v>75</v>
      </c>
      <c r="Q345" s="34">
        <f t="shared" si="59"/>
        <v>87</v>
      </c>
      <c r="R345" s="34">
        <f t="shared" si="59"/>
        <v>99</v>
      </c>
      <c r="S345" s="35">
        <f t="shared" si="56"/>
        <v>60</v>
      </c>
    </row>
    <row r="346" spans="2:19" hidden="1" outlineLevel="1">
      <c r="B346" s="14" t="s">
        <v>39</v>
      </c>
      <c r="C346" s="15" t="s">
        <v>65</v>
      </c>
      <c r="D346" s="52">
        <v>2045</v>
      </c>
      <c r="E346" s="34">
        <v>11</v>
      </c>
      <c r="F346" s="38">
        <f t="shared" si="53"/>
        <v>20426.420564560551</v>
      </c>
      <c r="G346" s="34">
        <f t="shared" si="54"/>
        <v>9</v>
      </c>
      <c r="H346" s="34">
        <f t="shared" si="55"/>
        <v>1</v>
      </c>
      <c r="I346" s="34" t="str">
        <f t="shared" si="59"/>
        <v/>
      </c>
      <c r="J346" s="34" t="str">
        <f t="shared" si="59"/>
        <v/>
      </c>
      <c r="K346" s="34" t="str">
        <f t="shared" si="59"/>
        <v/>
      </c>
      <c r="L346" s="34" t="str">
        <f t="shared" si="59"/>
        <v/>
      </c>
      <c r="M346" s="34" t="str">
        <f t="shared" si="59"/>
        <v/>
      </c>
      <c r="N346" s="34">
        <f t="shared" si="59"/>
        <v>60</v>
      </c>
      <c r="O346" s="34">
        <f t="shared" si="59"/>
        <v>62</v>
      </c>
      <c r="P346" s="34">
        <f t="shared" si="59"/>
        <v>74</v>
      </c>
      <c r="Q346" s="34">
        <f t="shared" si="59"/>
        <v>86</v>
      </c>
      <c r="R346" s="34">
        <f t="shared" si="59"/>
        <v>98</v>
      </c>
      <c r="S346" s="35">
        <f t="shared" si="56"/>
        <v>60</v>
      </c>
    </row>
    <row r="347" spans="2:19" hidden="1" outlineLevel="1">
      <c r="B347" s="14" t="s">
        <v>39</v>
      </c>
      <c r="C347" s="15" t="s">
        <v>65</v>
      </c>
      <c r="D347" s="52">
        <v>2045</v>
      </c>
      <c r="E347" s="34">
        <v>12</v>
      </c>
      <c r="F347" s="38">
        <f t="shared" si="53"/>
        <v>20426.420564560551</v>
      </c>
      <c r="G347" s="34">
        <f t="shared" si="54"/>
        <v>9</v>
      </c>
      <c r="H347" s="34">
        <f t="shared" si="55"/>
        <v>1</v>
      </c>
      <c r="I347" s="34" t="str">
        <f t="shared" si="59"/>
        <v/>
      </c>
      <c r="J347" s="34" t="str">
        <f t="shared" si="59"/>
        <v/>
      </c>
      <c r="K347" s="34" t="str">
        <f t="shared" si="59"/>
        <v/>
      </c>
      <c r="L347" s="34" t="str">
        <f t="shared" si="59"/>
        <v/>
      </c>
      <c r="M347" s="34" t="str">
        <f t="shared" si="59"/>
        <v/>
      </c>
      <c r="N347" s="34">
        <f t="shared" si="59"/>
        <v>60</v>
      </c>
      <c r="O347" s="34">
        <f t="shared" si="59"/>
        <v>61</v>
      </c>
      <c r="P347" s="34">
        <f t="shared" si="59"/>
        <v>73</v>
      </c>
      <c r="Q347" s="34">
        <f t="shared" si="59"/>
        <v>85</v>
      </c>
      <c r="R347" s="34">
        <f t="shared" si="59"/>
        <v>97</v>
      </c>
      <c r="S347" s="35">
        <f t="shared" si="56"/>
        <v>60</v>
      </c>
    </row>
    <row r="348" spans="2:19" hidden="1" outlineLevel="1">
      <c r="B348" s="14" t="s">
        <v>39</v>
      </c>
      <c r="C348" s="15" t="s">
        <v>65</v>
      </c>
      <c r="D348" s="52">
        <v>2046</v>
      </c>
      <c r="E348" s="34">
        <v>1</v>
      </c>
      <c r="F348" s="38">
        <f t="shared" si="53"/>
        <v>20335.05967050511</v>
      </c>
      <c r="G348" s="34">
        <f t="shared" si="54"/>
        <v>9</v>
      </c>
      <c r="H348" s="34">
        <f t="shared" si="55"/>
        <v>1</v>
      </c>
      <c r="I348" s="34" t="str">
        <f t="shared" si="59"/>
        <v/>
      </c>
      <c r="J348" s="34" t="str">
        <f t="shared" si="59"/>
        <v/>
      </c>
      <c r="K348" s="34" t="str">
        <f t="shared" si="59"/>
        <v/>
      </c>
      <c r="L348" s="34" t="str">
        <f t="shared" si="59"/>
        <v/>
      </c>
      <c r="M348" s="34" t="str">
        <f t="shared" si="59"/>
        <v/>
      </c>
      <c r="N348" s="34">
        <f t="shared" si="59"/>
        <v>60</v>
      </c>
      <c r="O348" s="34">
        <f t="shared" si="59"/>
        <v>72</v>
      </c>
      <c r="P348" s="34">
        <f t="shared" si="59"/>
        <v>84</v>
      </c>
      <c r="Q348" s="34">
        <f t="shared" si="59"/>
        <v>96</v>
      </c>
      <c r="R348" s="34">
        <f t="shared" si="59"/>
        <v>108</v>
      </c>
      <c r="S348" s="35">
        <f t="shared" si="56"/>
        <v>60</v>
      </c>
    </row>
    <row r="349" spans="2:19" hidden="1" outlineLevel="1">
      <c r="B349" s="14" t="s">
        <v>39</v>
      </c>
      <c r="C349" s="15" t="s">
        <v>65</v>
      </c>
      <c r="D349" s="52">
        <v>2046</v>
      </c>
      <c r="E349" s="34">
        <v>2</v>
      </c>
      <c r="F349" s="38">
        <f t="shared" si="53"/>
        <v>20335.05967050511</v>
      </c>
      <c r="G349" s="34">
        <f t="shared" si="54"/>
        <v>9</v>
      </c>
      <c r="H349" s="34">
        <f t="shared" si="55"/>
        <v>1</v>
      </c>
      <c r="I349" s="34" t="str">
        <f t="shared" si="59"/>
        <v/>
      </c>
      <c r="J349" s="34" t="str">
        <f t="shared" si="59"/>
        <v/>
      </c>
      <c r="K349" s="34" t="str">
        <f t="shared" si="59"/>
        <v/>
      </c>
      <c r="L349" s="34" t="str">
        <f t="shared" si="59"/>
        <v/>
      </c>
      <c r="M349" s="34" t="str">
        <f t="shared" si="59"/>
        <v/>
      </c>
      <c r="N349" s="34">
        <f t="shared" si="59"/>
        <v>60</v>
      </c>
      <c r="O349" s="34">
        <f t="shared" si="59"/>
        <v>71</v>
      </c>
      <c r="P349" s="34">
        <f t="shared" si="59"/>
        <v>83</v>
      </c>
      <c r="Q349" s="34">
        <f t="shared" si="59"/>
        <v>95</v>
      </c>
      <c r="R349" s="34">
        <f t="shared" si="59"/>
        <v>107</v>
      </c>
      <c r="S349" s="35">
        <f t="shared" si="56"/>
        <v>60</v>
      </c>
    </row>
    <row r="350" spans="2:19" hidden="1" outlineLevel="1">
      <c r="B350" s="14" t="s">
        <v>39</v>
      </c>
      <c r="C350" s="15" t="s">
        <v>65</v>
      </c>
      <c r="D350" s="52">
        <v>2046</v>
      </c>
      <c r="E350" s="34">
        <v>3</v>
      </c>
      <c r="F350" s="38">
        <f t="shared" si="53"/>
        <v>20335.05967050511</v>
      </c>
      <c r="G350" s="34">
        <f t="shared" si="54"/>
        <v>9</v>
      </c>
      <c r="H350" s="34">
        <f t="shared" si="55"/>
        <v>1</v>
      </c>
      <c r="I350" s="34" t="str">
        <f t="shared" ref="I350:R359" si="60">IF($D350&lt;$Z$18,"",IF(MAX($G350,INDEX($C$65:$F$108,$D350+I$119-2026,$H350))&lt;=12*I$119-$E350+12,MAX($G350,12*I$119-$E350+1,INDEX($C$65:$F$108,$D350+I$119-2026,$H350)),""))</f>
        <v/>
      </c>
      <c r="J350" s="34" t="str">
        <f t="shared" si="60"/>
        <v/>
      </c>
      <c r="K350" s="34" t="str">
        <f t="shared" si="60"/>
        <v/>
      </c>
      <c r="L350" s="34" t="str">
        <f t="shared" si="60"/>
        <v/>
      </c>
      <c r="M350" s="34" t="str">
        <f t="shared" si="60"/>
        <v/>
      </c>
      <c r="N350" s="34">
        <f t="shared" si="60"/>
        <v>60</v>
      </c>
      <c r="O350" s="34">
        <f t="shared" si="60"/>
        <v>70</v>
      </c>
      <c r="P350" s="34">
        <f t="shared" si="60"/>
        <v>82</v>
      </c>
      <c r="Q350" s="34">
        <f t="shared" si="60"/>
        <v>94</v>
      </c>
      <c r="R350" s="34">
        <f t="shared" si="60"/>
        <v>106</v>
      </c>
      <c r="S350" s="35">
        <f t="shared" si="56"/>
        <v>60</v>
      </c>
    </row>
    <row r="351" spans="2:19" hidden="1" outlineLevel="1">
      <c r="B351" s="14" t="s">
        <v>39</v>
      </c>
      <c r="C351" s="15" t="s">
        <v>65</v>
      </c>
      <c r="D351" s="52">
        <v>2046</v>
      </c>
      <c r="E351" s="34">
        <v>4</v>
      </c>
      <c r="F351" s="38">
        <f t="shared" si="53"/>
        <v>20335.05967050511</v>
      </c>
      <c r="G351" s="34">
        <f t="shared" si="54"/>
        <v>9</v>
      </c>
      <c r="H351" s="34">
        <f t="shared" si="55"/>
        <v>1</v>
      </c>
      <c r="I351" s="34" t="str">
        <f t="shared" si="60"/>
        <v/>
      </c>
      <c r="J351" s="34" t="str">
        <f t="shared" si="60"/>
        <v/>
      </c>
      <c r="K351" s="34" t="str">
        <f t="shared" si="60"/>
        <v/>
      </c>
      <c r="L351" s="34" t="str">
        <f t="shared" si="60"/>
        <v/>
      </c>
      <c r="M351" s="34" t="str">
        <f t="shared" si="60"/>
        <v/>
      </c>
      <c r="N351" s="34">
        <f t="shared" si="60"/>
        <v>60</v>
      </c>
      <c r="O351" s="34">
        <f t="shared" si="60"/>
        <v>69</v>
      </c>
      <c r="P351" s="34">
        <f t="shared" si="60"/>
        <v>81</v>
      </c>
      <c r="Q351" s="34">
        <f t="shared" si="60"/>
        <v>93</v>
      </c>
      <c r="R351" s="34">
        <f t="shared" si="60"/>
        <v>105</v>
      </c>
      <c r="S351" s="35">
        <f t="shared" si="56"/>
        <v>60</v>
      </c>
    </row>
    <row r="352" spans="2:19" hidden="1" outlineLevel="1">
      <c r="B352" s="14" t="s">
        <v>39</v>
      </c>
      <c r="C352" s="15" t="s">
        <v>65</v>
      </c>
      <c r="D352" s="52">
        <v>2046</v>
      </c>
      <c r="E352" s="34">
        <v>5</v>
      </c>
      <c r="F352" s="38">
        <f t="shared" si="53"/>
        <v>20335.05967050511</v>
      </c>
      <c r="G352" s="34">
        <f t="shared" si="54"/>
        <v>9</v>
      </c>
      <c r="H352" s="34">
        <f t="shared" si="55"/>
        <v>1</v>
      </c>
      <c r="I352" s="34" t="str">
        <f t="shared" si="60"/>
        <v/>
      </c>
      <c r="J352" s="34" t="str">
        <f t="shared" si="60"/>
        <v/>
      </c>
      <c r="K352" s="34" t="str">
        <f t="shared" si="60"/>
        <v/>
      </c>
      <c r="L352" s="34" t="str">
        <f t="shared" si="60"/>
        <v/>
      </c>
      <c r="M352" s="34" t="str">
        <f t="shared" si="60"/>
        <v/>
      </c>
      <c r="N352" s="34">
        <f t="shared" si="60"/>
        <v>60</v>
      </c>
      <c r="O352" s="34">
        <f t="shared" si="60"/>
        <v>68</v>
      </c>
      <c r="P352" s="34">
        <f t="shared" si="60"/>
        <v>80</v>
      </c>
      <c r="Q352" s="34">
        <f t="shared" si="60"/>
        <v>92</v>
      </c>
      <c r="R352" s="34">
        <f t="shared" si="60"/>
        <v>104</v>
      </c>
      <c r="S352" s="35">
        <f t="shared" si="56"/>
        <v>60</v>
      </c>
    </row>
    <row r="353" spans="2:19" hidden="1" outlineLevel="1">
      <c r="B353" s="14" t="s">
        <v>39</v>
      </c>
      <c r="C353" s="15" t="s">
        <v>65</v>
      </c>
      <c r="D353" s="52">
        <v>2046</v>
      </c>
      <c r="E353" s="34">
        <v>6</v>
      </c>
      <c r="F353" s="38">
        <f t="shared" si="53"/>
        <v>20335.05967050511</v>
      </c>
      <c r="G353" s="34">
        <f t="shared" si="54"/>
        <v>9</v>
      </c>
      <c r="H353" s="34">
        <f t="shared" si="55"/>
        <v>1</v>
      </c>
      <c r="I353" s="34" t="str">
        <f t="shared" si="60"/>
        <v/>
      </c>
      <c r="J353" s="34" t="str">
        <f t="shared" si="60"/>
        <v/>
      </c>
      <c r="K353" s="34" t="str">
        <f t="shared" si="60"/>
        <v/>
      </c>
      <c r="L353" s="34" t="str">
        <f t="shared" si="60"/>
        <v/>
      </c>
      <c r="M353" s="34" t="str">
        <f t="shared" si="60"/>
        <v/>
      </c>
      <c r="N353" s="34">
        <f t="shared" si="60"/>
        <v>60</v>
      </c>
      <c r="O353" s="34">
        <f t="shared" si="60"/>
        <v>67</v>
      </c>
      <c r="P353" s="34">
        <f t="shared" si="60"/>
        <v>79</v>
      </c>
      <c r="Q353" s="34">
        <f t="shared" si="60"/>
        <v>91</v>
      </c>
      <c r="R353" s="34">
        <f t="shared" si="60"/>
        <v>103</v>
      </c>
      <c r="S353" s="35">
        <f t="shared" si="56"/>
        <v>60</v>
      </c>
    </row>
    <row r="354" spans="2:19" hidden="1" outlineLevel="1">
      <c r="B354" s="14" t="s">
        <v>39</v>
      </c>
      <c r="C354" s="15" t="s">
        <v>65</v>
      </c>
      <c r="D354" s="52">
        <v>2046</v>
      </c>
      <c r="E354" s="34">
        <v>7</v>
      </c>
      <c r="F354" s="38">
        <f t="shared" si="53"/>
        <v>20335.05967050511</v>
      </c>
      <c r="G354" s="34">
        <f t="shared" si="54"/>
        <v>9</v>
      </c>
      <c r="H354" s="34">
        <f t="shared" si="55"/>
        <v>1</v>
      </c>
      <c r="I354" s="34" t="str">
        <f t="shared" si="60"/>
        <v/>
      </c>
      <c r="J354" s="34" t="str">
        <f t="shared" si="60"/>
        <v/>
      </c>
      <c r="K354" s="34" t="str">
        <f t="shared" si="60"/>
        <v/>
      </c>
      <c r="L354" s="34" t="str">
        <f t="shared" si="60"/>
        <v/>
      </c>
      <c r="M354" s="34" t="str">
        <f t="shared" si="60"/>
        <v/>
      </c>
      <c r="N354" s="34">
        <f t="shared" si="60"/>
        <v>60</v>
      </c>
      <c r="O354" s="34">
        <f t="shared" si="60"/>
        <v>66</v>
      </c>
      <c r="P354" s="34">
        <f t="shared" si="60"/>
        <v>78</v>
      </c>
      <c r="Q354" s="34">
        <f t="shared" si="60"/>
        <v>90</v>
      </c>
      <c r="R354" s="34">
        <f t="shared" si="60"/>
        <v>102</v>
      </c>
      <c r="S354" s="35">
        <f t="shared" si="56"/>
        <v>60</v>
      </c>
    </row>
    <row r="355" spans="2:19" hidden="1" outlineLevel="1">
      <c r="B355" s="14" t="s">
        <v>39</v>
      </c>
      <c r="C355" s="15" t="s">
        <v>65</v>
      </c>
      <c r="D355" s="52">
        <v>2046</v>
      </c>
      <c r="E355" s="34">
        <v>8</v>
      </c>
      <c r="F355" s="38">
        <f t="shared" si="53"/>
        <v>20335.05967050511</v>
      </c>
      <c r="G355" s="34">
        <f t="shared" si="54"/>
        <v>9</v>
      </c>
      <c r="H355" s="34">
        <f t="shared" si="55"/>
        <v>1</v>
      </c>
      <c r="I355" s="34" t="str">
        <f t="shared" si="60"/>
        <v/>
      </c>
      <c r="J355" s="34" t="str">
        <f t="shared" si="60"/>
        <v/>
      </c>
      <c r="K355" s="34" t="str">
        <f t="shared" si="60"/>
        <v/>
      </c>
      <c r="L355" s="34" t="str">
        <f t="shared" si="60"/>
        <v/>
      </c>
      <c r="M355" s="34" t="str">
        <f t="shared" si="60"/>
        <v/>
      </c>
      <c r="N355" s="34">
        <f t="shared" si="60"/>
        <v>60</v>
      </c>
      <c r="O355" s="34">
        <f t="shared" si="60"/>
        <v>65</v>
      </c>
      <c r="P355" s="34">
        <f t="shared" si="60"/>
        <v>77</v>
      </c>
      <c r="Q355" s="34">
        <f t="shared" si="60"/>
        <v>89</v>
      </c>
      <c r="R355" s="34">
        <f t="shared" si="60"/>
        <v>101</v>
      </c>
      <c r="S355" s="35">
        <f t="shared" si="56"/>
        <v>60</v>
      </c>
    </row>
    <row r="356" spans="2:19" hidden="1" outlineLevel="1">
      <c r="B356" s="14" t="s">
        <v>39</v>
      </c>
      <c r="C356" s="15" t="s">
        <v>65</v>
      </c>
      <c r="D356" s="52">
        <v>2046</v>
      </c>
      <c r="E356" s="34">
        <v>9</v>
      </c>
      <c r="F356" s="38">
        <f t="shared" si="53"/>
        <v>20335.05967050511</v>
      </c>
      <c r="G356" s="34">
        <f t="shared" si="54"/>
        <v>9</v>
      </c>
      <c r="H356" s="34">
        <f t="shared" si="55"/>
        <v>1</v>
      </c>
      <c r="I356" s="34" t="str">
        <f t="shared" si="60"/>
        <v/>
      </c>
      <c r="J356" s="34" t="str">
        <f t="shared" si="60"/>
        <v/>
      </c>
      <c r="K356" s="34" t="str">
        <f t="shared" si="60"/>
        <v/>
      </c>
      <c r="L356" s="34" t="str">
        <f t="shared" si="60"/>
        <v/>
      </c>
      <c r="M356" s="34" t="str">
        <f t="shared" si="60"/>
        <v/>
      </c>
      <c r="N356" s="34">
        <f t="shared" si="60"/>
        <v>60</v>
      </c>
      <c r="O356" s="34">
        <f t="shared" si="60"/>
        <v>64</v>
      </c>
      <c r="P356" s="34">
        <f t="shared" si="60"/>
        <v>76</v>
      </c>
      <c r="Q356" s="34">
        <f t="shared" si="60"/>
        <v>88</v>
      </c>
      <c r="R356" s="34">
        <f t="shared" si="60"/>
        <v>100</v>
      </c>
      <c r="S356" s="35">
        <f t="shared" si="56"/>
        <v>60</v>
      </c>
    </row>
    <row r="357" spans="2:19" hidden="1" outlineLevel="1">
      <c r="B357" s="14" t="s">
        <v>39</v>
      </c>
      <c r="C357" s="15" t="s">
        <v>65</v>
      </c>
      <c r="D357" s="52">
        <v>2046</v>
      </c>
      <c r="E357" s="34">
        <v>10</v>
      </c>
      <c r="F357" s="38">
        <f t="shared" si="53"/>
        <v>20335.05967050511</v>
      </c>
      <c r="G357" s="34">
        <f t="shared" si="54"/>
        <v>9</v>
      </c>
      <c r="H357" s="34">
        <f t="shared" si="55"/>
        <v>1</v>
      </c>
      <c r="I357" s="34" t="str">
        <f t="shared" si="60"/>
        <v/>
      </c>
      <c r="J357" s="34" t="str">
        <f t="shared" si="60"/>
        <v/>
      </c>
      <c r="K357" s="34" t="str">
        <f t="shared" si="60"/>
        <v/>
      </c>
      <c r="L357" s="34" t="str">
        <f t="shared" si="60"/>
        <v/>
      </c>
      <c r="M357" s="34" t="str">
        <f t="shared" si="60"/>
        <v/>
      </c>
      <c r="N357" s="34">
        <f t="shared" si="60"/>
        <v>60</v>
      </c>
      <c r="O357" s="34">
        <f t="shared" si="60"/>
        <v>63</v>
      </c>
      <c r="P357" s="34">
        <f t="shared" si="60"/>
        <v>75</v>
      </c>
      <c r="Q357" s="34">
        <f t="shared" si="60"/>
        <v>87</v>
      </c>
      <c r="R357" s="34">
        <f t="shared" si="60"/>
        <v>99</v>
      </c>
      <c r="S357" s="35">
        <f t="shared" si="56"/>
        <v>60</v>
      </c>
    </row>
    <row r="358" spans="2:19" hidden="1" outlineLevel="1">
      <c r="B358" s="14" t="s">
        <v>39</v>
      </c>
      <c r="C358" s="15" t="s">
        <v>65</v>
      </c>
      <c r="D358" s="52">
        <v>2046</v>
      </c>
      <c r="E358" s="34">
        <v>11</v>
      </c>
      <c r="F358" s="38">
        <f t="shared" si="53"/>
        <v>20335.05967050511</v>
      </c>
      <c r="G358" s="34">
        <f t="shared" si="54"/>
        <v>9</v>
      </c>
      <c r="H358" s="34">
        <f t="shared" si="55"/>
        <v>1</v>
      </c>
      <c r="I358" s="34" t="str">
        <f t="shared" si="60"/>
        <v/>
      </c>
      <c r="J358" s="34" t="str">
        <f t="shared" si="60"/>
        <v/>
      </c>
      <c r="K358" s="34" t="str">
        <f t="shared" si="60"/>
        <v/>
      </c>
      <c r="L358" s="34" t="str">
        <f t="shared" si="60"/>
        <v/>
      </c>
      <c r="M358" s="34" t="str">
        <f t="shared" si="60"/>
        <v/>
      </c>
      <c r="N358" s="34">
        <f t="shared" si="60"/>
        <v>60</v>
      </c>
      <c r="O358" s="34">
        <f t="shared" si="60"/>
        <v>62</v>
      </c>
      <c r="P358" s="34">
        <f t="shared" si="60"/>
        <v>74</v>
      </c>
      <c r="Q358" s="34">
        <f t="shared" si="60"/>
        <v>86</v>
      </c>
      <c r="R358" s="34">
        <f t="shared" si="60"/>
        <v>98</v>
      </c>
      <c r="S358" s="35">
        <f t="shared" si="56"/>
        <v>60</v>
      </c>
    </row>
    <row r="359" spans="2:19" hidden="1" outlineLevel="1">
      <c r="B359" s="14" t="s">
        <v>39</v>
      </c>
      <c r="C359" s="15" t="s">
        <v>65</v>
      </c>
      <c r="D359" s="52">
        <v>2046</v>
      </c>
      <c r="E359" s="34">
        <v>12</v>
      </c>
      <c r="F359" s="38">
        <f t="shared" si="53"/>
        <v>20335.05967050511</v>
      </c>
      <c r="G359" s="34">
        <f t="shared" si="54"/>
        <v>9</v>
      </c>
      <c r="H359" s="34">
        <f t="shared" si="55"/>
        <v>1</v>
      </c>
      <c r="I359" s="34" t="str">
        <f t="shared" si="60"/>
        <v/>
      </c>
      <c r="J359" s="34" t="str">
        <f t="shared" si="60"/>
        <v/>
      </c>
      <c r="K359" s="34" t="str">
        <f t="shared" si="60"/>
        <v/>
      </c>
      <c r="L359" s="34" t="str">
        <f t="shared" si="60"/>
        <v/>
      </c>
      <c r="M359" s="34" t="str">
        <f t="shared" si="60"/>
        <v/>
      </c>
      <c r="N359" s="34">
        <f t="shared" si="60"/>
        <v>60</v>
      </c>
      <c r="O359" s="34">
        <f t="shared" si="60"/>
        <v>61</v>
      </c>
      <c r="P359" s="34">
        <f t="shared" si="60"/>
        <v>73</v>
      </c>
      <c r="Q359" s="34">
        <f t="shared" si="60"/>
        <v>85</v>
      </c>
      <c r="R359" s="34">
        <f t="shared" si="60"/>
        <v>97</v>
      </c>
      <c r="S359" s="35">
        <f t="shared" si="56"/>
        <v>60</v>
      </c>
    </row>
    <row r="360" spans="2:19" hidden="1" outlineLevel="1">
      <c r="B360" s="14" t="s">
        <v>39</v>
      </c>
      <c r="C360" s="15" t="s">
        <v>65</v>
      </c>
      <c r="D360" s="52">
        <v>2047</v>
      </c>
      <c r="E360" s="34">
        <v>1</v>
      </c>
      <c r="F360" s="38">
        <f t="shared" si="53"/>
        <v>20167.329588291308</v>
      </c>
      <c r="G360" s="34">
        <f t="shared" si="54"/>
        <v>9</v>
      </c>
      <c r="H360" s="34">
        <f t="shared" si="55"/>
        <v>1</v>
      </c>
      <c r="I360" s="34" t="str">
        <f t="shared" ref="I360:R369" si="61">IF($D360&lt;$Z$18,"",IF(MAX($G360,INDEX($C$65:$F$108,$D360+I$119-2026,$H360))&lt;=12*I$119-$E360+12,MAX($G360,12*I$119-$E360+1,INDEX($C$65:$F$108,$D360+I$119-2026,$H360)),""))</f>
        <v/>
      </c>
      <c r="J360" s="34" t="str">
        <f t="shared" si="61"/>
        <v/>
      </c>
      <c r="K360" s="34" t="str">
        <f t="shared" si="61"/>
        <v/>
      </c>
      <c r="L360" s="34" t="str">
        <f t="shared" si="61"/>
        <v/>
      </c>
      <c r="M360" s="34" t="str">
        <f t="shared" si="61"/>
        <v/>
      </c>
      <c r="N360" s="34">
        <f t="shared" si="61"/>
        <v>60</v>
      </c>
      <c r="O360" s="34">
        <f t="shared" si="61"/>
        <v>72</v>
      </c>
      <c r="P360" s="34">
        <f t="shared" si="61"/>
        <v>84</v>
      </c>
      <c r="Q360" s="34">
        <f t="shared" si="61"/>
        <v>96</v>
      </c>
      <c r="R360" s="34">
        <f t="shared" si="61"/>
        <v>108</v>
      </c>
      <c r="S360" s="35">
        <f t="shared" si="56"/>
        <v>60</v>
      </c>
    </row>
    <row r="361" spans="2:19" hidden="1" outlineLevel="1">
      <c r="B361" s="14" t="s">
        <v>39</v>
      </c>
      <c r="C361" s="15" t="s">
        <v>65</v>
      </c>
      <c r="D361" s="52">
        <v>2047</v>
      </c>
      <c r="E361" s="34">
        <v>2</v>
      </c>
      <c r="F361" s="38">
        <f t="shared" si="53"/>
        <v>20167.329588291308</v>
      </c>
      <c r="G361" s="34">
        <f t="shared" si="54"/>
        <v>9</v>
      </c>
      <c r="H361" s="34">
        <f t="shared" si="55"/>
        <v>1</v>
      </c>
      <c r="I361" s="34" t="str">
        <f t="shared" si="61"/>
        <v/>
      </c>
      <c r="J361" s="34" t="str">
        <f t="shared" si="61"/>
        <v/>
      </c>
      <c r="K361" s="34" t="str">
        <f t="shared" si="61"/>
        <v/>
      </c>
      <c r="L361" s="34" t="str">
        <f t="shared" si="61"/>
        <v/>
      </c>
      <c r="M361" s="34" t="str">
        <f t="shared" si="61"/>
        <v/>
      </c>
      <c r="N361" s="34">
        <f t="shared" si="61"/>
        <v>60</v>
      </c>
      <c r="O361" s="34">
        <f t="shared" si="61"/>
        <v>71</v>
      </c>
      <c r="P361" s="34">
        <f t="shared" si="61"/>
        <v>83</v>
      </c>
      <c r="Q361" s="34">
        <f t="shared" si="61"/>
        <v>95</v>
      </c>
      <c r="R361" s="34">
        <f t="shared" si="61"/>
        <v>107</v>
      </c>
      <c r="S361" s="35">
        <f t="shared" si="56"/>
        <v>60</v>
      </c>
    </row>
    <row r="362" spans="2:19" hidden="1" outlineLevel="1">
      <c r="B362" s="14" t="s">
        <v>39</v>
      </c>
      <c r="C362" s="15" t="s">
        <v>65</v>
      </c>
      <c r="D362" s="52">
        <v>2047</v>
      </c>
      <c r="E362" s="34">
        <v>3</v>
      </c>
      <c r="F362" s="38">
        <f t="shared" si="53"/>
        <v>20167.329588291308</v>
      </c>
      <c r="G362" s="34">
        <f t="shared" si="54"/>
        <v>9</v>
      </c>
      <c r="H362" s="34">
        <f t="shared" si="55"/>
        <v>1</v>
      </c>
      <c r="I362" s="34" t="str">
        <f t="shared" si="61"/>
        <v/>
      </c>
      <c r="J362" s="34" t="str">
        <f t="shared" si="61"/>
        <v/>
      </c>
      <c r="K362" s="34" t="str">
        <f t="shared" si="61"/>
        <v/>
      </c>
      <c r="L362" s="34" t="str">
        <f t="shared" si="61"/>
        <v/>
      </c>
      <c r="M362" s="34" t="str">
        <f t="shared" si="61"/>
        <v/>
      </c>
      <c r="N362" s="34">
        <f t="shared" si="61"/>
        <v>60</v>
      </c>
      <c r="O362" s="34">
        <f t="shared" si="61"/>
        <v>70</v>
      </c>
      <c r="P362" s="34">
        <f t="shared" si="61"/>
        <v>82</v>
      </c>
      <c r="Q362" s="34">
        <f t="shared" si="61"/>
        <v>94</v>
      </c>
      <c r="R362" s="34">
        <f t="shared" si="61"/>
        <v>106</v>
      </c>
      <c r="S362" s="35">
        <f t="shared" si="56"/>
        <v>60</v>
      </c>
    </row>
    <row r="363" spans="2:19" hidden="1" outlineLevel="1">
      <c r="B363" s="14" t="s">
        <v>39</v>
      </c>
      <c r="C363" s="15" t="s">
        <v>65</v>
      </c>
      <c r="D363" s="52">
        <v>2047</v>
      </c>
      <c r="E363" s="34">
        <v>4</v>
      </c>
      <c r="F363" s="38">
        <f t="shared" si="53"/>
        <v>20167.329588291308</v>
      </c>
      <c r="G363" s="34">
        <f t="shared" si="54"/>
        <v>9</v>
      </c>
      <c r="H363" s="34">
        <f t="shared" si="55"/>
        <v>1</v>
      </c>
      <c r="I363" s="34" t="str">
        <f t="shared" si="61"/>
        <v/>
      </c>
      <c r="J363" s="34" t="str">
        <f t="shared" si="61"/>
        <v/>
      </c>
      <c r="K363" s="34" t="str">
        <f t="shared" si="61"/>
        <v/>
      </c>
      <c r="L363" s="34" t="str">
        <f t="shared" si="61"/>
        <v/>
      </c>
      <c r="M363" s="34" t="str">
        <f t="shared" si="61"/>
        <v/>
      </c>
      <c r="N363" s="34">
        <f t="shared" si="61"/>
        <v>60</v>
      </c>
      <c r="O363" s="34">
        <f t="shared" si="61"/>
        <v>69</v>
      </c>
      <c r="P363" s="34">
        <f t="shared" si="61"/>
        <v>81</v>
      </c>
      <c r="Q363" s="34">
        <f t="shared" si="61"/>
        <v>93</v>
      </c>
      <c r="R363" s="34">
        <f t="shared" si="61"/>
        <v>105</v>
      </c>
      <c r="S363" s="35">
        <f t="shared" si="56"/>
        <v>60</v>
      </c>
    </row>
    <row r="364" spans="2:19" hidden="1" outlineLevel="1">
      <c r="B364" s="14" t="s">
        <v>39</v>
      </c>
      <c r="C364" s="15" t="s">
        <v>65</v>
      </c>
      <c r="D364" s="52">
        <v>2047</v>
      </c>
      <c r="E364" s="34">
        <v>5</v>
      </c>
      <c r="F364" s="38">
        <f t="shared" si="53"/>
        <v>20167.329588291308</v>
      </c>
      <c r="G364" s="34">
        <f t="shared" si="54"/>
        <v>9</v>
      </c>
      <c r="H364" s="34">
        <f t="shared" si="55"/>
        <v>1</v>
      </c>
      <c r="I364" s="34" t="str">
        <f t="shared" si="61"/>
        <v/>
      </c>
      <c r="J364" s="34" t="str">
        <f t="shared" si="61"/>
        <v/>
      </c>
      <c r="K364" s="34" t="str">
        <f t="shared" si="61"/>
        <v/>
      </c>
      <c r="L364" s="34" t="str">
        <f t="shared" si="61"/>
        <v/>
      </c>
      <c r="M364" s="34" t="str">
        <f t="shared" si="61"/>
        <v/>
      </c>
      <c r="N364" s="34">
        <f t="shared" si="61"/>
        <v>60</v>
      </c>
      <c r="O364" s="34">
        <f t="shared" si="61"/>
        <v>68</v>
      </c>
      <c r="P364" s="34">
        <f t="shared" si="61"/>
        <v>80</v>
      </c>
      <c r="Q364" s="34">
        <f t="shared" si="61"/>
        <v>92</v>
      </c>
      <c r="R364" s="34">
        <f t="shared" si="61"/>
        <v>104</v>
      </c>
      <c r="S364" s="35">
        <f t="shared" si="56"/>
        <v>60</v>
      </c>
    </row>
    <row r="365" spans="2:19" hidden="1" outlineLevel="1">
      <c r="B365" s="14" t="s">
        <v>39</v>
      </c>
      <c r="C365" s="15" t="s">
        <v>65</v>
      </c>
      <c r="D365" s="52">
        <v>2047</v>
      </c>
      <c r="E365" s="34">
        <v>6</v>
      </c>
      <c r="F365" s="38">
        <f t="shared" si="53"/>
        <v>20167.329588291308</v>
      </c>
      <c r="G365" s="34">
        <f t="shared" si="54"/>
        <v>9</v>
      </c>
      <c r="H365" s="34">
        <f t="shared" si="55"/>
        <v>1</v>
      </c>
      <c r="I365" s="34" t="str">
        <f t="shared" si="61"/>
        <v/>
      </c>
      <c r="J365" s="34" t="str">
        <f t="shared" si="61"/>
        <v/>
      </c>
      <c r="K365" s="34" t="str">
        <f t="shared" si="61"/>
        <v/>
      </c>
      <c r="L365" s="34" t="str">
        <f t="shared" si="61"/>
        <v/>
      </c>
      <c r="M365" s="34" t="str">
        <f t="shared" si="61"/>
        <v/>
      </c>
      <c r="N365" s="34">
        <f t="shared" si="61"/>
        <v>60</v>
      </c>
      <c r="O365" s="34">
        <f t="shared" si="61"/>
        <v>67</v>
      </c>
      <c r="P365" s="34">
        <f t="shared" si="61"/>
        <v>79</v>
      </c>
      <c r="Q365" s="34">
        <f t="shared" si="61"/>
        <v>91</v>
      </c>
      <c r="R365" s="34">
        <f t="shared" si="61"/>
        <v>103</v>
      </c>
      <c r="S365" s="35">
        <f t="shared" si="56"/>
        <v>60</v>
      </c>
    </row>
    <row r="366" spans="2:19" hidden="1" outlineLevel="1">
      <c r="B366" s="14" t="s">
        <v>39</v>
      </c>
      <c r="C366" s="15" t="s">
        <v>65</v>
      </c>
      <c r="D366" s="52">
        <v>2047</v>
      </c>
      <c r="E366" s="34">
        <v>7</v>
      </c>
      <c r="F366" s="38">
        <f t="shared" si="53"/>
        <v>20167.329588291308</v>
      </c>
      <c r="G366" s="34">
        <f t="shared" si="54"/>
        <v>9</v>
      </c>
      <c r="H366" s="34">
        <f t="shared" si="55"/>
        <v>1</v>
      </c>
      <c r="I366" s="34" t="str">
        <f t="shared" si="61"/>
        <v/>
      </c>
      <c r="J366" s="34" t="str">
        <f t="shared" si="61"/>
        <v/>
      </c>
      <c r="K366" s="34" t="str">
        <f t="shared" si="61"/>
        <v/>
      </c>
      <c r="L366" s="34" t="str">
        <f t="shared" si="61"/>
        <v/>
      </c>
      <c r="M366" s="34" t="str">
        <f t="shared" si="61"/>
        <v/>
      </c>
      <c r="N366" s="34">
        <f t="shared" si="61"/>
        <v>60</v>
      </c>
      <c r="O366" s="34">
        <f t="shared" si="61"/>
        <v>66</v>
      </c>
      <c r="P366" s="34">
        <f t="shared" si="61"/>
        <v>78</v>
      </c>
      <c r="Q366" s="34">
        <f t="shared" si="61"/>
        <v>90</v>
      </c>
      <c r="R366" s="34">
        <f t="shared" si="61"/>
        <v>102</v>
      </c>
      <c r="S366" s="35">
        <f t="shared" si="56"/>
        <v>60</v>
      </c>
    </row>
    <row r="367" spans="2:19" hidden="1" outlineLevel="1">
      <c r="B367" s="14" t="s">
        <v>39</v>
      </c>
      <c r="C367" s="15" t="s">
        <v>65</v>
      </c>
      <c r="D367" s="52">
        <v>2047</v>
      </c>
      <c r="E367" s="34">
        <v>8</v>
      </c>
      <c r="F367" s="38">
        <f t="shared" si="53"/>
        <v>20167.329588291308</v>
      </c>
      <c r="G367" s="34">
        <f t="shared" si="54"/>
        <v>9</v>
      </c>
      <c r="H367" s="34">
        <f t="shared" si="55"/>
        <v>1</v>
      </c>
      <c r="I367" s="34" t="str">
        <f t="shared" si="61"/>
        <v/>
      </c>
      <c r="J367" s="34" t="str">
        <f t="shared" si="61"/>
        <v/>
      </c>
      <c r="K367" s="34" t="str">
        <f t="shared" si="61"/>
        <v/>
      </c>
      <c r="L367" s="34" t="str">
        <f t="shared" si="61"/>
        <v/>
      </c>
      <c r="M367" s="34" t="str">
        <f t="shared" si="61"/>
        <v/>
      </c>
      <c r="N367" s="34">
        <f t="shared" si="61"/>
        <v>60</v>
      </c>
      <c r="O367" s="34">
        <f t="shared" si="61"/>
        <v>65</v>
      </c>
      <c r="P367" s="34">
        <f t="shared" si="61"/>
        <v>77</v>
      </c>
      <c r="Q367" s="34">
        <f t="shared" si="61"/>
        <v>89</v>
      </c>
      <c r="R367" s="34">
        <f t="shared" si="61"/>
        <v>101</v>
      </c>
      <c r="S367" s="35">
        <f t="shared" si="56"/>
        <v>60</v>
      </c>
    </row>
    <row r="368" spans="2:19" hidden="1" outlineLevel="1">
      <c r="B368" s="14" t="s">
        <v>39</v>
      </c>
      <c r="C368" s="15" t="s">
        <v>65</v>
      </c>
      <c r="D368" s="52">
        <v>2047</v>
      </c>
      <c r="E368" s="34">
        <v>9</v>
      </c>
      <c r="F368" s="38">
        <f t="shared" si="53"/>
        <v>20167.329588291308</v>
      </c>
      <c r="G368" s="34">
        <f t="shared" si="54"/>
        <v>9</v>
      </c>
      <c r="H368" s="34">
        <f t="shared" si="55"/>
        <v>1</v>
      </c>
      <c r="I368" s="34" t="str">
        <f t="shared" si="61"/>
        <v/>
      </c>
      <c r="J368" s="34" t="str">
        <f t="shared" si="61"/>
        <v/>
      </c>
      <c r="K368" s="34" t="str">
        <f t="shared" si="61"/>
        <v/>
      </c>
      <c r="L368" s="34" t="str">
        <f t="shared" si="61"/>
        <v/>
      </c>
      <c r="M368" s="34" t="str">
        <f t="shared" si="61"/>
        <v/>
      </c>
      <c r="N368" s="34">
        <f t="shared" si="61"/>
        <v>60</v>
      </c>
      <c r="O368" s="34">
        <f t="shared" si="61"/>
        <v>64</v>
      </c>
      <c r="P368" s="34">
        <f t="shared" si="61"/>
        <v>76</v>
      </c>
      <c r="Q368" s="34">
        <f t="shared" si="61"/>
        <v>88</v>
      </c>
      <c r="R368" s="34">
        <f t="shared" si="61"/>
        <v>100</v>
      </c>
      <c r="S368" s="35">
        <f t="shared" si="56"/>
        <v>60</v>
      </c>
    </row>
    <row r="369" spans="2:19" hidden="1" outlineLevel="1">
      <c r="B369" s="14" t="s">
        <v>39</v>
      </c>
      <c r="C369" s="15" t="s">
        <v>65</v>
      </c>
      <c r="D369" s="52">
        <v>2047</v>
      </c>
      <c r="E369" s="34">
        <v>10</v>
      </c>
      <c r="F369" s="38">
        <f t="shared" si="53"/>
        <v>20167.329588291308</v>
      </c>
      <c r="G369" s="34">
        <f t="shared" si="54"/>
        <v>9</v>
      </c>
      <c r="H369" s="34">
        <f t="shared" si="55"/>
        <v>1</v>
      </c>
      <c r="I369" s="34" t="str">
        <f t="shared" si="61"/>
        <v/>
      </c>
      <c r="J369" s="34" t="str">
        <f t="shared" si="61"/>
        <v/>
      </c>
      <c r="K369" s="34" t="str">
        <f t="shared" si="61"/>
        <v/>
      </c>
      <c r="L369" s="34" t="str">
        <f t="shared" si="61"/>
        <v/>
      </c>
      <c r="M369" s="34" t="str">
        <f t="shared" si="61"/>
        <v/>
      </c>
      <c r="N369" s="34">
        <f t="shared" si="61"/>
        <v>60</v>
      </c>
      <c r="O369" s="34">
        <f t="shared" si="61"/>
        <v>63</v>
      </c>
      <c r="P369" s="34">
        <f t="shared" si="61"/>
        <v>75</v>
      </c>
      <c r="Q369" s="34">
        <f t="shared" si="61"/>
        <v>87</v>
      </c>
      <c r="R369" s="34">
        <f t="shared" si="61"/>
        <v>99</v>
      </c>
      <c r="S369" s="35">
        <f t="shared" si="56"/>
        <v>60</v>
      </c>
    </row>
    <row r="370" spans="2:19" hidden="1" outlineLevel="1">
      <c r="B370" s="14" t="s">
        <v>39</v>
      </c>
      <c r="C370" s="15" t="s">
        <v>65</v>
      </c>
      <c r="D370" s="52">
        <v>2047</v>
      </c>
      <c r="E370" s="34">
        <v>11</v>
      </c>
      <c r="F370" s="38">
        <f t="shared" si="53"/>
        <v>20167.329588291308</v>
      </c>
      <c r="G370" s="34">
        <f t="shared" si="54"/>
        <v>9</v>
      </c>
      <c r="H370" s="34">
        <f t="shared" si="55"/>
        <v>1</v>
      </c>
      <c r="I370" s="34" t="str">
        <f t="shared" ref="I370:R379" si="62">IF($D370&lt;$Z$18,"",IF(MAX($G370,INDEX($C$65:$F$108,$D370+I$119-2026,$H370))&lt;=12*I$119-$E370+12,MAX($G370,12*I$119-$E370+1,INDEX($C$65:$F$108,$D370+I$119-2026,$H370)),""))</f>
        <v/>
      </c>
      <c r="J370" s="34" t="str">
        <f t="shared" si="62"/>
        <v/>
      </c>
      <c r="K370" s="34" t="str">
        <f t="shared" si="62"/>
        <v/>
      </c>
      <c r="L370" s="34" t="str">
        <f t="shared" si="62"/>
        <v/>
      </c>
      <c r="M370" s="34" t="str">
        <f t="shared" si="62"/>
        <v/>
      </c>
      <c r="N370" s="34">
        <f t="shared" si="62"/>
        <v>60</v>
      </c>
      <c r="O370" s="34">
        <f t="shared" si="62"/>
        <v>62</v>
      </c>
      <c r="P370" s="34">
        <f t="shared" si="62"/>
        <v>74</v>
      </c>
      <c r="Q370" s="34">
        <f t="shared" si="62"/>
        <v>86</v>
      </c>
      <c r="R370" s="34">
        <f t="shared" si="62"/>
        <v>98</v>
      </c>
      <c r="S370" s="35">
        <f t="shared" si="56"/>
        <v>60</v>
      </c>
    </row>
    <row r="371" spans="2:19" hidden="1" outlineLevel="1">
      <c r="B371" s="14" t="s">
        <v>39</v>
      </c>
      <c r="C371" s="15" t="s">
        <v>65</v>
      </c>
      <c r="D371" s="52">
        <v>2047</v>
      </c>
      <c r="E371" s="34">
        <v>12</v>
      </c>
      <c r="F371" s="38">
        <f t="shared" si="53"/>
        <v>20167.329588291308</v>
      </c>
      <c r="G371" s="34">
        <f t="shared" si="54"/>
        <v>9</v>
      </c>
      <c r="H371" s="34">
        <f t="shared" si="55"/>
        <v>1</v>
      </c>
      <c r="I371" s="34" t="str">
        <f t="shared" si="62"/>
        <v/>
      </c>
      <c r="J371" s="34" t="str">
        <f t="shared" si="62"/>
        <v/>
      </c>
      <c r="K371" s="34" t="str">
        <f t="shared" si="62"/>
        <v/>
      </c>
      <c r="L371" s="34" t="str">
        <f t="shared" si="62"/>
        <v/>
      </c>
      <c r="M371" s="34" t="str">
        <f t="shared" si="62"/>
        <v/>
      </c>
      <c r="N371" s="34">
        <f t="shared" si="62"/>
        <v>60</v>
      </c>
      <c r="O371" s="34">
        <f t="shared" si="62"/>
        <v>61</v>
      </c>
      <c r="P371" s="34">
        <f t="shared" si="62"/>
        <v>73</v>
      </c>
      <c r="Q371" s="34">
        <f t="shared" si="62"/>
        <v>85</v>
      </c>
      <c r="R371" s="34">
        <f t="shared" si="62"/>
        <v>97</v>
      </c>
      <c r="S371" s="35">
        <f t="shared" si="56"/>
        <v>60</v>
      </c>
    </row>
    <row r="372" spans="2:19" hidden="1" outlineLevel="1">
      <c r="B372" s="14" t="s">
        <v>39</v>
      </c>
      <c r="C372" s="15" t="s">
        <v>65</v>
      </c>
      <c r="D372" s="52">
        <v>2048</v>
      </c>
      <c r="E372" s="34">
        <v>1</v>
      </c>
      <c r="F372" s="38">
        <f t="shared" si="53"/>
        <v>19941.416750810895</v>
      </c>
      <c r="G372" s="34">
        <f t="shared" si="54"/>
        <v>9</v>
      </c>
      <c r="H372" s="34">
        <f t="shared" si="55"/>
        <v>1</v>
      </c>
      <c r="I372" s="34" t="str">
        <f t="shared" si="62"/>
        <v/>
      </c>
      <c r="J372" s="34" t="str">
        <f t="shared" si="62"/>
        <v/>
      </c>
      <c r="K372" s="34" t="str">
        <f t="shared" si="62"/>
        <v/>
      </c>
      <c r="L372" s="34" t="str">
        <f t="shared" si="62"/>
        <v/>
      </c>
      <c r="M372" s="34" t="str">
        <f t="shared" si="62"/>
        <v/>
      </c>
      <c r="N372" s="34">
        <f t="shared" si="62"/>
        <v>60</v>
      </c>
      <c r="O372" s="34">
        <f t="shared" si="62"/>
        <v>72</v>
      </c>
      <c r="P372" s="34">
        <f t="shared" si="62"/>
        <v>84</v>
      </c>
      <c r="Q372" s="34">
        <f t="shared" si="62"/>
        <v>96</v>
      </c>
      <c r="R372" s="34">
        <f t="shared" si="62"/>
        <v>108</v>
      </c>
      <c r="S372" s="35">
        <f t="shared" si="56"/>
        <v>60</v>
      </c>
    </row>
    <row r="373" spans="2:19" hidden="1" outlineLevel="1">
      <c r="B373" s="14" t="s">
        <v>39</v>
      </c>
      <c r="C373" s="15" t="s">
        <v>65</v>
      </c>
      <c r="D373" s="52">
        <v>2048</v>
      </c>
      <c r="E373" s="34">
        <v>2</v>
      </c>
      <c r="F373" s="38">
        <f t="shared" si="53"/>
        <v>19941.416750810895</v>
      </c>
      <c r="G373" s="34">
        <f t="shared" si="54"/>
        <v>9</v>
      </c>
      <c r="H373" s="34">
        <f t="shared" si="55"/>
        <v>1</v>
      </c>
      <c r="I373" s="34" t="str">
        <f t="shared" si="62"/>
        <v/>
      </c>
      <c r="J373" s="34" t="str">
        <f t="shared" si="62"/>
        <v/>
      </c>
      <c r="K373" s="34" t="str">
        <f t="shared" si="62"/>
        <v/>
      </c>
      <c r="L373" s="34" t="str">
        <f t="shared" si="62"/>
        <v/>
      </c>
      <c r="M373" s="34" t="str">
        <f t="shared" si="62"/>
        <v/>
      </c>
      <c r="N373" s="34">
        <f t="shared" si="62"/>
        <v>60</v>
      </c>
      <c r="O373" s="34">
        <f t="shared" si="62"/>
        <v>71</v>
      </c>
      <c r="P373" s="34">
        <f t="shared" si="62"/>
        <v>83</v>
      </c>
      <c r="Q373" s="34">
        <f t="shared" si="62"/>
        <v>95</v>
      </c>
      <c r="R373" s="34">
        <f t="shared" si="62"/>
        <v>107</v>
      </c>
      <c r="S373" s="35">
        <f t="shared" si="56"/>
        <v>60</v>
      </c>
    </row>
    <row r="374" spans="2:19" hidden="1" outlineLevel="1">
      <c r="B374" s="14" t="s">
        <v>39</v>
      </c>
      <c r="C374" s="15" t="s">
        <v>65</v>
      </c>
      <c r="D374" s="52">
        <v>2048</v>
      </c>
      <c r="E374" s="34">
        <v>3</v>
      </c>
      <c r="F374" s="38">
        <f t="shared" si="53"/>
        <v>19941.416750810895</v>
      </c>
      <c r="G374" s="34">
        <f t="shared" si="54"/>
        <v>9</v>
      </c>
      <c r="H374" s="34">
        <f t="shared" si="55"/>
        <v>1</v>
      </c>
      <c r="I374" s="34" t="str">
        <f t="shared" si="62"/>
        <v/>
      </c>
      <c r="J374" s="34" t="str">
        <f t="shared" si="62"/>
        <v/>
      </c>
      <c r="K374" s="34" t="str">
        <f t="shared" si="62"/>
        <v/>
      </c>
      <c r="L374" s="34" t="str">
        <f t="shared" si="62"/>
        <v/>
      </c>
      <c r="M374" s="34" t="str">
        <f t="shared" si="62"/>
        <v/>
      </c>
      <c r="N374" s="34">
        <f t="shared" si="62"/>
        <v>60</v>
      </c>
      <c r="O374" s="34">
        <f t="shared" si="62"/>
        <v>70</v>
      </c>
      <c r="P374" s="34">
        <f t="shared" si="62"/>
        <v>82</v>
      </c>
      <c r="Q374" s="34">
        <f t="shared" si="62"/>
        <v>94</v>
      </c>
      <c r="R374" s="34">
        <f t="shared" si="62"/>
        <v>106</v>
      </c>
      <c r="S374" s="35">
        <f t="shared" si="56"/>
        <v>60</v>
      </c>
    </row>
    <row r="375" spans="2:19" hidden="1" outlineLevel="1">
      <c r="B375" s="14" t="s">
        <v>39</v>
      </c>
      <c r="C375" s="15" t="s">
        <v>65</v>
      </c>
      <c r="D375" s="52">
        <v>2048</v>
      </c>
      <c r="E375" s="34">
        <v>4</v>
      </c>
      <c r="F375" s="38">
        <f t="shared" si="53"/>
        <v>19941.416750810895</v>
      </c>
      <c r="G375" s="34">
        <f t="shared" si="54"/>
        <v>9</v>
      </c>
      <c r="H375" s="34">
        <f t="shared" si="55"/>
        <v>1</v>
      </c>
      <c r="I375" s="34" t="str">
        <f t="shared" si="62"/>
        <v/>
      </c>
      <c r="J375" s="34" t="str">
        <f t="shared" si="62"/>
        <v/>
      </c>
      <c r="K375" s="34" t="str">
        <f t="shared" si="62"/>
        <v/>
      </c>
      <c r="L375" s="34" t="str">
        <f t="shared" si="62"/>
        <v/>
      </c>
      <c r="M375" s="34" t="str">
        <f t="shared" si="62"/>
        <v/>
      </c>
      <c r="N375" s="34">
        <f t="shared" si="62"/>
        <v>60</v>
      </c>
      <c r="O375" s="34">
        <f t="shared" si="62"/>
        <v>69</v>
      </c>
      <c r="P375" s="34">
        <f t="shared" si="62"/>
        <v>81</v>
      </c>
      <c r="Q375" s="34">
        <f t="shared" si="62"/>
        <v>93</v>
      </c>
      <c r="R375" s="34">
        <f t="shared" si="62"/>
        <v>105</v>
      </c>
      <c r="S375" s="35">
        <f t="shared" si="56"/>
        <v>60</v>
      </c>
    </row>
    <row r="376" spans="2:19" hidden="1" outlineLevel="1">
      <c r="B376" s="14" t="s">
        <v>39</v>
      </c>
      <c r="C376" s="15" t="s">
        <v>65</v>
      </c>
      <c r="D376" s="52">
        <v>2048</v>
      </c>
      <c r="E376" s="34">
        <v>5</v>
      </c>
      <c r="F376" s="38">
        <f t="shared" ref="F376:F439" si="63">IF($C376="Homens",INDEX($C$5:$C$55,MATCH($D376,$B$5:$B$55,0)),INDEX($F$5:$F$55,MATCH($D376,$B$5:$B$55,0)))/12</f>
        <v>19941.416750810895</v>
      </c>
      <c r="G376" s="34">
        <f t="shared" ref="G376:G439" si="64">IF($C376="Homens",$Z$17,$AA$17)</f>
        <v>9</v>
      </c>
      <c r="H376" s="34">
        <f t="shared" ref="H376:H439" si="65">1+2*($B376="Com Transição")+($C376="Mulheres")</f>
        <v>1</v>
      </c>
      <c r="I376" s="34" t="str">
        <f t="shared" si="62"/>
        <v/>
      </c>
      <c r="J376" s="34" t="str">
        <f t="shared" si="62"/>
        <v/>
      </c>
      <c r="K376" s="34" t="str">
        <f t="shared" si="62"/>
        <v/>
      </c>
      <c r="L376" s="34" t="str">
        <f t="shared" si="62"/>
        <v/>
      </c>
      <c r="M376" s="34" t="str">
        <f t="shared" si="62"/>
        <v/>
      </c>
      <c r="N376" s="34">
        <f t="shared" si="62"/>
        <v>60</v>
      </c>
      <c r="O376" s="34">
        <f t="shared" si="62"/>
        <v>68</v>
      </c>
      <c r="P376" s="34">
        <f t="shared" si="62"/>
        <v>80</v>
      </c>
      <c r="Q376" s="34">
        <f t="shared" si="62"/>
        <v>92</v>
      </c>
      <c r="R376" s="34">
        <f t="shared" si="62"/>
        <v>104</v>
      </c>
      <c r="S376" s="35">
        <f t="shared" ref="S376:S439" si="66">IF($D376&lt;$Z$18,$G376,MIN(I376:R376))</f>
        <v>60</v>
      </c>
    </row>
    <row r="377" spans="2:19" hidden="1" outlineLevel="1">
      <c r="B377" s="14" t="s">
        <v>39</v>
      </c>
      <c r="C377" s="15" t="s">
        <v>65</v>
      </c>
      <c r="D377" s="52">
        <v>2048</v>
      </c>
      <c r="E377" s="34">
        <v>6</v>
      </c>
      <c r="F377" s="38">
        <f t="shared" si="63"/>
        <v>19941.416750810895</v>
      </c>
      <c r="G377" s="34">
        <f t="shared" si="64"/>
        <v>9</v>
      </c>
      <c r="H377" s="34">
        <f t="shared" si="65"/>
        <v>1</v>
      </c>
      <c r="I377" s="34" t="str">
        <f t="shared" si="62"/>
        <v/>
      </c>
      <c r="J377" s="34" t="str">
        <f t="shared" si="62"/>
        <v/>
      </c>
      <c r="K377" s="34" t="str">
        <f t="shared" si="62"/>
        <v/>
      </c>
      <c r="L377" s="34" t="str">
        <f t="shared" si="62"/>
        <v/>
      </c>
      <c r="M377" s="34" t="str">
        <f t="shared" si="62"/>
        <v/>
      </c>
      <c r="N377" s="34">
        <f t="shared" si="62"/>
        <v>60</v>
      </c>
      <c r="O377" s="34">
        <f t="shared" si="62"/>
        <v>67</v>
      </c>
      <c r="P377" s="34">
        <f t="shared" si="62"/>
        <v>79</v>
      </c>
      <c r="Q377" s="34">
        <f t="shared" si="62"/>
        <v>91</v>
      </c>
      <c r="R377" s="34">
        <f t="shared" si="62"/>
        <v>103</v>
      </c>
      <c r="S377" s="35">
        <f t="shared" si="66"/>
        <v>60</v>
      </c>
    </row>
    <row r="378" spans="2:19" hidden="1" outlineLevel="1">
      <c r="B378" s="14" t="s">
        <v>39</v>
      </c>
      <c r="C378" s="15" t="s">
        <v>65</v>
      </c>
      <c r="D378" s="52">
        <v>2048</v>
      </c>
      <c r="E378" s="34">
        <v>7</v>
      </c>
      <c r="F378" s="38">
        <f t="shared" si="63"/>
        <v>19941.416750810895</v>
      </c>
      <c r="G378" s="34">
        <f t="shared" si="64"/>
        <v>9</v>
      </c>
      <c r="H378" s="34">
        <f t="shared" si="65"/>
        <v>1</v>
      </c>
      <c r="I378" s="34" t="str">
        <f t="shared" si="62"/>
        <v/>
      </c>
      <c r="J378" s="34" t="str">
        <f t="shared" si="62"/>
        <v/>
      </c>
      <c r="K378" s="34" t="str">
        <f t="shared" si="62"/>
        <v/>
      </c>
      <c r="L378" s="34" t="str">
        <f t="shared" si="62"/>
        <v/>
      </c>
      <c r="M378" s="34" t="str">
        <f t="shared" si="62"/>
        <v/>
      </c>
      <c r="N378" s="34">
        <f t="shared" si="62"/>
        <v>60</v>
      </c>
      <c r="O378" s="34">
        <f t="shared" si="62"/>
        <v>66</v>
      </c>
      <c r="P378" s="34">
        <f t="shared" si="62"/>
        <v>78</v>
      </c>
      <c r="Q378" s="34">
        <f t="shared" si="62"/>
        <v>90</v>
      </c>
      <c r="R378" s="34">
        <f t="shared" si="62"/>
        <v>102</v>
      </c>
      <c r="S378" s="35">
        <f t="shared" si="66"/>
        <v>60</v>
      </c>
    </row>
    <row r="379" spans="2:19" hidden="1" outlineLevel="1">
      <c r="B379" s="14" t="s">
        <v>39</v>
      </c>
      <c r="C379" s="15" t="s">
        <v>65</v>
      </c>
      <c r="D379" s="52">
        <v>2048</v>
      </c>
      <c r="E379" s="34">
        <v>8</v>
      </c>
      <c r="F379" s="38">
        <f t="shared" si="63"/>
        <v>19941.416750810895</v>
      </c>
      <c r="G379" s="34">
        <f t="shared" si="64"/>
        <v>9</v>
      </c>
      <c r="H379" s="34">
        <f t="shared" si="65"/>
        <v>1</v>
      </c>
      <c r="I379" s="34" t="str">
        <f t="shared" si="62"/>
        <v/>
      </c>
      <c r="J379" s="34" t="str">
        <f t="shared" si="62"/>
        <v/>
      </c>
      <c r="K379" s="34" t="str">
        <f t="shared" si="62"/>
        <v/>
      </c>
      <c r="L379" s="34" t="str">
        <f t="shared" si="62"/>
        <v/>
      </c>
      <c r="M379" s="34" t="str">
        <f t="shared" si="62"/>
        <v/>
      </c>
      <c r="N379" s="34">
        <f t="shared" si="62"/>
        <v>60</v>
      </c>
      <c r="O379" s="34">
        <f t="shared" si="62"/>
        <v>65</v>
      </c>
      <c r="P379" s="34">
        <f t="shared" si="62"/>
        <v>77</v>
      </c>
      <c r="Q379" s="34">
        <f t="shared" si="62"/>
        <v>89</v>
      </c>
      <c r="R379" s="34">
        <f t="shared" si="62"/>
        <v>101</v>
      </c>
      <c r="S379" s="35">
        <f t="shared" si="66"/>
        <v>60</v>
      </c>
    </row>
    <row r="380" spans="2:19" hidden="1" outlineLevel="1">
      <c r="B380" s="14" t="s">
        <v>39</v>
      </c>
      <c r="C380" s="15" t="s">
        <v>65</v>
      </c>
      <c r="D380" s="52">
        <v>2048</v>
      </c>
      <c r="E380" s="34">
        <v>9</v>
      </c>
      <c r="F380" s="38">
        <f t="shared" si="63"/>
        <v>19941.416750810895</v>
      </c>
      <c r="G380" s="34">
        <f t="shared" si="64"/>
        <v>9</v>
      </c>
      <c r="H380" s="34">
        <f t="shared" si="65"/>
        <v>1</v>
      </c>
      <c r="I380" s="34" t="str">
        <f t="shared" ref="I380:R389" si="67">IF($D380&lt;$Z$18,"",IF(MAX($G380,INDEX($C$65:$F$108,$D380+I$119-2026,$H380))&lt;=12*I$119-$E380+12,MAX($G380,12*I$119-$E380+1,INDEX($C$65:$F$108,$D380+I$119-2026,$H380)),""))</f>
        <v/>
      </c>
      <c r="J380" s="34" t="str">
        <f t="shared" si="67"/>
        <v/>
      </c>
      <c r="K380" s="34" t="str">
        <f t="shared" si="67"/>
        <v/>
      </c>
      <c r="L380" s="34" t="str">
        <f t="shared" si="67"/>
        <v/>
      </c>
      <c r="M380" s="34" t="str">
        <f t="shared" si="67"/>
        <v/>
      </c>
      <c r="N380" s="34">
        <f t="shared" si="67"/>
        <v>60</v>
      </c>
      <c r="O380" s="34">
        <f t="shared" si="67"/>
        <v>64</v>
      </c>
      <c r="P380" s="34">
        <f t="shared" si="67"/>
        <v>76</v>
      </c>
      <c r="Q380" s="34">
        <f t="shared" si="67"/>
        <v>88</v>
      </c>
      <c r="R380" s="34">
        <f t="shared" si="67"/>
        <v>100</v>
      </c>
      <c r="S380" s="35">
        <f t="shared" si="66"/>
        <v>60</v>
      </c>
    </row>
    <row r="381" spans="2:19" hidden="1" outlineLevel="1">
      <c r="B381" s="14" t="s">
        <v>39</v>
      </c>
      <c r="C381" s="15" t="s">
        <v>65</v>
      </c>
      <c r="D381" s="52">
        <v>2048</v>
      </c>
      <c r="E381" s="34">
        <v>10</v>
      </c>
      <c r="F381" s="38">
        <f t="shared" si="63"/>
        <v>19941.416750810895</v>
      </c>
      <c r="G381" s="34">
        <f t="shared" si="64"/>
        <v>9</v>
      </c>
      <c r="H381" s="34">
        <f t="shared" si="65"/>
        <v>1</v>
      </c>
      <c r="I381" s="34" t="str">
        <f t="shared" si="67"/>
        <v/>
      </c>
      <c r="J381" s="34" t="str">
        <f t="shared" si="67"/>
        <v/>
      </c>
      <c r="K381" s="34" t="str">
        <f t="shared" si="67"/>
        <v/>
      </c>
      <c r="L381" s="34" t="str">
        <f t="shared" si="67"/>
        <v/>
      </c>
      <c r="M381" s="34" t="str">
        <f t="shared" si="67"/>
        <v/>
      </c>
      <c r="N381" s="34">
        <f t="shared" si="67"/>
        <v>60</v>
      </c>
      <c r="O381" s="34">
        <f t="shared" si="67"/>
        <v>63</v>
      </c>
      <c r="P381" s="34">
        <f t="shared" si="67"/>
        <v>75</v>
      </c>
      <c r="Q381" s="34">
        <f t="shared" si="67"/>
        <v>87</v>
      </c>
      <c r="R381" s="34">
        <f t="shared" si="67"/>
        <v>99</v>
      </c>
      <c r="S381" s="35">
        <f t="shared" si="66"/>
        <v>60</v>
      </c>
    </row>
    <row r="382" spans="2:19" hidden="1" outlineLevel="1">
      <c r="B382" s="14" t="s">
        <v>39</v>
      </c>
      <c r="C382" s="15" t="s">
        <v>65</v>
      </c>
      <c r="D382" s="52">
        <v>2048</v>
      </c>
      <c r="E382" s="34">
        <v>11</v>
      </c>
      <c r="F382" s="38">
        <f t="shared" si="63"/>
        <v>19941.416750810895</v>
      </c>
      <c r="G382" s="34">
        <f t="shared" si="64"/>
        <v>9</v>
      </c>
      <c r="H382" s="34">
        <f t="shared" si="65"/>
        <v>1</v>
      </c>
      <c r="I382" s="34" t="str">
        <f t="shared" si="67"/>
        <v/>
      </c>
      <c r="J382" s="34" t="str">
        <f t="shared" si="67"/>
        <v/>
      </c>
      <c r="K382" s="34" t="str">
        <f t="shared" si="67"/>
        <v/>
      </c>
      <c r="L382" s="34" t="str">
        <f t="shared" si="67"/>
        <v/>
      </c>
      <c r="M382" s="34" t="str">
        <f t="shared" si="67"/>
        <v/>
      </c>
      <c r="N382" s="34">
        <f t="shared" si="67"/>
        <v>60</v>
      </c>
      <c r="O382" s="34">
        <f t="shared" si="67"/>
        <v>62</v>
      </c>
      <c r="P382" s="34">
        <f t="shared" si="67"/>
        <v>74</v>
      </c>
      <c r="Q382" s="34">
        <f t="shared" si="67"/>
        <v>86</v>
      </c>
      <c r="R382" s="34">
        <f t="shared" si="67"/>
        <v>98</v>
      </c>
      <c r="S382" s="35">
        <f t="shared" si="66"/>
        <v>60</v>
      </c>
    </row>
    <row r="383" spans="2:19" hidden="1" outlineLevel="1">
      <c r="B383" s="14" t="s">
        <v>39</v>
      </c>
      <c r="C383" s="15" t="s">
        <v>65</v>
      </c>
      <c r="D383" s="52">
        <v>2048</v>
      </c>
      <c r="E383" s="34">
        <v>12</v>
      </c>
      <c r="F383" s="38">
        <f t="shared" si="63"/>
        <v>19941.416750810895</v>
      </c>
      <c r="G383" s="34">
        <f t="shared" si="64"/>
        <v>9</v>
      </c>
      <c r="H383" s="34">
        <f t="shared" si="65"/>
        <v>1</v>
      </c>
      <c r="I383" s="34" t="str">
        <f t="shared" si="67"/>
        <v/>
      </c>
      <c r="J383" s="34" t="str">
        <f t="shared" si="67"/>
        <v/>
      </c>
      <c r="K383" s="34" t="str">
        <f t="shared" si="67"/>
        <v/>
      </c>
      <c r="L383" s="34" t="str">
        <f t="shared" si="67"/>
        <v/>
      </c>
      <c r="M383" s="34" t="str">
        <f t="shared" si="67"/>
        <v/>
      </c>
      <c r="N383" s="34">
        <f t="shared" si="67"/>
        <v>60</v>
      </c>
      <c r="O383" s="34">
        <f t="shared" si="67"/>
        <v>61</v>
      </c>
      <c r="P383" s="34">
        <f t="shared" si="67"/>
        <v>73</v>
      </c>
      <c r="Q383" s="34">
        <f t="shared" si="67"/>
        <v>85</v>
      </c>
      <c r="R383" s="34">
        <f t="shared" si="67"/>
        <v>97</v>
      </c>
      <c r="S383" s="35">
        <f t="shared" si="66"/>
        <v>60</v>
      </c>
    </row>
    <row r="384" spans="2:19" hidden="1" outlineLevel="1">
      <c r="B384" s="14" t="s">
        <v>39</v>
      </c>
      <c r="C384" s="15" t="s">
        <v>65</v>
      </c>
      <c r="D384" s="52">
        <v>2049</v>
      </c>
      <c r="E384" s="34">
        <v>1</v>
      </c>
      <c r="F384" s="38">
        <f t="shared" si="63"/>
        <v>19732.37649745819</v>
      </c>
      <c r="G384" s="34">
        <f t="shared" si="64"/>
        <v>9</v>
      </c>
      <c r="H384" s="34">
        <f t="shared" si="65"/>
        <v>1</v>
      </c>
      <c r="I384" s="34" t="str">
        <f t="shared" si="67"/>
        <v/>
      </c>
      <c r="J384" s="34" t="str">
        <f t="shared" si="67"/>
        <v/>
      </c>
      <c r="K384" s="34" t="str">
        <f t="shared" si="67"/>
        <v/>
      </c>
      <c r="L384" s="34" t="str">
        <f t="shared" si="67"/>
        <v/>
      </c>
      <c r="M384" s="34" t="str">
        <f t="shared" si="67"/>
        <v/>
      </c>
      <c r="N384" s="34">
        <f t="shared" si="67"/>
        <v>60</v>
      </c>
      <c r="O384" s="34">
        <f t="shared" si="67"/>
        <v>72</v>
      </c>
      <c r="P384" s="34">
        <f t="shared" si="67"/>
        <v>84</v>
      </c>
      <c r="Q384" s="34">
        <f t="shared" si="67"/>
        <v>96</v>
      </c>
      <c r="R384" s="34">
        <f t="shared" si="67"/>
        <v>108</v>
      </c>
      <c r="S384" s="35">
        <f t="shared" si="66"/>
        <v>60</v>
      </c>
    </row>
    <row r="385" spans="2:19" hidden="1" outlineLevel="1">
      <c r="B385" s="14" t="s">
        <v>39</v>
      </c>
      <c r="C385" s="15" t="s">
        <v>65</v>
      </c>
      <c r="D385" s="52">
        <v>2049</v>
      </c>
      <c r="E385" s="34">
        <v>2</v>
      </c>
      <c r="F385" s="38">
        <f t="shared" si="63"/>
        <v>19732.37649745819</v>
      </c>
      <c r="G385" s="34">
        <f t="shared" si="64"/>
        <v>9</v>
      </c>
      <c r="H385" s="34">
        <f t="shared" si="65"/>
        <v>1</v>
      </c>
      <c r="I385" s="34" t="str">
        <f t="shared" si="67"/>
        <v/>
      </c>
      <c r="J385" s="34" t="str">
        <f t="shared" si="67"/>
        <v/>
      </c>
      <c r="K385" s="34" t="str">
        <f t="shared" si="67"/>
        <v/>
      </c>
      <c r="L385" s="34" t="str">
        <f t="shared" si="67"/>
        <v/>
      </c>
      <c r="M385" s="34" t="str">
        <f t="shared" si="67"/>
        <v/>
      </c>
      <c r="N385" s="34">
        <f t="shared" si="67"/>
        <v>60</v>
      </c>
      <c r="O385" s="34">
        <f t="shared" si="67"/>
        <v>71</v>
      </c>
      <c r="P385" s="34">
        <f t="shared" si="67"/>
        <v>83</v>
      </c>
      <c r="Q385" s="34">
        <f t="shared" si="67"/>
        <v>95</v>
      </c>
      <c r="R385" s="34">
        <f t="shared" si="67"/>
        <v>107</v>
      </c>
      <c r="S385" s="35">
        <f t="shared" si="66"/>
        <v>60</v>
      </c>
    </row>
    <row r="386" spans="2:19" hidden="1" outlineLevel="1">
      <c r="B386" s="14" t="s">
        <v>39</v>
      </c>
      <c r="C386" s="15" t="s">
        <v>65</v>
      </c>
      <c r="D386" s="52">
        <v>2049</v>
      </c>
      <c r="E386" s="34">
        <v>3</v>
      </c>
      <c r="F386" s="38">
        <f t="shared" si="63"/>
        <v>19732.37649745819</v>
      </c>
      <c r="G386" s="34">
        <f t="shared" si="64"/>
        <v>9</v>
      </c>
      <c r="H386" s="34">
        <f t="shared" si="65"/>
        <v>1</v>
      </c>
      <c r="I386" s="34" t="str">
        <f t="shared" si="67"/>
        <v/>
      </c>
      <c r="J386" s="34" t="str">
        <f t="shared" si="67"/>
        <v/>
      </c>
      <c r="K386" s="34" t="str">
        <f t="shared" si="67"/>
        <v/>
      </c>
      <c r="L386" s="34" t="str">
        <f t="shared" si="67"/>
        <v/>
      </c>
      <c r="M386" s="34" t="str">
        <f t="shared" si="67"/>
        <v/>
      </c>
      <c r="N386" s="34">
        <f t="shared" si="67"/>
        <v>60</v>
      </c>
      <c r="O386" s="34">
        <f t="shared" si="67"/>
        <v>70</v>
      </c>
      <c r="P386" s="34">
        <f t="shared" si="67"/>
        <v>82</v>
      </c>
      <c r="Q386" s="34">
        <f t="shared" si="67"/>
        <v>94</v>
      </c>
      <c r="R386" s="34">
        <f t="shared" si="67"/>
        <v>106</v>
      </c>
      <c r="S386" s="35">
        <f t="shared" si="66"/>
        <v>60</v>
      </c>
    </row>
    <row r="387" spans="2:19" hidden="1" outlineLevel="1">
      <c r="B387" s="14" t="s">
        <v>39</v>
      </c>
      <c r="C387" s="15" t="s">
        <v>65</v>
      </c>
      <c r="D387" s="52">
        <v>2049</v>
      </c>
      <c r="E387" s="34">
        <v>4</v>
      </c>
      <c r="F387" s="38">
        <f t="shared" si="63"/>
        <v>19732.37649745819</v>
      </c>
      <c r="G387" s="34">
        <f t="shared" si="64"/>
        <v>9</v>
      </c>
      <c r="H387" s="34">
        <f t="shared" si="65"/>
        <v>1</v>
      </c>
      <c r="I387" s="34" t="str">
        <f t="shared" si="67"/>
        <v/>
      </c>
      <c r="J387" s="34" t="str">
        <f t="shared" si="67"/>
        <v/>
      </c>
      <c r="K387" s="34" t="str">
        <f t="shared" si="67"/>
        <v/>
      </c>
      <c r="L387" s="34" t="str">
        <f t="shared" si="67"/>
        <v/>
      </c>
      <c r="M387" s="34" t="str">
        <f t="shared" si="67"/>
        <v/>
      </c>
      <c r="N387" s="34">
        <f t="shared" si="67"/>
        <v>60</v>
      </c>
      <c r="O387" s="34">
        <f t="shared" si="67"/>
        <v>69</v>
      </c>
      <c r="P387" s="34">
        <f t="shared" si="67"/>
        <v>81</v>
      </c>
      <c r="Q387" s="34">
        <f t="shared" si="67"/>
        <v>93</v>
      </c>
      <c r="R387" s="34">
        <f t="shared" si="67"/>
        <v>105</v>
      </c>
      <c r="S387" s="35">
        <f t="shared" si="66"/>
        <v>60</v>
      </c>
    </row>
    <row r="388" spans="2:19" hidden="1" outlineLevel="1">
      <c r="B388" s="14" t="s">
        <v>39</v>
      </c>
      <c r="C388" s="15" t="s">
        <v>65</v>
      </c>
      <c r="D388" s="52">
        <v>2049</v>
      </c>
      <c r="E388" s="34">
        <v>5</v>
      </c>
      <c r="F388" s="38">
        <f t="shared" si="63"/>
        <v>19732.37649745819</v>
      </c>
      <c r="G388" s="34">
        <f t="shared" si="64"/>
        <v>9</v>
      </c>
      <c r="H388" s="34">
        <f t="shared" si="65"/>
        <v>1</v>
      </c>
      <c r="I388" s="34" t="str">
        <f t="shared" si="67"/>
        <v/>
      </c>
      <c r="J388" s="34" t="str">
        <f t="shared" si="67"/>
        <v/>
      </c>
      <c r="K388" s="34" t="str">
        <f t="shared" si="67"/>
        <v/>
      </c>
      <c r="L388" s="34" t="str">
        <f t="shared" si="67"/>
        <v/>
      </c>
      <c r="M388" s="34" t="str">
        <f t="shared" si="67"/>
        <v/>
      </c>
      <c r="N388" s="34">
        <f t="shared" si="67"/>
        <v>60</v>
      </c>
      <c r="O388" s="34">
        <f t="shared" si="67"/>
        <v>68</v>
      </c>
      <c r="P388" s="34">
        <f t="shared" si="67"/>
        <v>80</v>
      </c>
      <c r="Q388" s="34">
        <f t="shared" si="67"/>
        <v>92</v>
      </c>
      <c r="R388" s="34">
        <f t="shared" si="67"/>
        <v>104</v>
      </c>
      <c r="S388" s="35">
        <f t="shared" si="66"/>
        <v>60</v>
      </c>
    </row>
    <row r="389" spans="2:19" hidden="1" outlineLevel="1">
      <c r="B389" s="14" t="s">
        <v>39</v>
      </c>
      <c r="C389" s="15" t="s">
        <v>65</v>
      </c>
      <c r="D389" s="52">
        <v>2049</v>
      </c>
      <c r="E389" s="34">
        <v>6</v>
      </c>
      <c r="F389" s="38">
        <f t="shared" si="63"/>
        <v>19732.37649745819</v>
      </c>
      <c r="G389" s="34">
        <f t="shared" si="64"/>
        <v>9</v>
      </c>
      <c r="H389" s="34">
        <f t="shared" si="65"/>
        <v>1</v>
      </c>
      <c r="I389" s="34" t="str">
        <f t="shared" si="67"/>
        <v/>
      </c>
      <c r="J389" s="34" t="str">
        <f t="shared" si="67"/>
        <v/>
      </c>
      <c r="K389" s="34" t="str">
        <f t="shared" si="67"/>
        <v/>
      </c>
      <c r="L389" s="34" t="str">
        <f t="shared" si="67"/>
        <v/>
      </c>
      <c r="M389" s="34" t="str">
        <f t="shared" si="67"/>
        <v/>
      </c>
      <c r="N389" s="34">
        <f t="shared" si="67"/>
        <v>60</v>
      </c>
      <c r="O389" s="34">
        <f t="shared" si="67"/>
        <v>67</v>
      </c>
      <c r="P389" s="34">
        <f t="shared" si="67"/>
        <v>79</v>
      </c>
      <c r="Q389" s="34">
        <f t="shared" si="67"/>
        <v>91</v>
      </c>
      <c r="R389" s="34">
        <f t="shared" si="67"/>
        <v>103</v>
      </c>
      <c r="S389" s="35">
        <f t="shared" si="66"/>
        <v>60</v>
      </c>
    </row>
    <row r="390" spans="2:19" hidden="1" outlineLevel="1">
      <c r="B390" s="14" t="s">
        <v>39</v>
      </c>
      <c r="C390" s="15" t="s">
        <v>65</v>
      </c>
      <c r="D390" s="52">
        <v>2049</v>
      </c>
      <c r="E390" s="34">
        <v>7</v>
      </c>
      <c r="F390" s="38">
        <f t="shared" si="63"/>
        <v>19732.37649745819</v>
      </c>
      <c r="G390" s="34">
        <f t="shared" si="64"/>
        <v>9</v>
      </c>
      <c r="H390" s="34">
        <f t="shared" si="65"/>
        <v>1</v>
      </c>
      <c r="I390" s="34" t="str">
        <f t="shared" ref="I390:R399" si="68">IF($D390&lt;$Z$18,"",IF(MAX($G390,INDEX($C$65:$F$108,$D390+I$119-2026,$H390))&lt;=12*I$119-$E390+12,MAX($G390,12*I$119-$E390+1,INDEX($C$65:$F$108,$D390+I$119-2026,$H390)),""))</f>
        <v/>
      </c>
      <c r="J390" s="34" t="str">
        <f t="shared" si="68"/>
        <v/>
      </c>
      <c r="K390" s="34" t="str">
        <f t="shared" si="68"/>
        <v/>
      </c>
      <c r="L390" s="34" t="str">
        <f t="shared" si="68"/>
        <v/>
      </c>
      <c r="M390" s="34" t="str">
        <f t="shared" si="68"/>
        <v/>
      </c>
      <c r="N390" s="34">
        <f t="shared" si="68"/>
        <v>60</v>
      </c>
      <c r="O390" s="34">
        <f t="shared" si="68"/>
        <v>66</v>
      </c>
      <c r="P390" s="34">
        <f t="shared" si="68"/>
        <v>78</v>
      </c>
      <c r="Q390" s="34">
        <f t="shared" si="68"/>
        <v>90</v>
      </c>
      <c r="R390" s="34">
        <f t="shared" si="68"/>
        <v>102</v>
      </c>
      <c r="S390" s="35">
        <f t="shared" si="66"/>
        <v>60</v>
      </c>
    </row>
    <row r="391" spans="2:19" hidden="1" outlineLevel="1">
      <c r="B391" s="14" t="s">
        <v>39</v>
      </c>
      <c r="C391" s="15" t="s">
        <v>65</v>
      </c>
      <c r="D391" s="52">
        <v>2049</v>
      </c>
      <c r="E391" s="34">
        <v>8</v>
      </c>
      <c r="F391" s="38">
        <f t="shared" si="63"/>
        <v>19732.37649745819</v>
      </c>
      <c r="G391" s="34">
        <f t="shared" si="64"/>
        <v>9</v>
      </c>
      <c r="H391" s="34">
        <f t="shared" si="65"/>
        <v>1</v>
      </c>
      <c r="I391" s="34" t="str">
        <f t="shared" si="68"/>
        <v/>
      </c>
      <c r="J391" s="34" t="str">
        <f t="shared" si="68"/>
        <v/>
      </c>
      <c r="K391" s="34" t="str">
        <f t="shared" si="68"/>
        <v/>
      </c>
      <c r="L391" s="34" t="str">
        <f t="shared" si="68"/>
        <v/>
      </c>
      <c r="M391" s="34" t="str">
        <f t="shared" si="68"/>
        <v/>
      </c>
      <c r="N391" s="34">
        <f t="shared" si="68"/>
        <v>60</v>
      </c>
      <c r="O391" s="34">
        <f t="shared" si="68"/>
        <v>65</v>
      </c>
      <c r="P391" s="34">
        <f t="shared" si="68"/>
        <v>77</v>
      </c>
      <c r="Q391" s="34">
        <f t="shared" si="68"/>
        <v>89</v>
      </c>
      <c r="R391" s="34">
        <f t="shared" si="68"/>
        <v>101</v>
      </c>
      <c r="S391" s="35">
        <f t="shared" si="66"/>
        <v>60</v>
      </c>
    </row>
    <row r="392" spans="2:19" hidden="1" outlineLevel="1">
      <c r="B392" s="14" t="s">
        <v>39</v>
      </c>
      <c r="C392" s="15" t="s">
        <v>65</v>
      </c>
      <c r="D392" s="52">
        <v>2049</v>
      </c>
      <c r="E392" s="34">
        <v>9</v>
      </c>
      <c r="F392" s="38">
        <f t="shared" si="63"/>
        <v>19732.37649745819</v>
      </c>
      <c r="G392" s="34">
        <f t="shared" si="64"/>
        <v>9</v>
      </c>
      <c r="H392" s="34">
        <f t="shared" si="65"/>
        <v>1</v>
      </c>
      <c r="I392" s="34" t="str">
        <f t="shared" si="68"/>
        <v/>
      </c>
      <c r="J392" s="34" t="str">
        <f t="shared" si="68"/>
        <v/>
      </c>
      <c r="K392" s="34" t="str">
        <f t="shared" si="68"/>
        <v/>
      </c>
      <c r="L392" s="34" t="str">
        <f t="shared" si="68"/>
        <v/>
      </c>
      <c r="M392" s="34" t="str">
        <f t="shared" si="68"/>
        <v/>
      </c>
      <c r="N392" s="34">
        <f t="shared" si="68"/>
        <v>60</v>
      </c>
      <c r="O392" s="34">
        <f t="shared" si="68"/>
        <v>64</v>
      </c>
      <c r="P392" s="34">
        <f t="shared" si="68"/>
        <v>76</v>
      </c>
      <c r="Q392" s="34">
        <f t="shared" si="68"/>
        <v>88</v>
      </c>
      <c r="R392" s="34">
        <f t="shared" si="68"/>
        <v>100</v>
      </c>
      <c r="S392" s="35">
        <f t="shared" si="66"/>
        <v>60</v>
      </c>
    </row>
    <row r="393" spans="2:19" hidden="1" outlineLevel="1">
      <c r="B393" s="14" t="s">
        <v>39</v>
      </c>
      <c r="C393" s="15" t="s">
        <v>65</v>
      </c>
      <c r="D393" s="52">
        <v>2049</v>
      </c>
      <c r="E393" s="34">
        <v>10</v>
      </c>
      <c r="F393" s="38">
        <f t="shared" si="63"/>
        <v>19732.37649745819</v>
      </c>
      <c r="G393" s="34">
        <f t="shared" si="64"/>
        <v>9</v>
      </c>
      <c r="H393" s="34">
        <f t="shared" si="65"/>
        <v>1</v>
      </c>
      <c r="I393" s="34" t="str">
        <f t="shared" si="68"/>
        <v/>
      </c>
      <c r="J393" s="34" t="str">
        <f t="shared" si="68"/>
        <v/>
      </c>
      <c r="K393" s="34" t="str">
        <f t="shared" si="68"/>
        <v/>
      </c>
      <c r="L393" s="34" t="str">
        <f t="shared" si="68"/>
        <v/>
      </c>
      <c r="M393" s="34" t="str">
        <f t="shared" si="68"/>
        <v/>
      </c>
      <c r="N393" s="34">
        <f t="shared" si="68"/>
        <v>60</v>
      </c>
      <c r="O393" s="34">
        <f t="shared" si="68"/>
        <v>63</v>
      </c>
      <c r="P393" s="34">
        <f t="shared" si="68"/>
        <v>75</v>
      </c>
      <c r="Q393" s="34">
        <f t="shared" si="68"/>
        <v>87</v>
      </c>
      <c r="R393" s="34">
        <f t="shared" si="68"/>
        <v>99</v>
      </c>
      <c r="S393" s="35">
        <f t="shared" si="66"/>
        <v>60</v>
      </c>
    </row>
    <row r="394" spans="2:19" hidden="1" outlineLevel="1">
      <c r="B394" s="14" t="s">
        <v>39</v>
      </c>
      <c r="C394" s="15" t="s">
        <v>65</v>
      </c>
      <c r="D394" s="52">
        <v>2049</v>
      </c>
      <c r="E394" s="34">
        <v>11</v>
      </c>
      <c r="F394" s="38">
        <f t="shared" si="63"/>
        <v>19732.37649745819</v>
      </c>
      <c r="G394" s="34">
        <f t="shared" si="64"/>
        <v>9</v>
      </c>
      <c r="H394" s="34">
        <f t="shared" si="65"/>
        <v>1</v>
      </c>
      <c r="I394" s="34" t="str">
        <f t="shared" si="68"/>
        <v/>
      </c>
      <c r="J394" s="34" t="str">
        <f t="shared" si="68"/>
        <v/>
      </c>
      <c r="K394" s="34" t="str">
        <f t="shared" si="68"/>
        <v/>
      </c>
      <c r="L394" s="34" t="str">
        <f t="shared" si="68"/>
        <v/>
      </c>
      <c r="M394" s="34" t="str">
        <f t="shared" si="68"/>
        <v/>
      </c>
      <c r="N394" s="34">
        <f t="shared" si="68"/>
        <v>60</v>
      </c>
      <c r="O394" s="34">
        <f t="shared" si="68"/>
        <v>62</v>
      </c>
      <c r="P394" s="34">
        <f t="shared" si="68"/>
        <v>74</v>
      </c>
      <c r="Q394" s="34">
        <f t="shared" si="68"/>
        <v>86</v>
      </c>
      <c r="R394" s="34">
        <f t="shared" si="68"/>
        <v>98</v>
      </c>
      <c r="S394" s="35">
        <f t="shared" si="66"/>
        <v>60</v>
      </c>
    </row>
    <row r="395" spans="2:19" hidden="1" outlineLevel="1">
      <c r="B395" s="14" t="s">
        <v>39</v>
      </c>
      <c r="C395" s="15" t="s">
        <v>65</v>
      </c>
      <c r="D395" s="52">
        <v>2049</v>
      </c>
      <c r="E395" s="34">
        <v>12</v>
      </c>
      <c r="F395" s="38">
        <f t="shared" si="63"/>
        <v>19732.37649745819</v>
      </c>
      <c r="G395" s="34">
        <f t="shared" si="64"/>
        <v>9</v>
      </c>
      <c r="H395" s="34">
        <f t="shared" si="65"/>
        <v>1</v>
      </c>
      <c r="I395" s="34" t="str">
        <f t="shared" si="68"/>
        <v/>
      </c>
      <c r="J395" s="34" t="str">
        <f t="shared" si="68"/>
        <v/>
      </c>
      <c r="K395" s="34" t="str">
        <f t="shared" si="68"/>
        <v/>
      </c>
      <c r="L395" s="34" t="str">
        <f t="shared" si="68"/>
        <v/>
      </c>
      <c r="M395" s="34" t="str">
        <f t="shared" si="68"/>
        <v/>
      </c>
      <c r="N395" s="34">
        <f t="shared" si="68"/>
        <v>60</v>
      </c>
      <c r="O395" s="34">
        <f t="shared" si="68"/>
        <v>61</v>
      </c>
      <c r="P395" s="34">
        <f t="shared" si="68"/>
        <v>73</v>
      </c>
      <c r="Q395" s="34">
        <f t="shared" si="68"/>
        <v>85</v>
      </c>
      <c r="R395" s="34">
        <f t="shared" si="68"/>
        <v>97</v>
      </c>
      <c r="S395" s="35">
        <f t="shared" si="66"/>
        <v>60</v>
      </c>
    </row>
    <row r="396" spans="2:19" hidden="1" outlineLevel="1">
      <c r="B396" s="14" t="s">
        <v>39</v>
      </c>
      <c r="C396" s="15" t="s">
        <v>65</v>
      </c>
      <c r="D396" s="52">
        <v>2050</v>
      </c>
      <c r="E396" s="34">
        <v>1</v>
      </c>
      <c r="F396" s="38">
        <f t="shared" si="63"/>
        <v>19614.323728512198</v>
      </c>
      <c r="G396" s="34">
        <f t="shared" si="64"/>
        <v>9</v>
      </c>
      <c r="H396" s="34">
        <f t="shared" si="65"/>
        <v>1</v>
      </c>
      <c r="I396" s="34" t="str">
        <f t="shared" si="68"/>
        <v/>
      </c>
      <c r="J396" s="34" t="str">
        <f t="shared" si="68"/>
        <v/>
      </c>
      <c r="K396" s="34" t="str">
        <f t="shared" si="68"/>
        <v/>
      </c>
      <c r="L396" s="34" t="str">
        <f t="shared" si="68"/>
        <v/>
      </c>
      <c r="M396" s="34" t="str">
        <f t="shared" si="68"/>
        <v/>
      </c>
      <c r="N396" s="34">
        <f t="shared" si="68"/>
        <v>60</v>
      </c>
      <c r="O396" s="34">
        <f t="shared" si="68"/>
        <v>72</v>
      </c>
      <c r="P396" s="34">
        <f t="shared" si="68"/>
        <v>84</v>
      </c>
      <c r="Q396" s="34">
        <f t="shared" si="68"/>
        <v>96</v>
      </c>
      <c r="R396" s="34">
        <f t="shared" si="68"/>
        <v>108</v>
      </c>
      <c r="S396" s="35">
        <f t="shared" si="66"/>
        <v>60</v>
      </c>
    </row>
    <row r="397" spans="2:19" hidden="1" outlineLevel="1">
      <c r="B397" s="14" t="s">
        <v>39</v>
      </c>
      <c r="C397" s="15" t="s">
        <v>65</v>
      </c>
      <c r="D397" s="52">
        <v>2050</v>
      </c>
      <c r="E397" s="34">
        <v>2</v>
      </c>
      <c r="F397" s="38">
        <f t="shared" si="63"/>
        <v>19614.323728512198</v>
      </c>
      <c r="G397" s="34">
        <f t="shared" si="64"/>
        <v>9</v>
      </c>
      <c r="H397" s="34">
        <f t="shared" si="65"/>
        <v>1</v>
      </c>
      <c r="I397" s="34" t="str">
        <f t="shared" si="68"/>
        <v/>
      </c>
      <c r="J397" s="34" t="str">
        <f t="shared" si="68"/>
        <v/>
      </c>
      <c r="K397" s="34" t="str">
        <f t="shared" si="68"/>
        <v/>
      </c>
      <c r="L397" s="34" t="str">
        <f t="shared" si="68"/>
        <v/>
      </c>
      <c r="M397" s="34" t="str">
        <f t="shared" si="68"/>
        <v/>
      </c>
      <c r="N397" s="34">
        <f t="shared" si="68"/>
        <v>60</v>
      </c>
      <c r="O397" s="34">
        <f t="shared" si="68"/>
        <v>71</v>
      </c>
      <c r="P397" s="34">
        <f t="shared" si="68"/>
        <v>83</v>
      </c>
      <c r="Q397" s="34">
        <f t="shared" si="68"/>
        <v>95</v>
      </c>
      <c r="R397" s="34">
        <f t="shared" si="68"/>
        <v>107</v>
      </c>
      <c r="S397" s="35">
        <f t="shared" si="66"/>
        <v>60</v>
      </c>
    </row>
    <row r="398" spans="2:19" hidden="1" outlineLevel="1">
      <c r="B398" s="14" t="s">
        <v>39</v>
      </c>
      <c r="C398" s="15" t="s">
        <v>65</v>
      </c>
      <c r="D398" s="52">
        <v>2050</v>
      </c>
      <c r="E398" s="34">
        <v>3</v>
      </c>
      <c r="F398" s="38">
        <f t="shared" si="63"/>
        <v>19614.323728512198</v>
      </c>
      <c r="G398" s="34">
        <f t="shared" si="64"/>
        <v>9</v>
      </c>
      <c r="H398" s="34">
        <f t="shared" si="65"/>
        <v>1</v>
      </c>
      <c r="I398" s="34" t="str">
        <f t="shared" si="68"/>
        <v/>
      </c>
      <c r="J398" s="34" t="str">
        <f t="shared" si="68"/>
        <v/>
      </c>
      <c r="K398" s="34" t="str">
        <f t="shared" si="68"/>
        <v/>
      </c>
      <c r="L398" s="34" t="str">
        <f t="shared" si="68"/>
        <v/>
      </c>
      <c r="M398" s="34" t="str">
        <f t="shared" si="68"/>
        <v/>
      </c>
      <c r="N398" s="34">
        <f t="shared" si="68"/>
        <v>60</v>
      </c>
      <c r="O398" s="34">
        <f t="shared" si="68"/>
        <v>70</v>
      </c>
      <c r="P398" s="34">
        <f t="shared" si="68"/>
        <v>82</v>
      </c>
      <c r="Q398" s="34">
        <f t="shared" si="68"/>
        <v>94</v>
      </c>
      <c r="R398" s="34">
        <f t="shared" si="68"/>
        <v>106</v>
      </c>
      <c r="S398" s="35">
        <f t="shared" si="66"/>
        <v>60</v>
      </c>
    </row>
    <row r="399" spans="2:19" hidden="1" outlineLevel="1">
      <c r="B399" s="14" t="s">
        <v>39</v>
      </c>
      <c r="C399" s="15" t="s">
        <v>65</v>
      </c>
      <c r="D399" s="52">
        <v>2050</v>
      </c>
      <c r="E399" s="34">
        <v>4</v>
      </c>
      <c r="F399" s="38">
        <f t="shared" si="63"/>
        <v>19614.323728512198</v>
      </c>
      <c r="G399" s="34">
        <f t="shared" si="64"/>
        <v>9</v>
      </c>
      <c r="H399" s="34">
        <f t="shared" si="65"/>
        <v>1</v>
      </c>
      <c r="I399" s="34" t="str">
        <f t="shared" si="68"/>
        <v/>
      </c>
      <c r="J399" s="34" t="str">
        <f t="shared" si="68"/>
        <v/>
      </c>
      <c r="K399" s="34" t="str">
        <f t="shared" si="68"/>
        <v/>
      </c>
      <c r="L399" s="34" t="str">
        <f t="shared" si="68"/>
        <v/>
      </c>
      <c r="M399" s="34" t="str">
        <f t="shared" si="68"/>
        <v/>
      </c>
      <c r="N399" s="34">
        <f t="shared" si="68"/>
        <v>60</v>
      </c>
      <c r="O399" s="34">
        <f t="shared" si="68"/>
        <v>69</v>
      </c>
      <c r="P399" s="34">
        <f t="shared" si="68"/>
        <v>81</v>
      </c>
      <c r="Q399" s="34">
        <f t="shared" si="68"/>
        <v>93</v>
      </c>
      <c r="R399" s="34">
        <f t="shared" si="68"/>
        <v>105</v>
      </c>
      <c r="S399" s="35">
        <f t="shared" si="66"/>
        <v>60</v>
      </c>
    </row>
    <row r="400" spans="2:19" hidden="1" outlineLevel="1">
      <c r="B400" s="14" t="s">
        <v>39</v>
      </c>
      <c r="C400" s="15" t="s">
        <v>65</v>
      </c>
      <c r="D400" s="52">
        <v>2050</v>
      </c>
      <c r="E400" s="34">
        <v>5</v>
      </c>
      <c r="F400" s="38">
        <f t="shared" si="63"/>
        <v>19614.323728512198</v>
      </c>
      <c r="G400" s="34">
        <f t="shared" si="64"/>
        <v>9</v>
      </c>
      <c r="H400" s="34">
        <f t="shared" si="65"/>
        <v>1</v>
      </c>
      <c r="I400" s="34" t="str">
        <f t="shared" ref="I400:R409" si="69">IF($D400&lt;$Z$18,"",IF(MAX($G400,INDEX($C$65:$F$108,$D400+I$119-2026,$H400))&lt;=12*I$119-$E400+12,MAX($G400,12*I$119-$E400+1,INDEX($C$65:$F$108,$D400+I$119-2026,$H400)),""))</f>
        <v/>
      </c>
      <c r="J400" s="34" t="str">
        <f t="shared" si="69"/>
        <v/>
      </c>
      <c r="K400" s="34" t="str">
        <f t="shared" si="69"/>
        <v/>
      </c>
      <c r="L400" s="34" t="str">
        <f t="shared" si="69"/>
        <v/>
      </c>
      <c r="M400" s="34" t="str">
        <f t="shared" si="69"/>
        <v/>
      </c>
      <c r="N400" s="34">
        <f t="shared" si="69"/>
        <v>60</v>
      </c>
      <c r="O400" s="34">
        <f t="shared" si="69"/>
        <v>68</v>
      </c>
      <c r="P400" s="34">
        <f t="shared" si="69"/>
        <v>80</v>
      </c>
      <c r="Q400" s="34">
        <f t="shared" si="69"/>
        <v>92</v>
      </c>
      <c r="R400" s="34">
        <f t="shared" si="69"/>
        <v>104</v>
      </c>
      <c r="S400" s="35">
        <f t="shared" si="66"/>
        <v>60</v>
      </c>
    </row>
    <row r="401" spans="2:19" hidden="1" outlineLevel="1">
      <c r="B401" s="14" t="s">
        <v>39</v>
      </c>
      <c r="C401" s="15" t="s">
        <v>65</v>
      </c>
      <c r="D401" s="52">
        <v>2050</v>
      </c>
      <c r="E401" s="34">
        <v>6</v>
      </c>
      <c r="F401" s="38">
        <f t="shared" si="63"/>
        <v>19614.323728512198</v>
      </c>
      <c r="G401" s="34">
        <f t="shared" si="64"/>
        <v>9</v>
      </c>
      <c r="H401" s="34">
        <f t="shared" si="65"/>
        <v>1</v>
      </c>
      <c r="I401" s="34" t="str">
        <f t="shared" si="69"/>
        <v/>
      </c>
      <c r="J401" s="34" t="str">
        <f t="shared" si="69"/>
        <v/>
      </c>
      <c r="K401" s="34" t="str">
        <f t="shared" si="69"/>
        <v/>
      </c>
      <c r="L401" s="34" t="str">
        <f t="shared" si="69"/>
        <v/>
      </c>
      <c r="M401" s="34" t="str">
        <f t="shared" si="69"/>
        <v/>
      </c>
      <c r="N401" s="34">
        <f t="shared" si="69"/>
        <v>60</v>
      </c>
      <c r="O401" s="34">
        <f t="shared" si="69"/>
        <v>67</v>
      </c>
      <c r="P401" s="34">
        <f t="shared" si="69"/>
        <v>79</v>
      </c>
      <c r="Q401" s="34">
        <f t="shared" si="69"/>
        <v>91</v>
      </c>
      <c r="R401" s="34">
        <f t="shared" si="69"/>
        <v>103</v>
      </c>
      <c r="S401" s="35">
        <f t="shared" si="66"/>
        <v>60</v>
      </c>
    </row>
    <row r="402" spans="2:19" hidden="1" outlineLevel="1">
      <c r="B402" s="14" t="s">
        <v>39</v>
      </c>
      <c r="C402" s="15" t="s">
        <v>65</v>
      </c>
      <c r="D402" s="52">
        <v>2050</v>
      </c>
      <c r="E402" s="34">
        <v>7</v>
      </c>
      <c r="F402" s="38">
        <f t="shared" si="63"/>
        <v>19614.323728512198</v>
      </c>
      <c r="G402" s="34">
        <f t="shared" si="64"/>
        <v>9</v>
      </c>
      <c r="H402" s="34">
        <f t="shared" si="65"/>
        <v>1</v>
      </c>
      <c r="I402" s="34" t="str">
        <f t="shared" si="69"/>
        <v/>
      </c>
      <c r="J402" s="34" t="str">
        <f t="shared" si="69"/>
        <v/>
      </c>
      <c r="K402" s="34" t="str">
        <f t="shared" si="69"/>
        <v/>
      </c>
      <c r="L402" s="34" t="str">
        <f t="shared" si="69"/>
        <v/>
      </c>
      <c r="M402" s="34" t="str">
        <f t="shared" si="69"/>
        <v/>
      </c>
      <c r="N402" s="34">
        <f t="shared" si="69"/>
        <v>60</v>
      </c>
      <c r="O402" s="34">
        <f t="shared" si="69"/>
        <v>66</v>
      </c>
      <c r="P402" s="34">
        <f t="shared" si="69"/>
        <v>78</v>
      </c>
      <c r="Q402" s="34">
        <f t="shared" si="69"/>
        <v>90</v>
      </c>
      <c r="R402" s="34">
        <f t="shared" si="69"/>
        <v>102</v>
      </c>
      <c r="S402" s="35">
        <f t="shared" si="66"/>
        <v>60</v>
      </c>
    </row>
    <row r="403" spans="2:19" hidden="1" outlineLevel="1">
      <c r="B403" s="14" t="s">
        <v>39</v>
      </c>
      <c r="C403" s="15" t="s">
        <v>65</v>
      </c>
      <c r="D403" s="52">
        <v>2050</v>
      </c>
      <c r="E403" s="34">
        <v>8</v>
      </c>
      <c r="F403" s="38">
        <f t="shared" si="63"/>
        <v>19614.323728512198</v>
      </c>
      <c r="G403" s="34">
        <f t="shared" si="64"/>
        <v>9</v>
      </c>
      <c r="H403" s="34">
        <f t="shared" si="65"/>
        <v>1</v>
      </c>
      <c r="I403" s="34" t="str">
        <f t="shared" si="69"/>
        <v/>
      </c>
      <c r="J403" s="34" t="str">
        <f t="shared" si="69"/>
        <v/>
      </c>
      <c r="K403" s="34" t="str">
        <f t="shared" si="69"/>
        <v/>
      </c>
      <c r="L403" s="34" t="str">
        <f t="shared" si="69"/>
        <v/>
      </c>
      <c r="M403" s="34" t="str">
        <f t="shared" si="69"/>
        <v/>
      </c>
      <c r="N403" s="34">
        <f t="shared" si="69"/>
        <v>60</v>
      </c>
      <c r="O403" s="34">
        <f t="shared" si="69"/>
        <v>65</v>
      </c>
      <c r="P403" s="34">
        <f t="shared" si="69"/>
        <v>77</v>
      </c>
      <c r="Q403" s="34">
        <f t="shared" si="69"/>
        <v>89</v>
      </c>
      <c r="R403" s="34">
        <f t="shared" si="69"/>
        <v>101</v>
      </c>
      <c r="S403" s="35">
        <f t="shared" si="66"/>
        <v>60</v>
      </c>
    </row>
    <row r="404" spans="2:19" hidden="1" outlineLevel="1">
      <c r="B404" s="14" t="s">
        <v>39</v>
      </c>
      <c r="C404" s="15" t="s">
        <v>65</v>
      </c>
      <c r="D404" s="52">
        <v>2050</v>
      </c>
      <c r="E404" s="34">
        <v>9</v>
      </c>
      <c r="F404" s="38">
        <f t="shared" si="63"/>
        <v>19614.323728512198</v>
      </c>
      <c r="G404" s="34">
        <f t="shared" si="64"/>
        <v>9</v>
      </c>
      <c r="H404" s="34">
        <f t="shared" si="65"/>
        <v>1</v>
      </c>
      <c r="I404" s="34" t="str">
        <f t="shared" si="69"/>
        <v/>
      </c>
      <c r="J404" s="34" t="str">
        <f t="shared" si="69"/>
        <v/>
      </c>
      <c r="K404" s="34" t="str">
        <f t="shared" si="69"/>
        <v/>
      </c>
      <c r="L404" s="34" t="str">
        <f t="shared" si="69"/>
        <v/>
      </c>
      <c r="M404" s="34" t="str">
        <f t="shared" si="69"/>
        <v/>
      </c>
      <c r="N404" s="34">
        <f t="shared" si="69"/>
        <v>60</v>
      </c>
      <c r="O404" s="34">
        <f t="shared" si="69"/>
        <v>64</v>
      </c>
      <c r="P404" s="34">
        <f t="shared" si="69"/>
        <v>76</v>
      </c>
      <c r="Q404" s="34">
        <f t="shared" si="69"/>
        <v>88</v>
      </c>
      <c r="R404" s="34">
        <f t="shared" si="69"/>
        <v>100</v>
      </c>
      <c r="S404" s="35">
        <f t="shared" si="66"/>
        <v>60</v>
      </c>
    </row>
    <row r="405" spans="2:19" hidden="1" outlineLevel="1">
      <c r="B405" s="14" t="s">
        <v>39</v>
      </c>
      <c r="C405" s="15" t="s">
        <v>65</v>
      </c>
      <c r="D405" s="52">
        <v>2050</v>
      </c>
      <c r="E405" s="34">
        <v>10</v>
      </c>
      <c r="F405" s="38">
        <f t="shared" si="63"/>
        <v>19614.323728512198</v>
      </c>
      <c r="G405" s="34">
        <f t="shared" si="64"/>
        <v>9</v>
      </c>
      <c r="H405" s="34">
        <f t="shared" si="65"/>
        <v>1</v>
      </c>
      <c r="I405" s="34" t="str">
        <f t="shared" si="69"/>
        <v/>
      </c>
      <c r="J405" s="34" t="str">
        <f t="shared" si="69"/>
        <v/>
      </c>
      <c r="K405" s="34" t="str">
        <f t="shared" si="69"/>
        <v/>
      </c>
      <c r="L405" s="34" t="str">
        <f t="shared" si="69"/>
        <v/>
      </c>
      <c r="M405" s="34" t="str">
        <f t="shared" si="69"/>
        <v/>
      </c>
      <c r="N405" s="34">
        <f t="shared" si="69"/>
        <v>60</v>
      </c>
      <c r="O405" s="34">
        <f t="shared" si="69"/>
        <v>63</v>
      </c>
      <c r="P405" s="34">
        <f t="shared" si="69"/>
        <v>75</v>
      </c>
      <c r="Q405" s="34">
        <f t="shared" si="69"/>
        <v>87</v>
      </c>
      <c r="R405" s="34">
        <f t="shared" si="69"/>
        <v>99</v>
      </c>
      <c r="S405" s="35">
        <f t="shared" si="66"/>
        <v>60</v>
      </c>
    </row>
    <row r="406" spans="2:19" hidden="1" outlineLevel="1">
      <c r="B406" s="14" t="s">
        <v>39</v>
      </c>
      <c r="C406" s="15" t="s">
        <v>65</v>
      </c>
      <c r="D406" s="52">
        <v>2050</v>
      </c>
      <c r="E406" s="34">
        <v>11</v>
      </c>
      <c r="F406" s="38">
        <f t="shared" si="63"/>
        <v>19614.323728512198</v>
      </c>
      <c r="G406" s="34">
        <f t="shared" si="64"/>
        <v>9</v>
      </c>
      <c r="H406" s="34">
        <f t="shared" si="65"/>
        <v>1</v>
      </c>
      <c r="I406" s="34" t="str">
        <f t="shared" si="69"/>
        <v/>
      </c>
      <c r="J406" s="34" t="str">
        <f t="shared" si="69"/>
        <v/>
      </c>
      <c r="K406" s="34" t="str">
        <f t="shared" si="69"/>
        <v/>
      </c>
      <c r="L406" s="34" t="str">
        <f t="shared" si="69"/>
        <v/>
      </c>
      <c r="M406" s="34" t="str">
        <f t="shared" si="69"/>
        <v/>
      </c>
      <c r="N406" s="34">
        <f t="shared" si="69"/>
        <v>60</v>
      </c>
      <c r="O406" s="34">
        <f t="shared" si="69"/>
        <v>62</v>
      </c>
      <c r="P406" s="34">
        <f t="shared" si="69"/>
        <v>74</v>
      </c>
      <c r="Q406" s="34">
        <f t="shared" si="69"/>
        <v>86</v>
      </c>
      <c r="R406" s="34">
        <f t="shared" si="69"/>
        <v>98</v>
      </c>
      <c r="S406" s="35">
        <f t="shared" si="66"/>
        <v>60</v>
      </c>
    </row>
    <row r="407" spans="2:19" hidden="1" outlineLevel="1">
      <c r="B407" s="14" t="s">
        <v>39</v>
      </c>
      <c r="C407" s="15" t="s">
        <v>65</v>
      </c>
      <c r="D407" s="52">
        <v>2050</v>
      </c>
      <c r="E407" s="34">
        <v>12</v>
      </c>
      <c r="F407" s="38">
        <f t="shared" si="63"/>
        <v>19614.323728512198</v>
      </c>
      <c r="G407" s="34">
        <f t="shared" si="64"/>
        <v>9</v>
      </c>
      <c r="H407" s="34">
        <f t="shared" si="65"/>
        <v>1</v>
      </c>
      <c r="I407" s="34" t="str">
        <f t="shared" si="69"/>
        <v/>
      </c>
      <c r="J407" s="34" t="str">
        <f t="shared" si="69"/>
        <v/>
      </c>
      <c r="K407" s="34" t="str">
        <f t="shared" si="69"/>
        <v/>
      </c>
      <c r="L407" s="34" t="str">
        <f t="shared" si="69"/>
        <v/>
      </c>
      <c r="M407" s="34" t="str">
        <f t="shared" si="69"/>
        <v/>
      </c>
      <c r="N407" s="34">
        <f t="shared" si="69"/>
        <v>60</v>
      </c>
      <c r="O407" s="34">
        <f t="shared" si="69"/>
        <v>61</v>
      </c>
      <c r="P407" s="34">
        <f t="shared" si="69"/>
        <v>73</v>
      </c>
      <c r="Q407" s="34">
        <f t="shared" si="69"/>
        <v>85</v>
      </c>
      <c r="R407" s="34">
        <f t="shared" si="69"/>
        <v>97</v>
      </c>
      <c r="S407" s="35">
        <f t="shared" si="66"/>
        <v>60</v>
      </c>
    </row>
    <row r="408" spans="2:19" hidden="1" outlineLevel="1">
      <c r="B408" s="14" t="s">
        <v>39</v>
      </c>
      <c r="C408" s="15" t="s">
        <v>65</v>
      </c>
      <c r="D408" s="52">
        <v>2051</v>
      </c>
      <c r="E408" s="34">
        <v>1</v>
      </c>
      <c r="F408" s="38">
        <f t="shared" si="63"/>
        <v>19628.513295163855</v>
      </c>
      <c r="G408" s="34">
        <f t="shared" si="64"/>
        <v>9</v>
      </c>
      <c r="H408" s="34">
        <f t="shared" si="65"/>
        <v>1</v>
      </c>
      <c r="I408" s="34" t="str">
        <f t="shared" si="69"/>
        <v/>
      </c>
      <c r="J408" s="34" t="str">
        <f t="shared" si="69"/>
        <v/>
      </c>
      <c r="K408" s="34" t="str">
        <f t="shared" si="69"/>
        <v/>
      </c>
      <c r="L408" s="34" t="str">
        <f t="shared" si="69"/>
        <v/>
      </c>
      <c r="M408" s="34" t="str">
        <f t="shared" si="69"/>
        <v/>
      </c>
      <c r="N408" s="34">
        <f t="shared" si="69"/>
        <v>60</v>
      </c>
      <c r="O408" s="34">
        <f t="shared" si="69"/>
        <v>72</v>
      </c>
      <c r="P408" s="34">
        <f t="shared" si="69"/>
        <v>84</v>
      </c>
      <c r="Q408" s="34">
        <f t="shared" si="69"/>
        <v>96</v>
      </c>
      <c r="R408" s="34">
        <f t="shared" si="69"/>
        <v>108</v>
      </c>
      <c r="S408" s="35">
        <f t="shared" si="66"/>
        <v>60</v>
      </c>
    </row>
    <row r="409" spans="2:19" hidden="1" outlineLevel="1">
      <c r="B409" s="14" t="s">
        <v>39</v>
      </c>
      <c r="C409" s="15" t="s">
        <v>65</v>
      </c>
      <c r="D409" s="52">
        <v>2051</v>
      </c>
      <c r="E409" s="34">
        <v>2</v>
      </c>
      <c r="F409" s="38">
        <f t="shared" si="63"/>
        <v>19628.513295163855</v>
      </c>
      <c r="G409" s="34">
        <f t="shared" si="64"/>
        <v>9</v>
      </c>
      <c r="H409" s="34">
        <f t="shared" si="65"/>
        <v>1</v>
      </c>
      <c r="I409" s="34" t="str">
        <f t="shared" si="69"/>
        <v/>
      </c>
      <c r="J409" s="34" t="str">
        <f t="shared" si="69"/>
        <v/>
      </c>
      <c r="K409" s="34" t="str">
        <f t="shared" si="69"/>
        <v/>
      </c>
      <c r="L409" s="34" t="str">
        <f t="shared" si="69"/>
        <v/>
      </c>
      <c r="M409" s="34" t="str">
        <f t="shared" si="69"/>
        <v/>
      </c>
      <c r="N409" s="34">
        <f t="shared" si="69"/>
        <v>60</v>
      </c>
      <c r="O409" s="34">
        <f t="shared" si="69"/>
        <v>71</v>
      </c>
      <c r="P409" s="34">
        <f t="shared" si="69"/>
        <v>83</v>
      </c>
      <c r="Q409" s="34">
        <f t="shared" si="69"/>
        <v>95</v>
      </c>
      <c r="R409" s="34">
        <f t="shared" si="69"/>
        <v>107</v>
      </c>
      <c r="S409" s="35">
        <f t="shared" si="66"/>
        <v>60</v>
      </c>
    </row>
    <row r="410" spans="2:19" hidden="1" outlineLevel="1">
      <c r="B410" s="14" t="s">
        <v>39</v>
      </c>
      <c r="C410" s="15" t="s">
        <v>65</v>
      </c>
      <c r="D410" s="52">
        <v>2051</v>
      </c>
      <c r="E410" s="34">
        <v>3</v>
      </c>
      <c r="F410" s="38">
        <f t="shared" si="63"/>
        <v>19628.513295163855</v>
      </c>
      <c r="G410" s="34">
        <f t="shared" si="64"/>
        <v>9</v>
      </c>
      <c r="H410" s="34">
        <f t="shared" si="65"/>
        <v>1</v>
      </c>
      <c r="I410" s="34" t="str">
        <f t="shared" ref="I410:R419" si="70">IF($D410&lt;$Z$18,"",IF(MAX($G410,INDEX($C$65:$F$108,$D410+I$119-2026,$H410))&lt;=12*I$119-$E410+12,MAX($G410,12*I$119-$E410+1,INDEX($C$65:$F$108,$D410+I$119-2026,$H410)),""))</f>
        <v/>
      </c>
      <c r="J410" s="34" t="str">
        <f t="shared" si="70"/>
        <v/>
      </c>
      <c r="K410" s="34" t="str">
        <f t="shared" si="70"/>
        <v/>
      </c>
      <c r="L410" s="34" t="str">
        <f t="shared" si="70"/>
        <v/>
      </c>
      <c r="M410" s="34" t="str">
        <f t="shared" si="70"/>
        <v/>
      </c>
      <c r="N410" s="34">
        <f t="shared" si="70"/>
        <v>60</v>
      </c>
      <c r="O410" s="34">
        <f t="shared" si="70"/>
        <v>70</v>
      </c>
      <c r="P410" s="34">
        <f t="shared" si="70"/>
        <v>82</v>
      </c>
      <c r="Q410" s="34">
        <f t="shared" si="70"/>
        <v>94</v>
      </c>
      <c r="R410" s="34">
        <f t="shared" si="70"/>
        <v>106</v>
      </c>
      <c r="S410" s="35">
        <f t="shared" si="66"/>
        <v>60</v>
      </c>
    </row>
    <row r="411" spans="2:19" hidden="1" outlineLevel="1">
      <c r="B411" s="14" t="s">
        <v>39</v>
      </c>
      <c r="C411" s="15" t="s">
        <v>65</v>
      </c>
      <c r="D411" s="52">
        <v>2051</v>
      </c>
      <c r="E411" s="34">
        <v>4</v>
      </c>
      <c r="F411" s="38">
        <f t="shared" si="63"/>
        <v>19628.513295163855</v>
      </c>
      <c r="G411" s="34">
        <f t="shared" si="64"/>
        <v>9</v>
      </c>
      <c r="H411" s="34">
        <f t="shared" si="65"/>
        <v>1</v>
      </c>
      <c r="I411" s="34" t="str">
        <f t="shared" si="70"/>
        <v/>
      </c>
      <c r="J411" s="34" t="str">
        <f t="shared" si="70"/>
        <v/>
      </c>
      <c r="K411" s="34" t="str">
        <f t="shared" si="70"/>
        <v/>
      </c>
      <c r="L411" s="34" t="str">
        <f t="shared" si="70"/>
        <v/>
      </c>
      <c r="M411" s="34" t="str">
        <f t="shared" si="70"/>
        <v/>
      </c>
      <c r="N411" s="34">
        <f t="shared" si="70"/>
        <v>60</v>
      </c>
      <c r="O411" s="34">
        <f t="shared" si="70"/>
        <v>69</v>
      </c>
      <c r="P411" s="34">
        <f t="shared" si="70"/>
        <v>81</v>
      </c>
      <c r="Q411" s="34">
        <f t="shared" si="70"/>
        <v>93</v>
      </c>
      <c r="R411" s="34">
        <f t="shared" si="70"/>
        <v>105</v>
      </c>
      <c r="S411" s="35">
        <f t="shared" si="66"/>
        <v>60</v>
      </c>
    </row>
    <row r="412" spans="2:19" hidden="1" outlineLevel="1">
      <c r="B412" s="14" t="s">
        <v>39</v>
      </c>
      <c r="C412" s="15" t="s">
        <v>65</v>
      </c>
      <c r="D412" s="52">
        <v>2051</v>
      </c>
      <c r="E412" s="34">
        <v>5</v>
      </c>
      <c r="F412" s="38">
        <f t="shared" si="63"/>
        <v>19628.513295163855</v>
      </c>
      <c r="G412" s="34">
        <f t="shared" si="64"/>
        <v>9</v>
      </c>
      <c r="H412" s="34">
        <f t="shared" si="65"/>
        <v>1</v>
      </c>
      <c r="I412" s="34" t="str">
        <f t="shared" si="70"/>
        <v/>
      </c>
      <c r="J412" s="34" t="str">
        <f t="shared" si="70"/>
        <v/>
      </c>
      <c r="K412" s="34" t="str">
        <f t="shared" si="70"/>
        <v/>
      </c>
      <c r="L412" s="34" t="str">
        <f t="shared" si="70"/>
        <v/>
      </c>
      <c r="M412" s="34" t="str">
        <f t="shared" si="70"/>
        <v/>
      </c>
      <c r="N412" s="34">
        <f t="shared" si="70"/>
        <v>60</v>
      </c>
      <c r="O412" s="34">
        <f t="shared" si="70"/>
        <v>68</v>
      </c>
      <c r="P412" s="34">
        <f t="shared" si="70"/>
        <v>80</v>
      </c>
      <c r="Q412" s="34">
        <f t="shared" si="70"/>
        <v>92</v>
      </c>
      <c r="R412" s="34">
        <f t="shared" si="70"/>
        <v>104</v>
      </c>
      <c r="S412" s="35">
        <f t="shared" si="66"/>
        <v>60</v>
      </c>
    </row>
    <row r="413" spans="2:19" hidden="1" outlineLevel="1">
      <c r="B413" s="14" t="s">
        <v>39</v>
      </c>
      <c r="C413" s="15" t="s">
        <v>65</v>
      </c>
      <c r="D413" s="52">
        <v>2051</v>
      </c>
      <c r="E413" s="34">
        <v>6</v>
      </c>
      <c r="F413" s="38">
        <f t="shared" si="63"/>
        <v>19628.513295163855</v>
      </c>
      <c r="G413" s="34">
        <f t="shared" si="64"/>
        <v>9</v>
      </c>
      <c r="H413" s="34">
        <f t="shared" si="65"/>
        <v>1</v>
      </c>
      <c r="I413" s="34" t="str">
        <f t="shared" si="70"/>
        <v/>
      </c>
      <c r="J413" s="34" t="str">
        <f t="shared" si="70"/>
        <v/>
      </c>
      <c r="K413" s="34" t="str">
        <f t="shared" si="70"/>
        <v/>
      </c>
      <c r="L413" s="34" t="str">
        <f t="shared" si="70"/>
        <v/>
      </c>
      <c r="M413" s="34" t="str">
        <f t="shared" si="70"/>
        <v/>
      </c>
      <c r="N413" s="34">
        <f t="shared" si="70"/>
        <v>60</v>
      </c>
      <c r="O413" s="34">
        <f t="shared" si="70"/>
        <v>67</v>
      </c>
      <c r="P413" s="34">
        <f t="shared" si="70"/>
        <v>79</v>
      </c>
      <c r="Q413" s="34">
        <f t="shared" si="70"/>
        <v>91</v>
      </c>
      <c r="R413" s="34">
        <f t="shared" si="70"/>
        <v>103</v>
      </c>
      <c r="S413" s="35">
        <f t="shared" si="66"/>
        <v>60</v>
      </c>
    </row>
    <row r="414" spans="2:19" hidden="1" outlineLevel="1">
      <c r="B414" s="14" t="s">
        <v>39</v>
      </c>
      <c r="C414" s="15" t="s">
        <v>65</v>
      </c>
      <c r="D414" s="52">
        <v>2051</v>
      </c>
      <c r="E414" s="34">
        <v>7</v>
      </c>
      <c r="F414" s="38">
        <f t="shared" si="63"/>
        <v>19628.513295163855</v>
      </c>
      <c r="G414" s="34">
        <f t="shared" si="64"/>
        <v>9</v>
      </c>
      <c r="H414" s="34">
        <f t="shared" si="65"/>
        <v>1</v>
      </c>
      <c r="I414" s="34" t="str">
        <f t="shared" si="70"/>
        <v/>
      </c>
      <c r="J414" s="34" t="str">
        <f t="shared" si="70"/>
        <v/>
      </c>
      <c r="K414" s="34" t="str">
        <f t="shared" si="70"/>
        <v/>
      </c>
      <c r="L414" s="34" t="str">
        <f t="shared" si="70"/>
        <v/>
      </c>
      <c r="M414" s="34" t="str">
        <f t="shared" si="70"/>
        <v/>
      </c>
      <c r="N414" s="34">
        <f t="shared" si="70"/>
        <v>60</v>
      </c>
      <c r="O414" s="34">
        <f t="shared" si="70"/>
        <v>66</v>
      </c>
      <c r="P414" s="34">
        <f t="shared" si="70"/>
        <v>78</v>
      </c>
      <c r="Q414" s="34">
        <f t="shared" si="70"/>
        <v>90</v>
      </c>
      <c r="R414" s="34">
        <f t="shared" si="70"/>
        <v>102</v>
      </c>
      <c r="S414" s="35">
        <f t="shared" si="66"/>
        <v>60</v>
      </c>
    </row>
    <row r="415" spans="2:19" hidden="1" outlineLevel="1">
      <c r="B415" s="14" t="s">
        <v>39</v>
      </c>
      <c r="C415" s="15" t="s">
        <v>65</v>
      </c>
      <c r="D415" s="52">
        <v>2051</v>
      </c>
      <c r="E415" s="34">
        <v>8</v>
      </c>
      <c r="F415" s="38">
        <f t="shared" si="63"/>
        <v>19628.513295163855</v>
      </c>
      <c r="G415" s="34">
        <f t="shared" si="64"/>
        <v>9</v>
      </c>
      <c r="H415" s="34">
        <f t="shared" si="65"/>
        <v>1</v>
      </c>
      <c r="I415" s="34" t="str">
        <f t="shared" si="70"/>
        <v/>
      </c>
      <c r="J415" s="34" t="str">
        <f t="shared" si="70"/>
        <v/>
      </c>
      <c r="K415" s="34" t="str">
        <f t="shared" si="70"/>
        <v/>
      </c>
      <c r="L415" s="34" t="str">
        <f t="shared" si="70"/>
        <v/>
      </c>
      <c r="M415" s="34" t="str">
        <f t="shared" si="70"/>
        <v/>
      </c>
      <c r="N415" s="34">
        <f t="shared" si="70"/>
        <v>60</v>
      </c>
      <c r="O415" s="34">
        <f t="shared" si="70"/>
        <v>65</v>
      </c>
      <c r="P415" s="34">
        <f t="shared" si="70"/>
        <v>77</v>
      </c>
      <c r="Q415" s="34">
        <f t="shared" si="70"/>
        <v>89</v>
      </c>
      <c r="R415" s="34">
        <f t="shared" si="70"/>
        <v>101</v>
      </c>
      <c r="S415" s="35">
        <f t="shared" si="66"/>
        <v>60</v>
      </c>
    </row>
    <row r="416" spans="2:19" hidden="1" outlineLevel="1">
      <c r="B416" s="14" t="s">
        <v>39</v>
      </c>
      <c r="C416" s="15" t="s">
        <v>65</v>
      </c>
      <c r="D416" s="52">
        <v>2051</v>
      </c>
      <c r="E416" s="34">
        <v>9</v>
      </c>
      <c r="F416" s="38">
        <f t="shared" si="63"/>
        <v>19628.513295163855</v>
      </c>
      <c r="G416" s="34">
        <f t="shared" si="64"/>
        <v>9</v>
      </c>
      <c r="H416" s="34">
        <f t="shared" si="65"/>
        <v>1</v>
      </c>
      <c r="I416" s="34" t="str">
        <f t="shared" si="70"/>
        <v/>
      </c>
      <c r="J416" s="34" t="str">
        <f t="shared" si="70"/>
        <v/>
      </c>
      <c r="K416" s="34" t="str">
        <f t="shared" si="70"/>
        <v/>
      </c>
      <c r="L416" s="34" t="str">
        <f t="shared" si="70"/>
        <v/>
      </c>
      <c r="M416" s="34" t="str">
        <f t="shared" si="70"/>
        <v/>
      </c>
      <c r="N416" s="34">
        <f t="shared" si="70"/>
        <v>60</v>
      </c>
      <c r="O416" s="34">
        <f t="shared" si="70"/>
        <v>64</v>
      </c>
      <c r="P416" s="34">
        <f t="shared" si="70"/>
        <v>76</v>
      </c>
      <c r="Q416" s="34">
        <f t="shared" si="70"/>
        <v>88</v>
      </c>
      <c r="R416" s="34">
        <f t="shared" si="70"/>
        <v>100</v>
      </c>
      <c r="S416" s="35">
        <f t="shared" si="66"/>
        <v>60</v>
      </c>
    </row>
    <row r="417" spans="2:19" hidden="1" outlineLevel="1">
      <c r="B417" s="14" t="s">
        <v>39</v>
      </c>
      <c r="C417" s="15" t="s">
        <v>65</v>
      </c>
      <c r="D417" s="52">
        <v>2051</v>
      </c>
      <c r="E417" s="34">
        <v>10</v>
      </c>
      <c r="F417" s="38">
        <f t="shared" si="63"/>
        <v>19628.513295163855</v>
      </c>
      <c r="G417" s="34">
        <f t="shared" si="64"/>
        <v>9</v>
      </c>
      <c r="H417" s="34">
        <f t="shared" si="65"/>
        <v>1</v>
      </c>
      <c r="I417" s="34" t="str">
        <f t="shared" si="70"/>
        <v/>
      </c>
      <c r="J417" s="34" t="str">
        <f t="shared" si="70"/>
        <v/>
      </c>
      <c r="K417" s="34" t="str">
        <f t="shared" si="70"/>
        <v/>
      </c>
      <c r="L417" s="34" t="str">
        <f t="shared" si="70"/>
        <v/>
      </c>
      <c r="M417" s="34" t="str">
        <f t="shared" si="70"/>
        <v/>
      </c>
      <c r="N417" s="34">
        <f t="shared" si="70"/>
        <v>60</v>
      </c>
      <c r="O417" s="34">
        <f t="shared" si="70"/>
        <v>63</v>
      </c>
      <c r="P417" s="34">
        <f t="shared" si="70"/>
        <v>75</v>
      </c>
      <c r="Q417" s="34">
        <f t="shared" si="70"/>
        <v>87</v>
      </c>
      <c r="R417" s="34">
        <f t="shared" si="70"/>
        <v>99</v>
      </c>
      <c r="S417" s="35">
        <f t="shared" si="66"/>
        <v>60</v>
      </c>
    </row>
    <row r="418" spans="2:19" hidden="1" outlineLevel="1">
      <c r="B418" s="14" t="s">
        <v>39</v>
      </c>
      <c r="C418" s="15" t="s">
        <v>65</v>
      </c>
      <c r="D418" s="52">
        <v>2051</v>
      </c>
      <c r="E418" s="34">
        <v>11</v>
      </c>
      <c r="F418" s="38">
        <f t="shared" si="63"/>
        <v>19628.513295163855</v>
      </c>
      <c r="G418" s="34">
        <f t="shared" si="64"/>
        <v>9</v>
      </c>
      <c r="H418" s="34">
        <f t="shared" si="65"/>
        <v>1</v>
      </c>
      <c r="I418" s="34" t="str">
        <f t="shared" si="70"/>
        <v/>
      </c>
      <c r="J418" s="34" t="str">
        <f t="shared" si="70"/>
        <v/>
      </c>
      <c r="K418" s="34" t="str">
        <f t="shared" si="70"/>
        <v/>
      </c>
      <c r="L418" s="34" t="str">
        <f t="shared" si="70"/>
        <v/>
      </c>
      <c r="M418" s="34" t="str">
        <f t="shared" si="70"/>
        <v/>
      </c>
      <c r="N418" s="34">
        <f t="shared" si="70"/>
        <v>60</v>
      </c>
      <c r="O418" s="34">
        <f t="shared" si="70"/>
        <v>62</v>
      </c>
      <c r="P418" s="34">
        <f t="shared" si="70"/>
        <v>74</v>
      </c>
      <c r="Q418" s="34">
        <f t="shared" si="70"/>
        <v>86</v>
      </c>
      <c r="R418" s="34">
        <f t="shared" si="70"/>
        <v>98</v>
      </c>
      <c r="S418" s="35">
        <f t="shared" si="66"/>
        <v>60</v>
      </c>
    </row>
    <row r="419" spans="2:19" hidden="1" outlineLevel="1">
      <c r="B419" s="14" t="s">
        <v>39</v>
      </c>
      <c r="C419" s="15" t="s">
        <v>65</v>
      </c>
      <c r="D419" s="52">
        <v>2051</v>
      </c>
      <c r="E419" s="34">
        <v>12</v>
      </c>
      <c r="F419" s="38">
        <f t="shared" si="63"/>
        <v>19628.513295163855</v>
      </c>
      <c r="G419" s="34">
        <f t="shared" si="64"/>
        <v>9</v>
      </c>
      <c r="H419" s="34">
        <f t="shared" si="65"/>
        <v>1</v>
      </c>
      <c r="I419" s="34" t="str">
        <f t="shared" si="70"/>
        <v/>
      </c>
      <c r="J419" s="34" t="str">
        <f t="shared" si="70"/>
        <v/>
      </c>
      <c r="K419" s="34" t="str">
        <f t="shared" si="70"/>
        <v/>
      </c>
      <c r="L419" s="34" t="str">
        <f t="shared" si="70"/>
        <v/>
      </c>
      <c r="M419" s="34" t="str">
        <f t="shared" si="70"/>
        <v/>
      </c>
      <c r="N419" s="34">
        <f t="shared" si="70"/>
        <v>60</v>
      </c>
      <c r="O419" s="34">
        <f t="shared" si="70"/>
        <v>61</v>
      </c>
      <c r="P419" s="34">
        <f t="shared" si="70"/>
        <v>73</v>
      </c>
      <c r="Q419" s="34">
        <f t="shared" si="70"/>
        <v>85</v>
      </c>
      <c r="R419" s="34">
        <f t="shared" si="70"/>
        <v>97</v>
      </c>
      <c r="S419" s="35">
        <f t="shared" si="66"/>
        <v>60</v>
      </c>
    </row>
    <row r="420" spans="2:19" hidden="1" outlineLevel="1">
      <c r="B420" s="14" t="s">
        <v>39</v>
      </c>
      <c r="C420" s="15" t="s">
        <v>65</v>
      </c>
      <c r="D420" s="52">
        <v>2052</v>
      </c>
      <c r="E420" s="34">
        <v>1</v>
      </c>
      <c r="F420" s="38">
        <f t="shared" si="63"/>
        <v>19739.38830086208</v>
      </c>
      <c r="G420" s="34">
        <f t="shared" si="64"/>
        <v>9</v>
      </c>
      <c r="H420" s="34">
        <f t="shared" si="65"/>
        <v>1</v>
      </c>
      <c r="I420" s="34" t="str">
        <f t="shared" ref="I420:R429" si="71">IF($D420&lt;$Z$18,"",IF(MAX($G420,INDEX($C$65:$F$108,$D420+I$119-2026,$H420))&lt;=12*I$119-$E420+12,MAX($G420,12*I$119-$E420+1,INDEX($C$65:$F$108,$D420+I$119-2026,$H420)),""))</f>
        <v/>
      </c>
      <c r="J420" s="34" t="str">
        <f t="shared" si="71"/>
        <v/>
      </c>
      <c r="K420" s="34" t="str">
        <f t="shared" si="71"/>
        <v/>
      </c>
      <c r="L420" s="34" t="str">
        <f t="shared" si="71"/>
        <v/>
      </c>
      <c r="M420" s="34" t="str">
        <f t="shared" si="71"/>
        <v/>
      </c>
      <c r="N420" s="34">
        <f t="shared" si="71"/>
        <v>60</v>
      </c>
      <c r="O420" s="34">
        <f t="shared" si="71"/>
        <v>72</v>
      </c>
      <c r="P420" s="34">
        <f t="shared" si="71"/>
        <v>84</v>
      </c>
      <c r="Q420" s="34">
        <f t="shared" si="71"/>
        <v>96</v>
      </c>
      <c r="R420" s="34">
        <f t="shared" si="71"/>
        <v>108</v>
      </c>
      <c r="S420" s="35">
        <f t="shared" si="66"/>
        <v>60</v>
      </c>
    </row>
    <row r="421" spans="2:19" hidden="1" outlineLevel="1">
      <c r="B421" s="14" t="s">
        <v>39</v>
      </c>
      <c r="C421" s="15" t="s">
        <v>65</v>
      </c>
      <c r="D421" s="52">
        <v>2052</v>
      </c>
      <c r="E421" s="34">
        <v>2</v>
      </c>
      <c r="F421" s="38">
        <f t="shared" si="63"/>
        <v>19739.38830086208</v>
      </c>
      <c r="G421" s="34">
        <f t="shared" si="64"/>
        <v>9</v>
      </c>
      <c r="H421" s="34">
        <f t="shared" si="65"/>
        <v>1</v>
      </c>
      <c r="I421" s="34" t="str">
        <f t="shared" si="71"/>
        <v/>
      </c>
      <c r="J421" s="34" t="str">
        <f t="shared" si="71"/>
        <v/>
      </c>
      <c r="K421" s="34" t="str">
        <f t="shared" si="71"/>
        <v/>
      </c>
      <c r="L421" s="34" t="str">
        <f t="shared" si="71"/>
        <v/>
      </c>
      <c r="M421" s="34" t="str">
        <f t="shared" si="71"/>
        <v/>
      </c>
      <c r="N421" s="34">
        <f t="shared" si="71"/>
        <v>60</v>
      </c>
      <c r="O421" s="34">
        <f t="shared" si="71"/>
        <v>71</v>
      </c>
      <c r="P421" s="34">
        <f t="shared" si="71"/>
        <v>83</v>
      </c>
      <c r="Q421" s="34">
        <f t="shared" si="71"/>
        <v>95</v>
      </c>
      <c r="R421" s="34">
        <f t="shared" si="71"/>
        <v>107</v>
      </c>
      <c r="S421" s="35">
        <f t="shared" si="66"/>
        <v>60</v>
      </c>
    </row>
    <row r="422" spans="2:19" hidden="1" outlineLevel="1">
      <c r="B422" s="14" t="s">
        <v>39</v>
      </c>
      <c r="C422" s="15" t="s">
        <v>65</v>
      </c>
      <c r="D422" s="52">
        <v>2052</v>
      </c>
      <c r="E422" s="34">
        <v>3</v>
      </c>
      <c r="F422" s="38">
        <f t="shared" si="63"/>
        <v>19739.38830086208</v>
      </c>
      <c r="G422" s="34">
        <f t="shared" si="64"/>
        <v>9</v>
      </c>
      <c r="H422" s="34">
        <f t="shared" si="65"/>
        <v>1</v>
      </c>
      <c r="I422" s="34" t="str">
        <f t="shared" si="71"/>
        <v/>
      </c>
      <c r="J422" s="34" t="str">
        <f t="shared" si="71"/>
        <v/>
      </c>
      <c r="K422" s="34" t="str">
        <f t="shared" si="71"/>
        <v/>
      </c>
      <c r="L422" s="34" t="str">
        <f t="shared" si="71"/>
        <v/>
      </c>
      <c r="M422" s="34" t="str">
        <f t="shared" si="71"/>
        <v/>
      </c>
      <c r="N422" s="34">
        <f t="shared" si="71"/>
        <v>60</v>
      </c>
      <c r="O422" s="34">
        <f t="shared" si="71"/>
        <v>70</v>
      </c>
      <c r="P422" s="34">
        <f t="shared" si="71"/>
        <v>82</v>
      </c>
      <c r="Q422" s="34">
        <f t="shared" si="71"/>
        <v>94</v>
      </c>
      <c r="R422" s="34">
        <f t="shared" si="71"/>
        <v>106</v>
      </c>
      <c r="S422" s="35">
        <f t="shared" si="66"/>
        <v>60</v>
      </c>
    </row>
    <row r="423" spans="2:19" hidden="1" outlineLevel="1">
      <c r="B423" s="14" t="s">
        <v>39</v>
      </c>
      <c r="C423" s="15" t="s">
        <v>65</v>
      </c>
      <c r="D423" s="52">
        <v>2052</v>
      </c>
      <c r="E423" s="34">
        <v>4</v>
      </c>
      <c r="F423" s="38">
        <f t="shared" si="63"/>
        <v>19739.38830086208</v>
      </c>
      <c r="G423" s="34">
        <f t="shared" si="64"/>
        <v>9</v>
      </c>
      <c r="H423" s="34">
        <f t="shared" si="65"/>
        <v>1</v>
      </c>
      <c r="I423" s="34" t="str">
        <f t="shared" si="71"/>
        <v/>
      </c>
      <c r="J423" s="34" t="str">
        <f t="shared" si="71"/>
        <v/>
      </c>
      <c r="K423" s="34" t="str">
        <f t="shared" si="71"/>
        <v/>
      </c>
      <c r="L423" s="34" t="str">
        <f t="shared" si="71"/>
        <v/>
      </c>
      <c r="M423" s="34" t="str">
        <f t="shared" si="71"/>
        <v/>
      </c>
      <c r="N423" s="34">
        <f t="shared" si="71"/>
        <v>60</v>
      </c>
      <c r="O423" s="34">
        <f t="shared" si="71"/>
        <v>69</v>
      </c>
      <c r="P423" s="34">
        <f t="shared" si="71"/>
        <v>81</v>
      </c>
      <c r="Q423" s="34">
        <f t="shared" si="71"/>
        <v>93</v>
      </c>
      <c r="R423" s="34">
        <f t="shared" si="71"/>
        <v>105</v>
      </c>
      <c r="S423" s="35">
        <f t="shared" si="66"/>
        <v>60</v>
      </c>
    </row>
    <row r="424" spans="2:19" hidden="1" outlineLevel="1">
      <c r="B424" s="14" t="s">
        <v>39</v>
      </c>
      <c r="C424" s="15" t="s">
        <v>65</v>
      </c>
      <c r="D424" s="52">
        <v>2052</v>
      </c>
      <c r="E424" s="34">
        <v>5</v>
      </c>
      <c r="F424" s="38">
        <f t="shared" si="63"/>
        <v>19739.38830086208</v>
      </c>
      <c r="G424" s="34">
        <f t="shared" si="64"/>
        <v>9</v>
      </c>
      <c r="H424" s="34">
        <f t="shared" si="65"/>
        <v>1</v>
      </c>
      <c r="I424" s="34" t="str">
        <f t="shared" si="71"/>
        <v/>
      </c>
      <c r="J424" s="34" t="str">
        <f t="shared" si="71"/>
        <v/>
      </c>
      <c r="K424" s="34" t="str">
        <f t="shared" si="71"/>
        <v/>
      </c>
      <c r="L424" s="34" t="str">
        <f t="shared" si="71"/>
        <v/>
      </c>
      <c r="M424" s="34" t="str">
        <f t="shared" si="71"/>
        <v/>
      </c>
      <c r="N424" s="34">
        <f t="shared" si="71"/>
        <v>60</v>
      </c>
      <c r="O424" s="34">
        <f t="shared" si="71"/>
        <v>68</v>
      </c>
      <c r="P424" s="34">
        <f t="shared" si="71"/>
        <v>80</v>
      </c>
      <c r="Q424" s="34">
        <f t="shared" si="71"/>
        <v>92</v>
      </c>
      <c r="R424" s="34">
        <f t="shared" si="71"/>
        <v>104</v>
      </c>
      <c r="S424" s="35">
        <f t="shared" si="66"/>
        <v>60</v>
      </c>
    </row>
    <row r="425" spans="2:19" hidden="1" outlineLevel="1">
      <c r="B425" s="14" t="s">
        <v>39</v>
      </c>
      <c r="C425" s="15" t="s">
        <v>65</v>
      </c>
      <c r="D425" s="52">
        <v>2052</v>
      </c>
      <c r="E425" s="34">
        <v>6</v>
      </c>
      <c r="F425" s="38">
        <f t="shared" si="63"/>
        <v>19739.38830086208</v>
      </c>
      <c r="G425" s="34">
        <f t="shared" si="64"/>
        <v>9</v>
      </c>
      <c r="H425" s="34">
        <f t="shared" si="65"/>
        <v>1</v>
      </c>
      <c r="I425" s="34" t="str">
        <f t="shared" si="71"/>
        <v/>
      </c>
      <c r="J425" s="34" t="str">
        <f t="shared" si="71"/>
        <v/>
      </c>
      <c r="K425" s="34" t="str">
        <f t="shared" si="71"/>
        <v/>
      </c>
      <c r="L425" s="34" t="str">
        <f t="shared" si="71"/>
        <v/>
      </c>
      <c r="M425" s="34" t="str">
        <f t="shared" si="71"/>
        <v/>
      </c>
      <c r="N425" s="34">
        <f t="shared" si="71"/>
        <v>60</v>
      </c>
      <c r="O425" s="34">
        <f t="shared" si="71"/>
        <v>67</v>
      </c>
      <c r="P425" s="34">
        <f t="shared" si="71"/>
        <v>79</v>
      </c>
      <c r="Q425" s="34">
        <f t="shared" si="71"/>
        <v>91</v>
      </c>
      <c r="R425" s="34">
        <f t="shared" si="71"/>
        <v>103</v>
      </c>
      <c r="S425" s="35">
        <f t="shared" si="66"/>
        <v>60</v>
      </c>
    </row>
    <row r="426" spans="2:19" hidden="1" outlineLevel="1">
      <c r="B426" s="14" t="s">
        <v>39</v>
      </c>
      <c r="C426" s="15" t="s">
        <v>65</v>
      </c>
      <c r="D426" s="52">
        <v>2052</v>
      </c>
      <c r="E426" s="34">
        <v>7</v>
      </c>
      <c r="F426" s="38">
        <f t="shared" si="63"/>
        <v>19739.38830086208</v>
      </c>
      <c r="G426" s="34">
        <f t="shared" si="64"/>
        <v>9</v>
      </c>
      <c r="H426" s="34">
        <f t="shared" si="65"/>
        <v>1</v>
      </c>
      <c r="I426" s="34" t="str">
        <f t="shared" si="71"/>
        <v/>
      </c>
      <c r="J426" s="34" t="str">
        <f t="shared" si="71"/>
        <v/>
      </c>
      <c r="K426" s="34" t="str">
        <f t="shared" si="71"/>
        <v/>
      </c>
      <c r="L426" s="34" t="str">
        <f t="shared" si="71"/>
        <v/>
      </c>
      <c r="M426" s="34" t="str">
        <f t="shared" si="71"/>
        <v/>
      </c>
      <c r="N426" s="34">
        <f t="shared" si="71"/>
        <v>60</v>
      </c>
      <c r="O426" s="34">
        <f t="shared" si="71"/>
        <v>66</v>
      </c>
      <c r="P426" s="34">
        <f t="shared" si="71"/>
        <v>78</v>
      </c>
      <c r="Q426" s="34">
        <f t="shared" si="71"/>
        <v>90</v>
      </c>
      <c r="R426" s="34">
        <f t="shared" si="71"/>
        <v>102</v>
      </c>
      <c r="S426" s="35">
        <f t="shared" si="66"/>
        <v>60</v>
      </c>
    </row>
    <row r="427" spans="2:19" hidden="1" outlineLevel="1">
      <c r="B427" s="14" t="s">
        <v>39</v>
      </c>
      <c r="C427" s="15" t="s">
        <v>65</v>
      </c>
      <c r="D427" s="52">
        <v>2052</v>
      </c>
      <c r="E427" s="34">
        <v>8</v>
      </c>
      <c r="F427" s="38">
        <f t="shared" si="63"/>
        <v>19739.38830086208</v>
      </c>
      <c r="G427" s="34">
        <f t="shared" si="64"/>
        <v>9</v>
      </c>
      <c r="H427" s="34">
        <f t="shared" si="65"/>
        <v>1</v>
      </c>
      <c r="I427" s="34" t="str">
        <f t="shared" si="71"/>
        <v/>
      </c>
      <c r="J427" s="34" t="str">
        <f t="shared" si="71"/>
        <v/>
      </c>
      <c r="K427" s="34" t="str">
        <f t="shared" si="71"/>
        <v/>
      </c>
      <c r="L427" s="34" t="str">
        <f t="shared" si="71"/>
        <v/>
      </c>
      <c r="M427" s="34" t="str">
        <f t="shared" si="71"/>
        <v/>
      </c>
      <c r="N427" s="34">
        <f t="shared" si="71"/>
        <v>60</v>
      </c>
      <c r="O427" s="34">
        <f t="shared" si="71"/>
        <v>65</v>
      </c>
      <c r="P427" s="34">
        <f t="shared" si="71"/>
        <v>77</v>
      </c>
      <c r="Q427" s="34">
        <f t="shared" si="71"/>
        <v>89</v>
      </c>
      <c r="R427" s="34">
        <f t="shared" si="71"/>
        <v>101</v>
      </c>
      <c r="S427" s="35">
        <f t="shared" si="66"/>
        <v>60</v>
      </c>
    </row>
    <row r="428" spans="2:19" hidden="1" outlineLevel="1">
      <c r="B428" s="14" t="s">
        <v>39</v>
      </c>
      <c r="C428" s="15" t="s">
        <v>65</v>
      </c>
      <c r="D428" s="52">
        <v>2052</v>
      </c>
      <c r="E428" s="34">
        <v>9</v>
      </c>
      <c r="F428" s="38">
        <f t="shared" si="63"/>
        <v>19739.38830086208</v>
      </c>
      <c r="G428" s="34">
        <f t="shared" si="64"/>
        <v>9</v>
      </c>
      <c r="H428" s="34">
        <f t="shared" si="65"/>
        <v>1</v>
      </c>
      <c r="I428" s="34" t="str">
        <f t="shared" si="71"/>
        <v/>
      </c>
      <c r="J428" s="34" t="str">
        <f t="shared" si="71"/>
        <v/>
      </c>
      <c r="K428" s="34" t="str">
        <f t="shared" si="71"/>
        <v/>
      </c>
      <c r="L428" s="34" t="str">
        <f t="shared" si="71"/>
        <v/>
      </c>
      <c r="M428" s="34" t="str">
        <f t="shared" si="71"/>
        <v/>
      </c>
      <c r="N428" s="34">
        <f t="shared" si="71"/>
        <v>60</v>
      </c>
      <c r="O428" s="34">
        <f t="shared" si="71"/>
        <v>64</v>
      </c>
      <c r="P428" s="34">
        <f t="shared" si="71"/>
        <v>76</v>
      </c>
      <c r="Q428" s="34">
        <f t="shared" si="71"/>
        <v>88</v>
      </c>
      <c r="R428" s="34">
        <f t="shared" si="71"/>
        <v>100</v>
      </c>
      <c r="S428" s="35">
        <f t="shared" si="66"/>
        <v>60</v>
      </c>
    </row>
    <row r="429" spans="2:19" hidden="1" outlineLevel="1">
      <c r="B429" s="14" t="s">
        <v>39</v>
      </c>
      <c r="C429" s="15" t="s">
        <v>65</v>
      </c>
      <c r="D429" s="52">
        <v>2052</v>
      </c>
      <c r="E429" s="34">
        <v>10</v>
      </c>
      <c r="F429" s="38">
        <f t="shared" si="63"/>
        <v>19739.38830086208</v>
      </c>
      <c r="G429" s="34">
        <f t="shared" si="64"/>
        <v>9</v>
      </c>
      <c r="H429" s="34">
        <f t="shared" si="65"/>
        <v>1</v>
      </c>
      <c r="I429" s="34" t="str">
        <f t="shared" si="71"/>
        <v/>
      </c>
      <c r="J429" s="34" t="str">
        <f t="shared" si="71"/>
        <v/>
      </c>
      <c r="K429" s="34" t="str">
        <f t="shared" si="71"/>
        <v/>
      </c>
      <c r="L429" s="34" t="str">
        <f t="shared" si="71"/>
        <v/>
      </c>
      <c r="M429" s="34" t="str">
        <f t="shared" si="71"/>
        <v/>
      </c>
      <c r="N429" s="34">
        <f t="shared" si="71"/>
        <v>60</v>
      </c>
      <c r="O429" s="34">
        <f t="shared" si="71"/>
        <v>63</v>
      </c>
      <c r="P429" s="34">
        <f t="shared" si="71"/>
        <v>75</v>
      </c>
      <c r="Q429" s="34">
        <f t="shared" si="71"/>
        <v>87</v>
      </c>
      <c r="R429" s="34">
        <f t="shared" si="71"/>
        <v>99</v>
      </c>
      <c r="S429" s="35">
        <f t="shared" si="66"/>
        <v>60</v>
      </c>
    </row>
    <row r="430" spans="2:19" hidden="1" outlineLevel="1">
      <c r="B430" s="14" t="s">
        <v>39</v>
      </c>
      <c r="C430" s="15" t="s">
        <v>65</v>
      </c>
      <c r="D430" s="52">
        <v>2052</v>
      </c>
      <c r="E430" s="34">
        <v>11</v>
      </c>
      <c r="F430" s="38">
        <f t="shared" si="63"/>
        <v>19739.38830086208</v>
      </c>
      <c r="G430" s="34">
        <f t="shared" si="64"/>
        <v>9</v>
      </c>
      <c r="H430" s="34">
        <f t="shared" si="65"/>
        <v>1</v>
      </c>
      <c r="I430" s="34" t="str">
        <f t="shared" ref="I430:R439" si="72">IF($D430&lt;$Z$18,"",IF(MAX($G430,INDEX($C$65:$F$108,$D430+I$119-2026,$H430))&lt;=12*I$119-$E430+12,MAX($G430,12*I$119-$E430+1,INDEX($C$65:$F$108,$D430+I$119-2026,$H430)),""))</f>
        <v/>
      </c>
      <c r="J430" s="34" t="str">
        <f t="shared" si="72"/>
        <v/>
      </c>
      <c r="K430" s="34" t="str">
        <f t="shared" si="72"/>
        <v/>
      </c>
      <c r="L430" s="34" t="str">
        <f t="shared" si="72"/>
        <v/>
      </c>
      <c r="M430" s="34" t="str">
        <f t="shared" si="72"/>
        <v/>
      </c>
      <c r="N430" s="34">
        <f t="shared" si="72"/>
        <v>60</v>
      </c>
      <c r="O430" s="34">
        <f t="shared" si="72"/>
        <v>62</v>
      </c>
      <c r="P430" s="34">
        <f t="shared" si="72"/>
        <v>74</v>
      </c>
      <c r="Q430" s="34">
        <f t="shared" si="72"/>
        <v>86</v>
      </c>
      <c r="R430" s="34">
        <f t="shared" si="72"/>
        <v>98</v>
      </c>
      <c r="S430" s="35">
        <f t="shared" si="66"/>
        <v>60</v>
      </c>
    </row>
    <row r="431" spans="2:19" hidden="1" outlineLevel="1">
      <c r="B431" s="14" t="s">
        <v>39</v>
      </c>
      <c r="C431" s="15" t="s">
        <v>65</v>
      </c>
      <c r="D431" s="52">
        <v>2052</v>
      </c>
      <c r="E431" s="34">
        <v>12</v>
      </c>
      <c r="F431" s="38">
        <f t="shared" si="63"/>
        <v>19739.38830086208</v>
      </c>
      <c r="G431" s="34">
        <f t="shared" si="64"/>
        <v>9</v>
      </c>
      <c r="H431" s="34">
        <f t="shared" si="65"/>
        <v>1</v>
      </c>
      <c r="I431" s="34" t="str">
        <f t="shared" si="72"/>
        <v/>
      </c>
      <c r="J431" s="34" t="str">
        <f t="shared" si="72"/>
        <v/>
      </c>
      <c r="K431" s="34" t="str">
        <f t="shared" si="72"/>
        <v/>
      </c>
      <c r="L431" s="34" t="str">
        <f t="shared" si="72"/>
        <v/>
      </c>
      <c r="M431" s="34" t="str">
        <f t="shared" si="72"/>
        <v/>
      </c>
      <c r="N431" s="34">
        <f t="shared" si="72"/>
        <v>60</v>
      </c>
      <c r="O431" s="34">
        <f t="shared" si="72"/>
        <v>61</v>
      </c>
      <c r="P431" s="34">
        <f t="shared" si="72"/>
        <v>73</v>
      </c>
      <c r="Q431" s="34">
        <f t="shared" si="72"/>
        <v>85</v>
      </c>
      <c r="R431" s="34">
        <f t="shared" si="72"/>
        <v>97</v>
      </c>
      <c r="S431" s="35">
        <f t="shared" si="66"/>
        <v>60</v>
      </c>
    </row>
    <row r="432" spans="2:19" hidden="1" outlineLevel="1">
      <c r="B432" s="14" t="s">
        <v>39</v>
      </c>
      <c r="C432" s="15" t="s">
        <v>65</v>
      </c>
      <c r="D432" s="52">
        <v>2053</v>
      </c>
      <c r="E432" s="34">
        <v>1</v>
      </c>
      <c r="F432" s="38">
        <f t="shared" si="63"/>
        <v>19855.159121954737</v>
      </c>
      <c r="G432" s="34">
        <f t="shared" si="64"/>
        <v>9</v>
      </c>
      <c r="H432" s="34">
        <f t="shared" si="65"/>
        <v>1</v>
      </c>
      <c r="I432" s="34" t="str">
        <f t="shared" si="72"/>
        <v/>
      </c>
      <c r="J432" s="34" t="str">
        <f t="shared" si="72"/>
        <v/>
      </c>
      <c r="K432" s="34" t="str">
        <f t="shared" si="72"/>
        <v/>
      </c>
      <c r="L432" s="34" t="str">
        <f t="shared" si="72"/>
        <v/>
      </c>
      <c r="M432" s="34" t="str">
        <f t="shared" si="72"/>
        <v/>
      </c>
      <c r="N432" s="34">
        <f t="shared" si="72"/>
        <v>60</v>
      </c>
      <c r="O432" s="34">
        <f t="shared" si="72"/>
        <v>72</v>
      </c>
      <c r="P432" s="34">
        <f t="shared" si="72"/>
        <v>84</v>
      </c>
      <c r="Q432" s="34">
        <f t="shared" si="72"/>
        <v>96</v>
      </c>
      <c r="R432" s="34">
        <f t="shared" si="72"/>
        <v>108</v>
      </c>
      <c r="S432" s="35">
        <f t="shared" si="66"/>
        <v>60</v>
      </c>
    </row>
    <row r="433" spans="2:19" hidden="1" outlineLevel="1">
      <c r="B433" s="14" t="s">
        <v>39</v>
      </c>
      <c r="C433" s="15" t="s">
        <v>65</v>
      </c>
      <c r="D433" s="52">
        <v>2053</v>
      </c>
      <c r="E433" s="34">
        <v>2</v>
      </c>
      <c r="F433" s="38">
        <f t="shared" si="63"/>
        <v>19855.159121954737</v>
      </c>
      <c r="G433" s="34">
        <f t="shared" si="64"/>
        <v>9</v>
      </c>
      <c r="H433" s="34">
        <f t="shared" si="65"/>
        <v>1</v>
      </c>
      <c r="I433" s="34" t="str">
        <f t="shared" si="72"/>
        <v/>
      </c>
      <c r="J433" s="34" t="str">
        <f t="shared" si="72"/>
        <v/>
      </c>
      <c r="K433" s="34" t="str">
        <f t="shared" si="72"/>
        <v/>
      </c>
      <c r="L433" s="34" t="str">
        <f t="shared" si="72"/>
        <v/>
      </c>
      <c r="M433" s="34" t="str">
        <f t="shared" si="72"/>
        <v/>
      </c>
      <c r="N433" s="34">
        <f t="shared" si="72"/>
        <v>60</v>
      </c>
      <c r="O433" s="34">
        <f t="shared" si="72"/>
        <v>71</v>
      </c>
      <c r="P433" s="34">
        <f t="shared" si="72"/>
        <v>83</v>
      </c>
      <c r="Q433" s="34">
        <f t="shared" si="72"/>
        <v>95</v>
      </c>
      <c r="R433" s="34">
        <f t="shared" si="72"/>
        <v>107</v>
      </c>
      <c r="S433" s="35">
        <f t="shared" si="66"/>
        <v>60</v>
      </c>
    </row>
    <row r="434" spans="2:19" hidden="1" outlineLevel="1">
      <c r="B434" s="14" t="s">
        <v>39</v>
      </c>
      <c r="C434" s="15" t="s">
        <v>65</v>
      </c>
      <c r="D434" s="52">
        <v>2053</v>
      </c>
      <c r="E434" s="34">
        <v>3</v>
      </c>
      <c r="F434" s="38">
        <f t="shared" si="63"/>
        <v>19855.159121954737</v>
      </c>
      <c r="G434" s="34">
        <f t="shared" si="64"/>
        <v>9</v>
      </c>
      <c r="H434" s="34">
        <f t="shared" si="65"/>
        <v>1</v>
      </c>
      <c r="I434" s="34" t="str">
        <f t="shared" si="72"/>
        <v/>
      </c>
      <c r="J434" s="34" t="str">
        <f t="shared" si="72"/>
        <v/>
      </c>
      <c r="K434" s="34" t="str">
        <f t="shared" si="72"/>
        <v/>
      </c>
      <c r="L434" s="34" t="str">
        <f t="shared" si="72"/>
        <v/>
      </c>
      <c r="M434" s="34" t="str">
        <f t="shared" si="72"/>
        <v/>
      </c>
      <c r="N434" s="34">
        <f t="shared" si="72"/>
        <v>60</v>
      </c>
      <c r="O434" s="34">
        <f t="shared" si="72"/>
        <v>70</v>
      </c>
      <c r="P434" s="34">
        <f t="shared" si="72"/>
        <v>82</v>
      </c>
      <c r="Q434" s="34">
        <f t="shared" si="72"/>
        <v>94</v>
      </c>
      <c r="R434" s="34">
        <f t="shared" si="72"/>
        <v>106</v>
      </c>
      <c r="S434" s="35">
        <f t="shared" si="66"/>
        <v>60</v>
      </c>
    </row>
    <row r="435" spans="2:19" hidden="1" outlineLevel="1">
      <c r="B435" s="14" t="s">
        <v>39</v>
      </c>
      <c r="C435" s="15" t="s">
        <v>65</v>
      </c>
      <c r="D435" s="52">
        <v>2053</v>
      </c>
      <c r="E435" s="34">
        <v>4</v>
      </c>
      <c r="F435" s="38">
        <f t="shared" si="63"/>
        <v>19855.159121954737</v>
      </c>
      <c r="G435" s="34">
        <f t="shared" si="64"/>
        <v>9</v>
      </c>
      <c r="H435" s="34">
        <f t="shared" si="65"/>
        <v>1</v>
      </c>
      <c r="I435" s="34" t="str">
        <f t="shared" si="72"/>
        <v/>
      </c>
      <c r="J435" s="34" t="str">
        <f t="shared" si="72"/>
        <v/>
      </c>
      <c r="K435" s="34" t="str">
        <f t="shared" si="72"/>
        <v/>
      </c>
      <c r="L435" s="34" t="str">
        <f t="shared" si="72"/>
        <v/>
      </c>
      <c r="M435" s="34" t="str">
        <f t="shared" si="72"/>
        <v/>
      </c>
      <c r="N435" s="34">
        <f t="shared" si="72"/>
        <v>60</v>
      </c>
      <c r="O435" s="34">
        <f t="shared" si="72"/>
        <v>69</v>
      </c>
      <c r="P435" s="34">
        <f t="shared" si="72"/>
        <v>81</v>
      </c>
      <c r="Q435" s="34">
        <f t="shared" si="72"/>
        <v>93</v>
      </c>
      <c r="R435" s="34">
        <f t="shared" si="72"/>
        <v>105</v>
      </c>
      <c r="S435" s="35">
        <f t="shared" si="66"/>
        <v>60</v>
      </c>
    </row>
    <row r="436" spans="2:19" hidden="1" outlineLevel="1">
      <c r="B436" s="14" t="s">
        <v>39</v>
      </c>
      <c r="C436" s="15" t="s">
        <v>65</v>
      </c>
      <c r="D436" s="52">
        <v>2053</v>
      </c>
      <c r="E436" s="34">
        <v>5</v>
      </c>
      <c r="F436" s="38">
        <f t="shared" si="63"/>
        <v>19855.159121954737</v>
      </c>
      <c r="G436" s="34">
        <f t="shared" si="64"/>
        <v>9</v>
      </c>
      <c r="H436" s="34">
        <f t="shared" si="65"/>
        <v>1</v>
      </c>
      <c r="I436" s="34" t="str">
        <f t="shared" si="72"/>
        <v/>
      </c>
      <c r="J436" s="34" t="str">
        <f t="shared" si="72"/>
        <v/>
      </c>
      <c r="K436" s="34" t="str">
        <f t="shared" si="72"/>
        <v/>
      </c>
      <c r="L436" s="34" t="str">
        <f t="shared" si="72"/>
        <v/>
      </c>
      <c r="M436" s="34" t="str">
        <f t="shared" si="72"/>
        <v/>
      </c>
      <c r="N436" s="34">
        <f t="shared" si="72"/>
        <v>60</v>
      </c>
      <c r="O436" s="34">
        <f t="shared" si="72"/>
        <v>68</v>
      </c>
      <c r="P436" s="34">
        <f t="shared" si="72"/>
        <v>80</v>
      </c>
      <c r="Q436" s="34">
        <f t="shared" si="72"/>
        <v>92</v>
      </c>
      <c r="R436" s="34">
        <f t="shared" si="72"/>
        <v>104</v>
      </c>
      <c r="S436" s="35">
        <f t="shared" si="66"/>
        <v>60</v>
      </c>
    </row>
    <row r="437" spans="2:19" hidden="1" outlineLevel="1">
      <c r="B437" s="14" t="s">
        <v>39</v>
      </c>
      <c r="C437" s="15" t="s">
        <v>65</v>
      </c>
      <c r="D437" s="52">
        <v>2053</v>
      </c>
      <c r="E437" s="34">
        <v>6</v>
      </c>
      <c r="F437" s="38">
        <f t="shared" si="63"/>
        <v>19855.159121954737</v>
      </c>
      <c r="G437" s="34">
        <f t="shared" si="64"/>
        <v>9</v>
      </c>
      <c r="H437" s="34">
        <f t="shared" si="65"/>
        <v>1</v>
      </c>
      <c r="I437" s="34" t="str">
        <f t="shared" si="72"/>
        <v/>
      </c>
      <c r="J437" s="34" t="str">
        <f t="shared" si="72"/>
        <v/>
      </c>
      <c r="K437" s="34" t="str">
        <f t="shared" si="72"/>
        <v/>
      </c>
      <c r="L437" s="34" t="str">
        <f t="shared" si="72"/>
        <v/>
      </c>
      <c r="M437" s="34" t="str">
        <f t="shared" si="72"/>
        <v/>
      </c>
      <c r="N437" s="34">
        <f t="shared" si="72"/>
        <v>60</v>
      </c>
      <c r="O437" s="34">
        <f t="shared" si="72"/>
        <v>67</v>
      </c>
      <c r="P437" s="34">
        <f t="shared" si="72"/>
        <v>79</v>
      </c>
      <c r="Q437" s="34">
        <f t="shared" si="72"/>
        <v>91</v>
      </c>
      <c r="R437" s="34">
        <f t="shared" si="72"/>
        <v>103</v>
      </c>
      <c r="S437" s="35">
        <f t="shared" si="66"/>
        <v>60</v>
      </c>
    </row>
    <row r="438" spans="2:19" hidden="1" outlineLevel="1">
      <c r="B438" s="14" t="s">
        <v>39</v>
      </c>
      <c r="C438" s="15" t="s">
        <v>65</v>
      </c>
      <c r="D438" s="52">
        <v>2053</v>
      </c>
      <c r="E438" s="34">
        <v>7</v>
      </c>
      <c r="F438" s="38">
        <f t="shared" si="63"/>
        <v>19855.159121954737</v>
      </c>
      <c r="G438" s="34">
        <f t="shared" si="64"/>
        <v>9</v>
      </c>
      <c r="H438" s="34">
        <f t="shared" si="65"/>
        <v>1</v>
      </c>
      <c r="I438" s="34" t="str">
        <f t="shared" si="72"/>
        <v/>
      </c>
      <c r="J438" s="34" t="str">
        <f t="shared" si="72"/>
        <v/>
      </c>
      <c r="K438" s="34" t="str">
        <f t="shared" si="72"/>
        <v/>
      </c>
      <c r="L438" s="34" t="str">
        <f t="shared" si="72"/>
        <v/>
      </c>
      <c r="M438" s="34" t="str">
        <f t="shared" si="72"/>
        <v/>
      </c>
      <c r="N438" s="34">
        <f t="shared" si="72"/>
        <v>60</v>
      </c>
      <c r="O438" s="34">
        <f t="shared" si="72"/>
        <v>66</v>
      </c>
      <c r="P438" s="34">
        <f t="shared" si="72"/>
        <v>78</v>
      </c>
      <c r="Q438" s="34">
        <f t="shared" si="72"/>
        <v>90</v>
      </c>
      <c r="R438" s="34">
        <f t="shared" si="72"/>
        <v>102</v>
      </c>
      <c r="S438" s="35">
        <f t="shared" si="66"/>
        <v>60</v>
      </c>
    </row>
    <row r="439" spans="2:19" hidden="1" outlineLevel="1">
      <c r="B439" s="14" t="s">
        <v>39</v>
      </c>
      <c r="C439" s="15" t="s">
        <v>65</v>
      </c>
      <c r="D439" s="52">
        <v>2053</v>
      </c>
      <c r="E439" s="34">
        <v>8</v>
      </c>
      <c r="F439" s="38">
        <f t="shared" si="63"/>
        <v>19855.159121954737</v>
      </c>
      <c r="G439" s="34">
        <f t="shared" si="64"/>
        <v>9</v>
      </c>
      <c r="H439" s="34">
        <f t="shared" si="65"/>
        <v>1</v>
      </c>
      <c r="I439" s="34" t="str">
        <f t="shared" si="72"/>
        <v/>
      </c>
      <c r="J439" s="34" t="str">
        <f t="shared" si="72"/>
        <v/>
      </c>
      <c r="K439" s="34" t="str">
        <f t="shared" si="72"/>
        <v/>
      </c>
      <c r="L439" s="34" t="str">
        <f t="shared" si="72"/>
        <v/>
      </c>
      <c r="M439" s="34" t="str">
        <f t="shared" si="72"/>
        <v/>
      </c>
      <c r="N439" s="34">
        <f t="shared" si="72"/>
        <v>60</v>
      </c>
      <c r="O439" s="34">
        <f t="shared" si="72"/>
        <v>65</v>
      </c>
      <c r="P439" s="34">
        <f t="shared" si="72"/>
        <v>77</v>
      </c>
      <c r="Q439" s="34">
        <f t="shared" si="72"/>
        <v>89</v>
      </c>
      <c r="R439" s="34">
        <f t="shared" si="72"/>
        <v>101</v>
      </c>
      <c r="S439" s="35">
        <f t="shared" si="66"/>
        <v>60</v>
      </c>
    </row>
    <row r="440" spans="2:19" hidden="1" outlineLevel="1">
      <c r="B440" s="14" t="s">
        <v>39</v>
      </c>
      <c r="C440" s="15" t="s">
        <v>65</v>
      </c>
      <c r="D440" s="52">
        <v>2053</v>
      </c>
      <c r="E440" s="34">
        <v>9</v>
      </c>
      <c r="F440" s="38">
        <f t="shared" ref="F440:F503" si="73">IF($C440="Homens",INDEX($C$5:$C$55,MATCH($D440,$B$5:$B$55,0)),INDEX($F$5:$F$55,MATCH($D440,$B$5:$B$55,0)))/12</f>
        <v>19855.159121954737</v>
      </c>
      <c r="G440" s="34">
        <f t="shared" ref="G440:G503" si="74">IF($C440="Homens",$Z$17,$AA$17)</f>
        <v>9</v>
      </c>
      <c r="H440" s="34">
        <f t="shared" ref="H440:H503" si="75">1+2*($B440="Com Transição")+($C440="Mulheres")</f>
        <v>1</v>
      </c>
      <c r="I440" s="34" t="str">
        <f t="shared" ref="I440:R449" si="76">IF($D440&lt;$Z$18,"",IF(MAX($G440,INDEX($C$65:$F$108,$D440+I$119-2026,$H440))&lt;=12*I$119-$E440+12,MAX($G440,12*I$119-$E440+1,INDEX($C$65:$F$108,$D440+I$119-2026,$H440)),""))</f>
        <v/>
      </c>
      <c r="J440" s="34" t="str">
        <f t="shared" si="76"/>
        <v/>
      </c>
      <c r="K440" s="34" t="str">
        <f t="shared" si="76"/>
        <v/>
      </c>
      <c r="L440" s="34" t="str">
        <f t="shared" si="76"/>
        <v/>
      </c>
      <c r="M440" s="34" t="str">
        <f t="shared" si="76"/>
        <v/>
      </c>
      <c r="N440" s="34">
        <f t="shared" si="76"/>
        <v>60</v>
      </c>
      <c r="O440" s="34">
        <f t="shared" si="76"/>
        <v>64</v>
      </c>
      <c r="P440" s="34">
        <f t="shared" si="76"/>
        <v>76</v>
      </c>
      <c r="Q440" s="34">
        <f t="shared" si="76"/>
        <v>88</v>
      </c>
      <c r="R440" s="34">
        <f t="shared" si="76"/>
        <v>100</v>
      </c>
      <c r="S440" s="35">
        <f t="shared" ref="S440:S503" si="77">IF($D440&lt;$Z$18,$G440,MIN(I440:R440))</f>
        <v>60</v>
      </c>
    </row>
    <row r="441" spans="2:19" hidden="1" outlineLevel="1">
      <c r="B441" s="14" t="s">
        <v>39</v>
      </c>
      <c r="C441" s="15" t="s">
        <v>65</v>
      </c>
      <c r="D441" s="52">
        <v>2053</v>
      </c>
      <c r="E441" s="34">
        <v>10</v>
      </c>
      <c r="F441" s="38">
        <f t="shared" si="73"/>
        <v>19855.159121954737</v>
      </c>
      <c r="G441" s="34">
        <f t="shared" si="74"/>
        <v>9</v>
      </c>
      <c r="H441" s="34">
        <f t="shared" si="75"/>
        <v>1</v>
      </c>
      <c r="I441" s="34" t="str">
        <f t="shared" si="76"/>
        <v/>
      </c>
      <c r="J441" s="34" t="str">
        <f t="shared" si="76"/>
        <v/>
      </c>
      <c r="K441" s="34" t="str">
        <f t="shared" si="76"/>
        <v/>
      </c>
      <c r="L441" s="34" t="str">
        <f t="shared" si="76"/>
        <v/>
      </c>
      <c r="M441" s="34" t="str">
        <f t="shared" si="76"/>
        <v/>
      </c>
      <c r="N441" s="34">
        <f t="shared" si="76"/>
        <v>60</v>
      </c>
      <c r="O441" s="34">
        <f t="shared" si="76"/>
        <v>63</v>
      </c>
      <c r="P441" s="34">
        <f t="shared" si="76"/>
        <v>75</v>
      </c>
      <c r="Q441" s="34">
        <f t="shared" si="76"/>
        <v>87</v>
      </c>
      <c r="R441" s="34">
        <f t="shared" si="76"/>
        <v>99</v>
      </c>
      <c r="S441" s="35">
        <f t="shared" si="77"/>
        <v>60</v>
      </c>
    </row>
    <row r="442" spans="2:19" hidden="1" outlineLevel="1">
      <c r="B442" s="14" t="s">
        <v>39</v>
      </c>
      <c r="C442" s="15" t="s">
        <v>65</v>
      </c>
      <c r="D442" s="52">
        <v>2053</v>
      </c>
      <c r="E442" s="34">
        <v>11</v>
      </c>
      <c r="F442" s="38">
        <f t="shared" si="73"/>
        <v>19855.159121954737</v>
      </c>
      <c r="G442" s="34">
        <f t="shared" si="74"/>
        <v>9</v>
      </c>
      <c r="H442" s="34">
        <f t="shared" si="75"/>
        <v>1</v>
      </c>
      <c r="I442" s="34" t="str">
        <f t="shared" si="76"/>
        <v/>
      </c>
      <c r="J442" s="34" t="str">
        <f t="shared" si="76"/>
        <v/>
      </c>
      <c r="K442" s="34" t="str">
        <f t="shared" si="76"/>
        <v/>
      </c>
      <c r="L442" s="34" t="str">
        <f t="shared" si="76"/>
        <v/>
      </c>
      <c r="M442" s="34" t="str">
        <f t="shared" si="76"/>
        <v/>
      </c>
      <c r="N442" s="34">
        <f t="shared" si="76"/>
        <v>60</v>
      </c>
      <c r="O442" s="34">
        <f t="shared" si="76"/>
        <v>62</v>
      </c>
      <c r="P442" s="34">
        <f t="shared" si="76"/>
        <v>74</v>
      </c>
      <c r="Q442" s="34">
        <f t="shared" si="76"/>
        <v>86</v>
      </c>
      <c r="R442" s="34">
        <f t="shared" si="76"/>
        <v>98</v>
      </c>
      <c r="S442" s="35">
        <f t="shared" si="77"/>
        <v>60</v>
      </c>
    </row>
    <row r="443" spans="2:19" hidden="1" outlineLevel="1">
      <c r="B443" s="14" t="s">
        <v>39</v>
      </c>
      <c r="C443" s="15" t="s">
        <v>65</v>
      </c>
      <c r="D443" s="52">
        <v>2053</v>
      </c>
      <c r="E443" s="34">
        <v>12</v>
      </c>
      <c r="F443" s="38">
        <f t="shared" si="73"/>
        <v>19855.159121954737</v>
      </c>
      <c r="G443" s="34">
        <f t="shared" si="74"/>
        <v>9</v>
      </c>
      <c r="H443" s="34">
        <f t="shared" si="75"/>
        <v>1</v>
      </c>
      <c r="I443" s="34" t="str">
        <f t="shared" si="76"/>
        <v/>
      </c>
      <c r="J443" s="34" t="str">
        <f t="shared" si="76"/>
        <v/>
      </c>
      <c r="K443" s="34" t="str">
        <f t="shared" si="76"/>
        <v/>
      </c>
      <c r="L443" s="34" t="str">
        <f t="shared" si="76"/>
        <v/>
      </c>
      <c r="M443" s="34" t="str">
        <f t="shared" si="76"/>
        <v/>
      </c>
      <c r="N443" s="34">
        <f t="shared" si="76"/>
        <v>60</v>
      </c>
      <c r="O443" s="34">
        <f t="shared" si="76"/>
        <v>61</v>
      </c>
      <c r="P443" s="34">
        <f t="shared" si="76"/>
        <v>73</v>
      </c>
      <c r="Q443" s="34">
        <f t="shared" si="76"/>
        <v>85</v>
      </c>
      <c r="R443" s="34">
        <f t="shared" si="76"/>
        <v>97</v>
      </c>
      <c r="S443" s="35">
        <f t="shared" si="77"/>
        <v>60</v>
      </c>
    </row>
    <row r="444" spans="2:19" hidden="1" outlineLevel="1">
      <c r="B444" s="14" t="s">
        <v>39</v>
      </c>
      <c r="C444" s="15" t="s">
        <v>65</v>
      </c>
      <c r="D444" s="52">
        <v>2054</v>
      </c>
      <c r="E444" s="34">
        <v>1</v>
      </c>
      <c r="F444" s="38">
        <f t="shared" si="73"/>
        <v>19935.760286132016</v>
      </c>
      <c r="G444" s="34">
        <f t="shared" si="74"/>
        <v>9</v>
      </c>
      <c r="H444" s="34">
        <f t="shared" si="75"/>
        <v>1</v>
      </c>
      <c r="I444" s="34" t="str">
        <f t="shared" si="76"/>
        <v/>
      </c>
      <c r="J444" s="34" t="str">
        <f t="shared" si="76"/>
        <v/>
      </c>
      <c r="K444" s="34" t="str">
        <f t="shared" si="76"/>
        <v/>
      </c>
      <c r="L444" s="34" t="str">
        <f t="shared" si="76"/>
        <v/>
      </c>
      <c r="M444" s="34" t="str">
        <f t="shared" si="76"/>
        <v/>
      </c>
      <c r="N444" s="34">
        <f t="shared" si="76"/>
        <v>60</v>
      </c>
      <c r="O444" s="34">
        <f t="shared" si="76"/>
        <v>72</v>
      </c>
      <c r="P444" s="34">
        <f t="shared" si="76"/>
        <v>84</v>
      </c>
      <c r="Q444" s="34">
        <f t="shared" si="76"/>
        <v>96</v>
      </c>
      <c r="R444" s="34">
        <f t="shared" si="76"/>
        <v>108</v>
      </c>
      <c r="S444" s="35">
        <f t="shared" si="77"/>
        <v>60</v>
      </c>
    </row>
    <row r="445" spans="2:19" hidden="1" outlineLevel="1">
      <c r="B445" s="14" t="s">
        <v>39</v>
      </c>
      <c r="C445" s="15" t="s">
        <v>65</v>
      </c>
      <c r="D445" s="52">
        <v>2054</v>
      </c>
      <c r="E445" s="34">
        <v>2</v>
      </c>
      <c r="F445" s="38">
        <f t="shared" si="73"/>
        <v>19935.760286132016</v>
      </c>
      <c r="G445" s="34">
        <f t="shared" si="74"/>
        <v>9</v>
      </c>
      <c r="H445" s="34">
        <f t="shared" si="75"/>
        <v>1</v>
      </c>
      <c r="I445" s="34" t="str">
        <f t="shared" si="76"/>
        <v/>
      </c>
      <c r="J445" s="34" t="str">
        <f t="shared" si="76"/>
        <v/>
      </c>
      <c r="K445" s="34" t="str">
        <f t="shared" si="76"/>
        <v/>
      </c>
      <c r="L445" s="34" t="str">
        <f t="shared" si="76"/>
        <v/>
      </c>
      <c r="M445" s="34" t="str">
        <f t="shared" si="76"/>
        <v/>
      </c>
      <c r="N445" s="34">
        <f t="shared" si="76"/>
        <v>60</v>
      </c>
      <c r="O445" s="34">
        <f t="shared" si="76"/>
        <v>71</v>
      </c>
      <c r="P445" s="34">
        <f t="shared" si="76"/>
        <v>83</v>
      </c>
      <c r="Q445" s="34">
        <f t="shared" si="76"/>
        <v>95</v>
      </c>
      <c r="R445" s="34">
        <f t="shared" si="76"/>
        <v>107</v>
      </c>
      <c r="S445" s="35">
        <f t="shared" si="77"/>
        <v>60</v>
      </c>
    </row>
    <row r="446" spans="2:19" hidden="1" outlineLevel="1">
      <c r="B446" s="14" t="s">
        <v>39</v>
      </c>
      <c r="C446" s="15" t="s">
        <v>65</v>
      </c>
      <c r="D446" s="52">
        <v>2054</v>
      </c>
      <c r="E446" s="34">
        <v>3</v>
      </c>
      <c r="F446" s="38">
        <f t="shared" si="73"/>
        <v>19935.760286132016</v>
      </c>
      <c r="G446" s="34">
        <f t="shared" si="74"/>
        <v>9</v>
      </c>
      <c r="H446" s="34">
        <f t="shared" si="75"/>
        <v>1</v>
      </c>
      <c r="I446" s="34" t="str">
        <f t="shared" si="76"/>
        <v/>
      </c>
      <c r="J446" s="34" t="str">
        <f t="shared" si="76"/>
        <v/>
      </c>
      <c r="K446" s="34" t="str">
        <f t="shared" si="76"/>
        <v/>
      </c>
      <c r="L446" s="34" t="str">
        <f t="shared" si="76"/>
        <v/>
      </c>
      <c r="M446" s="34" t="str">
        <f t="shared" si="76"/>
        <v/>
      </c>
      <c r="N446" s="34">
        <f t="shared" si="76"/>
        <v>60</v>
      </c>
      <c r="O446" s="34">
        <f t="shared" si="76"/>
        <v>70</v>
      </c>
      <c r="P446" s="34">
        <f t="shared" si="76"/>
        <v>82</v>
      </c>
      <c r="Q446" s="34">
        <f t="shared" si="76"/>
        <v>94</v>
      </c>
      <c r="R446" s="34">
        <f t="shared" si="76"/>
        <v>106</v>
      </c>
      <c r="S446" s="35">
        <f t="shared" si="77"/>
        <v>60</v>
      </c>
    </row>
    <row r="447" spans="2:19" hidden="1" outlineLevel="1">
      <c r="B447" s="14" t="s">
        <v>39</v>
      </c>
      <c r="C447" s="15" t="s">
        <v>65</v>
      </c>
      <c r="D447" s="52">
        <v>2054</v>
      </c>
      <c r="E447" s="34">
        <v>4</v>
      </c>
      <c r="F447" s="38">
        <f t="shared" si="73"/>
        <v>19935.760286132016</v>
      </c>
      <c r="G447" s="34">
        <f t="shared" si="74"/>
        <v>9</v>
      </c>
      <c r="H447" s="34">
        <f t="shared" si="75"/>
        <v>1</v>
      </c>
      <c r="I447" s="34" t="str">
        <f t="shared" si="76"/>
        <v/>
      </c>
      <c r="J447" s="34" t="str">
        <f t="shared" si="76"/>
        <v/>
      </c>
      <c r="K447" s="34" t="str">
        <f t="shared" si="76"/>
        <v/>
      </c>
      <c r="L447" s="34" t="str">
        <f t="shared" si="76"/>
        <v/>
      </c>
      <c r="M447" s="34" t="str">
        <f t="shared" si="76"/>
        <v/>
      </c>
      <c r="N447" s="34">
        <f t="shared" si="76"/>
        <v>60</v>
      </c>
      <c r="O447" s="34">
        <f t="shared" si="76"/>
        <v>69</v>
      </c>
      <c r="P447" s="34">
        <f t="shared" si="76"/>
        <v>81</v>
      </c>
      <c r="Q447" s="34">
        <f t="shared" si="76"/>
        <v>93</v>
      </c>
      <c r="R447" s="34">
        <f t="shared" si="76"/>
        <v>105</v>
      </c>
      <c r="S447" s="35">
        <f t="shared" si="77"/>
        <v>60</v>
      </c>
    </row>
    <row r="448" spans="2:19" hidden="1" outlineLevel="1">
      <c r="B448" s="14" t="s">
        <v>39</v>
      </c>
      <c r="C448" s="15" t="s">
        <v>65</v>
      </c>
      <c r="D448" s="52">
        <v>2054</v>
      </c>
      <c r="E448" s="34">
        <v>5</v>
      </c>
      <c r="F448" s="38">
        <f t="shared" si="73"/>
        <v>19935.760286132016</v>
      </c>
      <c r="G448" s="34">
        <f t="shared" si="74"/>
        <v>9</v>
      </c>
      <c r="H448" s="34">
        <f t="shared" si="75"/>
        <v>1</v>
      </c>
      <c r="I448" s="34" t="str">
        <f t="shared" si="76"/>
        <v/>
      </c>
      <c r="J448" s="34" t="str">
        <f t="shared" si="76"/>
        <v/>
      </c>
      <c r="K448" s="34" t="str">
        <f t="shared" si="76"/>
        <v/>
      </c>
      <c r="L448" s="34" t="str">
        <f t="shared" si="76"/>
        <v/>
      </c>
      <c r="M448" s="34" t="str">
        <f t="shared" si="76"/>
        <v/>
      </c>
      <c r="N448" s="34">
        <f t="shared" si="76"/>
        <v>60</v>
      </c>
      <c r="O448" s="34">
        <f t="shared" si="76"/>
        <v>68</v>
      </c>
      <c r="P448" s="34">
        <f t="shared" si="76"/>
        <v>80</v>
      </c>
      <c r="Q448" s="34">
        <f t="shared" si="76"/>
        <v>92</v>
      </c>
      <c r="R448" s="34">
        <f t="shared" si="76"/>
        <v>104</v>
      </c>
      <c r="S448" s="35">
        <f t="shared" si="77"/>
        <v>60</v>
      </c>
    </row>
    <row r="449" spans="2:19" hidden="1" outlineLevel="1">
      <c r="B449" s="14" t="s">
        <v>39</v>
      </c>
      <c r="C449" s="15" t="s">
        <v>65</v>
      </c>
      <c r="D449" s="52">
        <v>2054</v>
      </c>
      <c r="E449" s="34">
        <v>6</v>
      </c>
      <c r="F449" s="38">
        <f t="shared" si="73"/>
        <v>19935.760286132016</v>
      </c>
      <c r="G449" s="34">
        <f t="shared" si="74"/>
        <v>9</v>
      </c>
      <c r="H449" s="34">
        <f t="shared" si="75"/>
        <v>1</v>
      </c>
      <c r="I449" s="34" t="str">
        <f t="shared" si="76"/>
        <v/>
      </c>
      <c r="J449" s="34" t="str">
        <f t="shared" si="76"/>
        <v/>
      </c>
      <c r="K449" s="34" t="str">
        <f t="shared" si="76"/>
        <v/>
      </c>
      <c r="L449" s="34" t="str">
        <f t="shared" si="76"/>
        <v/>
      </c>
      <c r="M449" s="34" t="str">
        <f t="shared" si="76"/>
        <v/>
      </c>
      <c r="N449" s="34">
        <f t="shared" si="76"/>
        <v>60</v>
      </c>
      <c r="O449" s="34">
        <f t="shared" si="76"/>
        <v>67</v>
      </c>
      <c r="P449" s="34">
        <f t="shared" si="76"/>
        <v>79</v>
      </c>
      <c r="Q449" s="34">
        <f t="shared" si="76"/>
        <v>91</v>
      </c>
      <c r="R449" s="34">
        <f t="shared" si="76"/>
        <v>103</v>
      </c>
      <c r="S449" s="35">
        <f t="shared" si="77"/>
        <v>60</v>
      </c>
    </row>
    <row r="450" spans="2:19" hidden="1" outlineLevel="1">
      <c r="B450" s="14" t="s">
        <v>39</v>
      </c>
      <c r="C450" s="15" t="s">
        <v>65</v>
      </c>
      <c r="D450" s="52">
        <v>2054</v>
      </c>
      <c r="E450" s="34">
        <v>7</v>
      </c>
      <c r="F450" s="38">
        <f t="shared" si="73"/>
        <v>19935.760286132016</v>
      </c>
      <c r="G450" s="34">
        <f t="shared" si="74"/>
        <v>9</v>
      </c>
      <c r="H450" s="34">
        <f t="shared" si="75"/>
        <v>1</v>
      </c>
      <c r="I450" s="34" t="str">
        <f t="shared" ref="I450:R459" si="78">IF($D450&lt;$Z$18,"",IF(MAX($G450,INDEX($C$65:$F$108,$D450+I$119-2026,$H450))&lt;=12*I$119-$E450+12,MAX($G450,12*I$119-$E450+1,INDEX($C$65:$F$108,$D450+I$119-2026,$H450)),""))</f>
        <v/>
      </c>
      <c r="J450" s="34" t="str">
        <f t="shared" si="78"/>
        <v/>
      </c>
      <c r="K450" s="34" t="str">
        <f t="shared" si="78"/>
        <v/>
      </c>
      <c r="L450" s="34" t="str">
        <f t="shared" si="78"/>
        <v/>
      </c>
      <c r="M450" s="34" t="str">
        <f t="shared" si="78"/>
        <v/>
      </c>
      <c r="N450" s="34">
        <f t="shared" si="78"/>
        <v>60</v>
      </c>
      <c r="O450" s="34">
        <f t="shared" si="78"/>
        <v>66</v>
      </c>
      <c r="P450" s="34">
        <f t="shared" si="78"/>
        <v>78</v>
      </c>
      <c r="Q450" s="34">
        <f t="shared" si="78"/>
        <v>90</v>
      </c>
      <c r="R450" s="34">
        <f t="shared" si="78"/>
        <v>102</v>
      </c>
      <c r="S450" s="35">
        <f t="shared" si="77"/>
        <v>60</v>
      </c>
    </row>
    <row r="451" spans="2:19" hidden="1" outlineLevel="1">
      <c r="B451" s="14" t="s">
        <v>39</v>
      </c>
      <c r="C451" s="15" t="s">
        <v>65</v>
      </c>
      <c r="D451" s="52">
        <v>2054</v>
      </c>
      <c r="E451" s="34">
        <v>8</v>
      </c>
      <c r="F451" s="38">
        <f t="shared" si="73"/>
        <v>19935.760286132016</v>
      </c>
      <c r="G451" s="34">
        <f t="shared" si="74"/>
        <v>9</v>
      </c>
      <c r="H451" s="34">
        <f t="shared" si="75"/>
        <v>1</v>
      </c>
      <c r="I451" s="34" t="str">
        <f t="shared" si="78"/>
        <v/>
      </c>
      <c r="J451" s="34" t="str">
        <f t="shared" si="78"/>
        <v/>
      </c>
      <c r="K451" s="34" t="str">
        <f t="shared" si="78"/>
        <v/>
      </c>
      <c r="L451" s="34" t="str">
        <f t="shared" si="78"/>
        <v/>
      </c>
      <c r="M451" s="34" t="str">
        <f t="shared" si="78"/>
        <v/>
      </c>
      <c r="N451" s="34">
        <f t="shared" si="78"/>
        <v>60</v>
      </c>
      <c r="O451" s="34">
        <f t="shared" si="78"/>
        <v>65</v>
      </c>
      <c r="P451" s="34">
        <f t="shared" si="78"/>
        <v>77</v>
      </c>
      <c r="Q451" s="34">
        <f t="shared" si="78"/>
        <v>89</v>
      </c>
      <c r="R451" s="34">
        <f t="shared" si="78"/>
        <v>101</v>
      </c>
      <c r="S451" s="35">
        <f t="shared" si="77"/>
        <v>60</v>
      </c>
    </row>
    <row r="452" spans="2:19" hidden="1" outlineLevel="1">
      <c r="B452" s="14" t="s">
        <v>39</v>
      </c>
      <c r="C452" s="15" t="s">
        <v>65</v>
      </c>
      <c r="D452" s="52">
        <v>2054</v>
      </c>
      <c r="E452" s="34">
        <v>9</v>
      </c>
      <c r="F452" s="38">
        <f t="shared" si="73"/>
        <v>19935.760286132016</v>
      </c>
      <c r="G452" s="34">
        <f t="shared" si="74"/>
        <v>9</v>
      </c>
      <c r="H452" s="34">
        <f t="shared" si="75"/>
        <v>1</v>
      </c>
      <c r="I452" s="34" t="str">
        <f t="shared" si="78"/>
        <v/>
      </c>
      <c r="J452" s="34" t="str">
        <f t="shared" si="78"/>
        <v/>
      </c>
      <c r="K452" s="34" t="str">
        <f t="shared" si="78"/>
        <v/>
      </c>
      <c r="L452" s="34" t="str">
        <f t="shared" si="78"/>
        <v/>
      </c>
      <c r="M452" s="34" t="str">
        <f t="shared" si="78"/>
        <v/>
      </c>
      <c r="N452" s="34">
        <f t="shared" si="78"/>
        <v>60</v>
      </c>
      <c r="O452" s="34">
        <f t="shared" si="78"/>
        <v>64</v>
      </c>
      <c r="P452" s="34">
        <f t="shared" si="78"/>
        <v>76</v>
      </c>
      <c r="Q452" s="34">
        <f t="shared" si="78"/>
        <v>88</v>
      </c>
      <c r="R452" s="34">
        <f t="shared" si="78"/>
        <v>100</v>
      </c>
      <c r="S452" s="35">
        <f t="shared" si="77"/>
        <v>60</v>
      </c>
    </row>
    <row r="453" spans="2:19" hidden="1" outlineLevel="1">
      <c r="B453" s="14" t="s">
        <v>39</v>
      </c>
      <c r="C453" s="15" t="s">
        <v>65</v>
      </c>
      <c r="D453" s="52">
        <v>2054</v>
      </c>
      <c r="E453" s="34">
        <v>10</v>
      </c>
      <c r="F453" s="38">
        <f t="shared" si="73"/>
        <v>19935.760286132016</v>
      </c>
      <c r="G453" s="34">
        <f t="shared" si="74"/>
        <v>9</v>
      </c>
      <c r="H453" s="34">
        <f t="shared" si="75"/>
        <v>1</v>
      </c>
      <c r="I453" s="34" t="str">
        <f t="shared" si="78"/>
        <v/>
      </c>
      <c r="J453" s="34" t="str">
        <f t="shared" si="78"/>
        <v/>
      </c>
      <c r="K453" s="34" t="str">
        <f t="shared" si="78"/>
        <v/>
      </c>
      <c r="L453" s="34" t="str">
        <f t="shared" si="78"/>
        <v/>
      </c>
      <c r="M453" s="34" t="str">
        <f t="shared" si="78"/>
        <v/>
      </c>
      <c r="N453" s="34">
        <f t="shared" si="78"/>
        <v>60</v>
      </c>
      <c r="O453" s="34">
        <f t="shared" si="78"/>
        <v>63</v>
      </c>
      <c r="P453" s="34">
        <f t="shared" si="78"/>
        <v>75</v>
      </c>
      <c r="Q453" s="34">
        <f t="shared" si="78"/>
        <v>87</v>
      </c>
      <c r="R453" s="34">
        <f t="shared" si="78"/>
        <v>99</v>
      </c>
      <c r="S453" s="35">
        <f t="shared" si="77"/>
        <v>60</v>
      </c>
    </row>
    <row r="454" spans="2:19" hidden="1" outlineLevel="1">
      <c r="B454" s="14" t="s">
        <v>39</v>
      </c>
      <c r="C454" s="15" t="s">
        <v>65</v>
      </c>
      <c r="D454" s="52">
        <v>2054</v>
      </c>
      <c r="E454" s="34">
        <v>11</v>
      </c>
      <c r="F454" s="38">
        <f t="shared" si="73"/>
        <v>19935.760286132016</v>
      </c>
      <c r="G454" s="34">
        <f t="shared" si="74"/>
        <v>9</v>
      </c>
      <c r="H454" s="34">
        <f t="shared" si="75"/>
        <v>1</v>
      </c>
      <c r="I454" s="34" t="str">
        <f t="shared" si="78"/>
        <v/>
      </c>
      <c r="J454" s="34" t="str">
        <f t="shared" si="78"/>
        <v/>
      </c>
      <c r="K454" s="34" t="str">
        <f t="shared" si="78"/>
        <v/>
      </c>
      <c r="L454" s="34" t="str">
        <f t="shared" si="78"/>
        <v/>
      </c>
      <c r="M454" s="34" t="str">
        <f t="shared" si="78"/>
        <v/>
      </c>
      <c r="N454" s="34">
        <f t="shared" si="78"/>
        <v>60</v>
      </c>
      <c r="O454" s="34">
        <f t="shared" si="78"/>
        <v>62</v>
      </c>
      <c r="P454" s="34">
        <f t="shared" si="78"/>
        <v>74</v>
      </c>
      <c r="Q454" s="34">
        <f t="shared" si="78"/>
        <v>86</v>
      </c>
      <c r="R454" s="34">
        <f t="shared" si="78"/>
        <v>98</v>
      </c>
      <c r="S454" s="35">
        <f t="shared" si="77"/>
        <v>60</v>
      </c>
    </row>
    <row r="455" spans="2:19" hidden="1" outlineLevel="1">
      <c r="B455" s="14" t="s">
        <v>39</v>
      </c>
      <c r="C455" s="15" t="s">
        <v>65</v>
      </c>
      <c r="D455" s="52">
        <v>2054</v>
      </c>
      <c r="E455" s="34">
        <v>12</v>
      </c>
      <c r="F455" s="38">
        <f t="shared" si="73"/>
        <v>19935.760286132016</v>
      </c>
      <c r="G455" s="34">
        <f t="shared" si="74"/>
        <v>9</v>
      </c>
      <c r="H455" s="34">
        <f t="shared" si="75"/>
        <v>1</v>
      </c>
      <c r="I455" s="34" t="str">
        <f t="shared" si="78"/>
        <v/>
      </c>
      <c r="J455" s="34" t="str">
        <f t="shared" si="78"/>
        <v/>
      </c>
      <c r="K455" s="34" t="str">
        <f t="shared" si="78"/>
        <v/>
      </c>
      <c r="L455" s="34" t="str">
        <f t="shared" si="78"/>
        <v/>
      </c>
      <c r="M455" s="34" t="str">
        <f t="shared" si="78"/>
        <v/>
      </c>
      <c r="N455" s="34">
        <f t="shared" si="78"/>
        <v>60</v>
      </c>
      <c r="O455" s="34">
        <f t="shared" si="78"/>
        <v>61</v>
      </c>
      <c r="P455" s="34">
        <f t="shared" si="78"/>
        <v>73</v>
      </c>
      <c r="Q455" s="34">
        <f t="shared" si="78"/>
        <v>85</v>
      </c>
      <c r="R455" s="34">
        <f t="shared" si="78"/>
        <v>97</v>
      </c>
      <c r="S455" s="35">
        <f t="shared" si="77"/>
        <v>60</v>
      </c>
    </row>
    <row r="456" spans="2:19" hidden="1" outlineLevel="1">
      <c r="B456" s="14" t="s">
        <v>39</v>
      </c>
      <c r="C456" s="15" t="s">
        <v>65</v>
      </c>
      <c r="D456" s="52">
        <v>2055</v>
      </c>
      <c r="E456" s="34">
        <v>1</v>
      </c>
      <c r="F456" s="38">
        <f t="shared" si="73"/>
        <v>20024.064753062685</v>
      </c>
      <c r="G456" s="34">
        <f t="shared" si="74"/>
        <v>9</v>
      </c>
      <c r="H456" s="34">
        <f t="shared" si="75"/>
        <v>1</v>
      </c>
      <c r="I456" s="34" t="str">
        <f t="shared" si="78"/>
        <v/>
      </c>
      <c r="J456" s="34" t="str">
        <f t="shared" si="78"/>
        <v/>
      </c>
      <c r="K456" s="34" t="str">
        <f t="shared" si="78"/>
        <v/>
      </c>
      <c r="L456" s="34" t="str">
        <f t="shared" si="78"/>
        <v/>
      </c>
      <c r="M456" s="34" t="str">
        <f t="shared" si="78"/>
        <v/>
      </c>
      <c r="N456" s="34">
        <f t="shared" si="78"/>
        <v>60</v>
      </c>
      <c r="O456" s="34">
        <f t="shared" si="78"/>
        <v>72</v>
      </c>
      <c r="P456" s="34">
        <f t="shared" si="78"/>
        <v>84</v>
      </c>
      <c r="Q456" s="34">
        <f t="shared" si="78"/>
        <v>96</v>
      </c>
      <c r="R456" s="34">
        <f t="shared" si="78"/>
        <v>108</v>
      </c>
      <c r="S456" s="35">
        <f t="shared" si="77"/>
        <v>60</v>
      </c>
    </row>
    <row r="457" spans="2:19" hidden="1" outlineLevel="1">
      <c r="B457" s="14" t="s">
        <v>39</v>
      </c>
      <c r="C457" s="15" t="s">
        <v>65</v>
      </c>
      <c r="D457" s="52">
        <v>2055</v>
      </c>
      <c r="E457" s="34">
        <v>2</v>
      </c>
      <c r="F457" s="38">
        <f t="shared" si="73"/>
        <v>20024.064753062685</v>
      </c>
      <c r="G457" s="34">
        <f t="shared" si="74"/>
        <v>9</v>
      </c>
      <c r="H457" s="34">
        <f t="shared" si="75"/>
        <v>1</v>
      </c>
      <c r="I457" s="34" t="str">
        <f t="shared" si="78"/>
        <v/>
      </c>
      <c r="J457" s="34" t="str">
        <f t="shared" si="78"/>
        <v/>
      </c>
      <c r="K457" s="34" t="str">
        <f t="shared" si="78"/>
        <v/>
      </c>
      <c r="L457" s="34" t="str">
        <f t="shared" si="78"/>
        <v/>
      </c>
      <c r="M457" s="34" t="str">
        <f t="shared" si="78"/>
        <v/>
      </c>
      <c r="N457" s="34">
        <f t="shared" si="78"/>
        <v>60</v>
      </c>
      <c r="O457" s="34">
        <f t="shared" si="78"/>
        <v>71</v>
      </c>
      <c r="P457" s="34">
        <f t="shared" si="78"/>
        <v>83</v>
      </c>
      <c r="Q457" s="34">
        <f t="shared" si="78"/>
        <v>95</v>
      </c>
      <c r="R457" s="34">
        <f t="shared" si="78"/>
        <v>107</v>
      </c>
      <c r="S457" s="35">
        <f t="shared" si="77"/>
        <v>60</v>
      </c>
    </row>
    <row r="458" spans="2:19" hidden="1" outlineLevel="1">
      <c r="B458" s="14" t="s">
        <v>39</v>
      </c>
      <c r="C458" s="15" t="s">
        <v>65</v>
      </c>
      <c r="D458" s="52">
        <v>2055</v>
      </c>
      <c r="E458" s="34">
        <v>3</v>
      </c>
      <c r="F458" s="38">
        <f t="shared" si="73"/>
        <v>20024.064753062685</v>
      </c>
      <c r="G458" s="34">
        <f t="shared" si="74"/>
        <v>9</v>
      </c>
      <c r="H458" s="34">
        <f t="shared" si="75"/>
        <v>1</v>
      </c>
      <c r="I458" s="34" t="str">
        <f t="shared" si="78"/>
        <v/>
      </c>
      <c r="J458" s="34" t="str">
        <f t="shared" si="78"/>
        <v/>
      </c>
      <c r="K458" s="34" t="str">
        <f t="shared" si="78"/>
        <v/>
      </c>
      <c r="L458" s="34" t="str">
        <f t="shared" si="78"/>
        <v/>
      </c>
      <c r="M458" s="34" t="str">
        <f t="shared" si="78"/>
        <v/>
      </c>
      <c r="N458" s="34">
        <f t="shared" si="78"/>
        <v>60</v>
      </c>
      <c r="O458" s="34">
        <f t="shared" si="78"/>
        <v>70</v>
      </c>
      <c r="P458" s="34">
        <f t="shared" si="78"/>
        <v>82</v>
      </c>
      <c r="Q458" s="34">
        <f t="shared" si="78"/>
        <v>94</v>
      </c>
      <c r="R458" s="34">
        <f t="shared" si="78"/>
        <v>106</v>
      </c>
      <c r="S458" s="35">
        <f t="shared" si="77"/>
        <v>60</v>
      </c>
    </row>
    <row r="459" spans="2:19" hidden="1" outlineLevel="1">
      <c r="B459" s="14" t="s">
        <v>39</v>
      </c>
      <c r="C459" s="15" t="s">
        <v>65</v>
      </c>
      <c r="D459" s="52">
        <v>2055</v>
      </c>
      <c r="E459" s="34">
        <v>4</v>
      </c>
      <c r="F459" s="38">
        <f t="shared" si="73"/>
        <v>20024.064753062685</v>
      </c>
      <c r="G459" s="34">
        <f t="shared" si="74"/>
        <v>9</v>
      </c>
      <c r="H459" s="34">
        <f t="shared" si="75"/>
        <v>1</v>
      </c>
      <c r="I459" s="34" t="str">
        <f t="shared" si="78"/>
        <v/>
      </c>
      <c r="J459" s="34" t="str">
        <f t="shared" si="78"/>
        <v/>
      </c>
      <c r="K459" s="34" t="str">
        <f t="shared" si="78"/>
        <v/>
      </c>
      <c r="L459" s="34" t="str">
        <f t="shared" si="78"/>
        <v/>
      </c>
      <c r="M459" s="34" t="str">
        <f t="shared" si="78"/>
        <v/>
      </c>
      <c r="N459" s="34">
        <f t="shared" si="78"/>
        <v>60</v>
      </c>
      <c r="O459" s="34">
        <f t="shared" si="78"/>
        <v>69</v>
      </c>
      <c r="P459" s="34">
        <f t="shared" si="78"/>
        <v>81</v>
      </c>
      <c r="Q459" s="34">
        <f t="shared" si="78"/>
        <v>93</v>
      </c>
      <c r="R459" s="34">
        <f t="shared" si="78"/>
        <v>105</v>
      </c>
      <c r="S459" s="35">
        <f t="shared" si="77"/>
        <v>60</v>
      </c>
    </row>
    <row r="460" spans="2:19" hidden="1" outlineLevel="1">
      <c r="B460" s="14" t="s">
        <v>39</v>
      </c>
      <c r="C460" s="15" t="s">
        <v>65</v>
      </c>
      <c r="D460" s="52">
        <v>2055</v>
      </c>
      <c r="E460" s="34">
        <v>5</v>
      </c>
      <c r="F460" s="38">
        <f t="shared" si="73"/>
        <v>20024.064753062685</v>
      </c>
      <c r="G460" s="34">
        <f t="shared" si="74"/>
        <v>9</v>
      </c>
      <c r="H460" s="34">
        <f t="shared" si="75"/>
        <v>1</v>
      </c>
      <c r="I460" s="34" t="str">
        <f t="shared" ref="I460:R469" si="79">IF($D460&lt;$Z$18,"",IF(MAX($G460,INDEX($C$65:$F$108,$D460+I$119-2026,$H460))&lt;=12*I$119-$E460+12,MAX($G460,12*I$119-$E460+1,INDEX($C$65:$F$108,$D460+I$119-2026,$H460)),""))</f>
        <v/>
      </c>
      <c r="J460" s="34" t="str">
        <f t="shared" si="79"/>
        <v/>
      </c>
      <c r="K460" s="34" t="str">
        <f t="shared" si="79"/>
        <v/>
      </c>
      <c r="L460" s="34" t="str">
        <f t="shared" si="79"/>
        <v/>
      </c>
      <c r="M460" s="34" t="str">
        <f t="shared" si="79"/>
        <v/>
      </c>
      <c r="N460" s="34">
        <f t="shared" si="79"/>
        <v>60</v>
      </c>
      <c r="O460" s="34">
        <f t="shared" si="79"/>
        <v>68</v>
      </c>
      <c r="P460" s="34">
        <f t="shared" si="79"/>
        <v>80</v>
      </c>
      <c r="Q460" s="34">
        <f t="shared" si="79"/>
        <v>92</v>
      </c>
      <c r="R460" s="34">
        <f t="shared" si="79"/>
        <v>104</v>
      </c>
      <c r="S460" s="35">
        <f t="shared" si="77"/>
        <v>60</v>
      </c>
    </row>
    <row r="461" spans="2:19" hidden="1" outlineLevel="1">
      <c r="B461" s="14" t="s">
        <v>39</v>
      </c>
      <c r="C461" s="15" t="s">
        <v>65</v>
      </c>
      <c r="D461" s="52">
        <v>2055</v>
      </c>
      <c r="E461" s="34">
        <v>6</v>
      </c>
      <c r="F461" s="38">
        <f t="shared" si="73"/>
        <v>20024.064753062685</v>
      </c>
      <c r="G461" s="34">
        <f t="shared" si="74"/>
        <v>9</v>
      </c>
      <c r="H461" s="34">
        <f t="shared" si="75"/>
        <v>1</v>
      </c>
      <c r="I461" s="34" t="str">
        <f t="shared" si="79"/>
        <v/>
      </c>
      <c r="J461" s="34" t="str">
        <f t="shared" si="79"/>
        <v/>
      </c>
      <c r="K461" s="34" t="str">
        <f t="shared" si="79"/>
        <v/>
      </c>
      <c r="L461" s="34" t="str">
        <f t="shared" si="79"/>
        <v/>
      </c>
      <c r="M461" s="34" t="str">
        <f t="shared" si="79"/>
        <v/>
      </c>
      <c r="N461" s="34">
        <f t="shared" si="79"/>
        <v>60</v>
      </c>
      <c r="O461" s="34">
        <f t="shared" si="79"/>
        <v>67</v>
      </c>
      <c r="P461" s="34">
        <f t="shared" si="79"/>
        <v>79</v>
      </c>
      <c r="Q461" s="34">
        <f t="shared" si="79"/>
        <v>91</v>
      </c>
      <c r="R461" s="34">
        <f t="shared" si="79"/>
        <v>103</v>
      </c>
      <c r="S461" s="35">
        <f t="shared" si="77"/>
        <v>60</v>
      </c>
    </row>
    <row r="462" spans="2:19" hidden="1" outlineLevel="1">
      <c r="B462" s="14" t="s">
        <v>39</v>
      </c>
      <c r="C462" s="15" t="s">
        <v>65</v>
      </c>
      <c r="D462" s="52">
        <v>2055</v>
      </c>
      <c r="E462" s="34">
        <v>7</v>
      </c>
      <c r="F462" s="38">
        <f t="shared" si="73"/>
        <v>20024.064753062685</v>
      </c>
      <c r="G462" s="34">
        <f t="shared" si="74"/>
        <v>9</v>
      </c>
      <c r="H462" s="34">
        <f t="shared" si="75"/>
        <v>1</v>
      </c>
      <c r="I462" s="34" t="str">
        <f t="shared" si="79"/>
        <v/>
      </c>
      <c r="J462" s="34" t="str">
        <f t="shared" si="79"/>
        <v/>
      </c>
      <c r="K462" s="34" t="str">
        <f t="shared" si="79"/>
        <v/>
      </c>
      <c r="L462" s="34" t="str">
        <f t="shared" si="79"/>
        <v/>
      </c>
      <c r="M462" s="34" t="str">
        <f t="shared" si="79"/>
        <v/>
      </c>
      <c r="N462" s="34">
        <f t="shared" si="79"/>
        <v>60</v>
      </c>
      <c r="O462" s="34">
        <f t="shared" si="79"/>
        <v>66</v>
      </c>
      <c r="P462" s="34">
        <f t="shared" si="79"/>
        <v>78</v>
      </c>
      <c r="Q462" s="34">
        <f t="shared" si="79"/>
        <v>90</v>
      </c>
      <c r="R462" s="34">
        <f t="shared" si="79"/>
        <v>102</v>
      </c>
      <c r="S462" s="35">
        <f t="shared" si="77"/>
        <v>60</v>
      </c>
    </row>
    <row r="463" spans="2:19" hidden="1" outlineLevel="1">
      <c r="B463" s="14" t="s">
        <v>39</v>
      </c>
      <c r="C463" s="15" t="s">
        <v>65</v>
      </c>
      <c r="D463" s="52">
        <v>2055</v>
      </c>
      <c r="E463" s="34">
        <v>8</v>
      </c>
      <c r="F463" s="38">
        <f t="shared" si="73"/>
        <v>20024.064753062685</v>
      </c>
      <c r="G463" s="34">
        <f t="shared" si="74"/>
        <v>9</v>
      </c>
      <c r="H463" s="34">
        <f t="shared" si="75"/>
        <v>1</v>
      </c>
      <c r="I463" s="34" t="str">
        <f t="shared" si="79"/>
        <v/>
      </c>
      <c r="J463" s="34" t="str">
        <f t="shared" si="79"/>
        <v/>
      </c>
      <c r="K463" s="34" t="str">
        <f t="shared" si="79"/>
        <v/>
      </c>
      <c r="L463" s="34" t="str">
        <f t="shared" si="79"/>
        <v/>
      </c>
      <c r="M463" s="34" t="str">
        <f t="shared" si="79"/>
        <v/>
      </c>
      <c r="N463" s="34">
        <f t="shared" si="79"/>
        <v>60</v>
      </c>
      <c r="O463" s="34">
        <f t="shared" si="79"/>
        <v>65</v>
      </c>
      <c r="P463" s="34">
        <f t="shared" si="79"/>
        <v>77</v>
      </c>
      <c r="Q463" s="34">
        <f t="shared" si="79"/>
        <v>89</v>
      </c>
      <c r="R463" s="34">
        <f t="shared" si="79"/>
        <v>101</v>
      </c>
      <c r="S463" s="35">
        <f t="shared" si="77"/>
        <v>60</v>
      </c>
    </row>
    <row r="464" spans="2:19" hidden="1" outlineLevel="1">
      <c r="B464" s="14" t="s">
        <v>39</v>
      </c>
      <c r="C464" s="15" t="s">
        <v>65</v>
      </c>
      <c r="D464" s="52">
        <v>2055</v>
      </c>
      <c r="E464" s="34">
        <v>9</v>
      </c>
      <c r="F464" s="38">
        <f t="shared" si="73"/>
        <v>20024.064753062685</v>
      </c>
      <c r="G464" s="34">
        <f t="shared" si="74"/>
        <v>9</v>
      </c>
      <c r="H464" s="34">
        <f t="shared" si="75"/>
        <v>1</v>
      </c>
      <c r="I464" s="34" t="str">
        <f t="shared" si="79"/>
        <v/>
      </c>
      <c r="J464" s="34" t="str">
        <f t="shared" si="79"/>
        <v/>
      </c>
      <c r="K464" s="34" t="str">
        <f t="shared" si="79"/>
        <v/>
      </c>
      <c r="L464" s="34" t="str">
        <f t="shared" si="79"/>
        <v/>
      </c>
      <c r="M464" s="34" t="str">
        <f t="shared" si="79"/>
        <v/>
      </c>
      <c r="N464" s="34">
        <f t="shared" si="79"/>
        <v>60</v>
      </c>
      <c r="O464" s="34">
        <f t="shared" si="79"/>
        <v>64</v>
      </c>
      <c r="P464" s="34">
        <f t="shared" si="79"/>
        <v>76</v>
      </c>
      <c r="Q464" s="34">
        <f t="shared" si="79"/>
        <v>88</v>
      </c>
      <c r="R464" s="34">
        <f t="shared" si="79"/>
        <v>100</v>
      </c>
      <c r="S464" s="35">
        <f t="shared" si="77"/>
        <v>60</v>
      </c>
    </row>
    <row r="465" spans="2:19" hidden="1" outlineLevel="1">
      <c r="B465" s="14" t="s">
        <v>39</v>
      </c>
      <c r="C465" s="15" t="s">
        <v>65</v>
      </c>
      <c r="D465" s="52">
        <v>2055</v>
      </c>
      <c r="E465" s="34">
        <v>10</v>
      </c>
      <c r="F465" s="38">
        <f t="shared" si="73"/>
        <v>20024.064753062685</v>
      </c>
      <c r="G465" s="34">
        <f t="shared" si="74"/>
        <v>9</v>
      </c>
      <c r="H465" s="34">
        <f t="shared" si="75"/>
        <v>1</v>
      </c>
      <c r="I465" s="34" t="str">
        <f t="shared" si="79"/>
        <v/>
      </c>
      <c r="J465" s="34" t="str">
        <f t="shared" si="79"/>
        <v/>
      </c>
      <c r="K465" s="34" t="str">
        <f t="shared" si="79"/>
        <v/>
      </c>
      <c r="L465" s="34" t="str">
        <f t="shared" si="79"/>
        <v/>
      </c>
      <c r="M465" s="34" t="str">
        <f t="shared" si="79"/>
        <v/>
      </c>
      <c r="N465" s="34">
        <f t="shared" si="79"/>
        <v>60</v>
      </c>
      <c r="O465" s="34">
        <f t="shared" si="79"/>
        <v>63</v>
      </c>
      <c r="P465" s="34">
        <f t="shared" si="79"/>
        <v>75</v>
      </c>
      <c r="Q465" s="34">
        <f t="shared" si="79"/>
        <v>87</v>
      </c>
      <c r="R465" s="34">
        <f t="shared" si="79"/>
        <v>99</v>
      </c>
      <c r="S465" s="35">
        <f t="shared" si="77"/>
        <v>60</v>
      </c>
    </row>
    <row r="466" spans="2:19" hidden="1" outlineLevel="1">
      <c r="B466" s="14" t="s">
        <v>39</v>
      </c>
      <c r="C466" s="15" t="s">
        <v>65</v>
      </c>
      <c r="D466" s="52">
        <v>2055</v>
      </c>
      <c r="E466" s="34">
        <v>11</v>
      </c>
      <c r="F466" s="38">
        <f t="shared" si="73"/>
        <v>20024.064753062685</v>
      </c>
      <c r="G466" s="34">
        <f t="shared" si="74"/>
        <v>9</v>
      </c>
      <c r="H466" s="34">
        <f t="shared" si="75"/>
        <v>1</v>
      </c>
      <c r="I466" s="34" t="str">
        <f t="shared" si="79"/>
        <v/>
      </c>
      <c r="J466" s="34" t="str">
        <f t="shared" si="79"/>
        <v/>
      </c>
      <c r="K466" s="34" t="str">
        <f t="shared" si="79"/>
        <v/>
      </c>
      <c r="L466" s="34" t="str">
        <f t="shared" si="79"/>
        <v/>
      </c>
      <c r="M466" s="34" t="str">
        <f t="shared" si="79"/>
        <v/>
      </c>
      <c r="N466" s="34">
        <f t="shared" si="79"/>
        <v>60</v>
      </c>
      <c r="O466" s="34">
        <f t="shared" si="79"/>
        <v>62</v>
      </c>
      <c r="P466" s="34">
        <f t="shared" si="79"/>
        <v>74</v>
      </c>
      <c r="Q466" s="34">
        <f t="shared" si="79"/>
        <v>86</v>
      </c>
      <c r="R466" s="34">
        <f t="shared" si="79"/>
        <v>98</v>
      </c>
      <c r="S466" s="35">
        <f t="shared" si="77"/>
        <v>60</v>
      </c>
    </row>
    <row r="467" spans="2:19" hidden="1" outlineLevel="1">
      <c r="B467" s="14" t="s">
        <v>39</v>
      </c>
      <c r="C467" s="15" t="s">
        <v>65</v>
      </c>
      <c r="D467" s="52">
        <v>2055</v>
      </c>
      <c r="E467" s="34">
        <v>12</v>
      </c>
      <c r="F467" s="38">
        <f t="shared" si="73"/>
        <v>20024.064753062685</v>
      </c>
      <c r="G467" s="34">
        <f t="shared" si="74"/>
        <v>9</v>
      </c>
      <c r="H467" s="34">
        <f t="shared" si="75"/>
        <v>1</v>
      </c>
      <c r="I467" s="34" t="str">
        <f t="shared" si="79"/>
        <v/>
      </c>
      <c r="J467" s="34" t="str">
        <f t="shared" si="79"/>
        <v/>
      </c>
      <c r="K467" s="34" t="str">
        <f t="shared" si="79"/>
        <v/>
      </c>
      <c r="L467" s="34" t="str">
        <f t="shared" si="79"/>
        <v/>
      </c>
      <c r="M467" s="34" t="str">
        <f t="shared" si="79"/>
        <v/>
      </c>
      <c r="N467" s="34">
        <f t="shared" si="79"/>
        <v>60</v>
      </c>
      <c r="O467" s="34">
        <f t="shared" si="79"/>
        <v>61</v>
      </c>
      <c r="P467" s="34">
        <f t="shared" si="79"/>
        <v>73</v>
      </c>
      <c r="Q467" s="34">
        <f t="shared" si="79"/>
        <v>85</v>
      </c>
      <c r="R467" s="34">
        <f t="shared" si="79"/>
        <v>97</v>
      </c>
      <c r="S467" s="35">
        <f t="shared" si="77"/>
        <v>60</v>
      </c>
    </row>
    <row r="468" spans="2:19" hidden="1" outlineLevel="1">
      <c r="B468" s="14" t="s">
        <v>39</v>
      </c>
      <c r="C468" s="15" t="s">
        <v>65</v>
      </c>
      <c r="D468" s="52">
        <v>2056</v>
      </c>
      <c r="E468" s="34">
        <v>1</v>
      </c>
      <c r="F468" s="38">
        <f t="shared" si="73"/>
        <v>20113.627748809431</v>
      </c>
      <c r="G468" s="34">
        <f t="shared" si="74"/>
        <v>9</v>
      </c>
      <c r="H468" s="34">
        <f t="shared" si="75"/>
        <v>1</v>
      </c>
      <c r="I468" s="34" t="str">
        <f t="shared" si="79"/>
        <v/>
      </c>
      <c r="J468" s="34" t="str">
        <f t="shared" si="79"/>
        <v/>
      </c>
      <c r="K468" s="34" t="str">
        <f t="shared" si="79"/>
        <v/>
      </c>
      <c r="L468" s="34" t="str">
        <f t="shared" si="79"/>
        <v/>
      </c>
      <c r="M468" s="34" t="str">
        <f t="shared" si="79"/>
        <v/>
      </c>
      <c r="N468" s="34">
        <f t="shared" si="79"/>
        <v>60</v>
      </c>
      <c r="O468" s="34">
        <f t="shared" si="79"/>
        <v>72</v>
      </c>
      <c r="P468" s="34">
        <f t="shared" si="79"/>
        <v>84</v>
      </c>
      <c r="Q468" s="34">
        <f t="shared" si="79"/>
        <v>96</v>
      </c>
      <c r="R468" s="34">
        <f t="shared" si="79"/>
        <v>108</v>
      </c>
      <c r="S468" s="35">
        <f t="shared" si="77"/>
        <v>60</v>
      </c>
    </row>
    <row r="469" spans="2:19" hidden="1" outlineLevel="1">
      <c r="B469" s="14" t="s">
        <v>39</v>
      </c>
      <c r="C469" s="15" t="s">
        <v>65</v>
      </c>
      <c r="D469" s="52">
        <v>2056</v>
      </c>
      <c r="E469" s="34">
        <v>2</v>
      </c>
      <c r="F469" s="38">
        <f t="shared" si="73"/>
        <v>20113.627748809431</v>
      </c>
      <c r="G469" s="34">
        <f t="shared" si="74"/>
        <v>9</v>
      </c>
      <c r="H469" s="34">
        <f t="shared" si="75"/>
        <v>1</v>
      </c>
      <c r="I469" s="34" t="str">
        <f t="shared" si="79"/>
        <v/>
      </c>
      <c r="J469" s="34" t="str">
        <f t="shared" si="79"/>
        <v/>
      </c>
      <c r="K469" s="34" t="str">
        <f t="shared" si="79"/>
        <v/>
      </c>
      <c r="L469" s="34" t="str">
        <f t="shared" si="79"/>
        <v/>
      </c>
      <c r="M469" s="34" t="str">
        <f t="shared" si="79"/>
        <v/>
      </c>
      <c r="N469" s="34">
        <f t="shared" si="79"/>
        <v>60</v>
      </c>
      <c r="O469" s="34">
        <f t="shared" si="79"/>
        <v>71</v>
      </c>
      <c r="P469" s="34">
        <f t="shared" si="79"/>
        <v>83</v>
      </c>
      <c r="Q469" s="34">
        <f t="shared" si="79"/>
        <v>95</v>
      </c>
      <c r="R469" s="34">
        <f t="shared" si="79"/>
        <v>107</v>
      </c>
      <c r="S469" s="35">
        <f t="shared" si="77"/>
        <v>60</v>
      </c>
    </row>
    <row r="470" spans="2:19" hidden="1" outlineLevel="1">
      <c r="B470" s="14" t="s">
        <v>39</v>
      </c>
      <c r="C470" s="15" t="s">
        <v>65</v>
      </c>
      <c r="D470" s="52">
        <v>2056</v>
      </c>
      <c r="E470" s="34">
        <v>3</v>
      </c>
      <c r="F470" s="38">
        <f t="shared" si="73"/>
        <v>20113.627748809431</v>
      </c>
      <c r="G470" s="34">
        <f t="shared" si="74"/>
        <v>9</v>
      </c>
      <c r="H470" s="34">
        <f t="shared" si="75"/>
        <v>1</v>
      </c>
      <c r="I470" s="34" t="str">
        <f t="shared" ref="I470:R479" si="80">IF($D470&lt;$Z$18,"",IF(MAX($G470,INDEX($C$65:$F$108,$D470+I$119-2026,$H470))&lt;=12*I$119-$E470+12,MAX($G470,12*I$119-$E470+1,INDEX($C$65:$F$108,$D470+I$119-2026,$H470)),""))</f>
        <v/>
      </c>
      <c r="J470" s="34" t="str">
        <f t="shared" si="80"/>
        <v/>
      </c>
      <c r="K470" s="34" t="str">
        <f t="shared" si="80"/>
        <v/>
      </c>
      <c r="L470" s="34" t="str">
        <f t="shared" si="80"/>
        <v/>
      </c>
      <c r="M470" s="34" t="str">
        <f t="shared" si="80"/>
        <v/>
      </c>
      <c r="N470" s="34">
        <f t="shared" si="80"/>
        <v>60</v>
      </c>
      <c r="O470" s="34">
        <f t="shared" si="80"/>
        <v>70</v>
      </c>
      <c r="P470" s="34">
        <f t="shared" si="80"/>
        <v>82</v>
      </c>
      <c r="Q470" s="34">
        <f t="shared" si="80"/>
        <v>94</v>
      </c>
      <c r="R470" s="34">
        <f t="shared" si="80"/>
        <v>106</v>
      </c>
      <c r="S470" s="35">
        <f t="shared" si="77"/>
        <v>60</v>
      </c>
    </row>
    <row r="471" spans="2:19" hidden="1" outlineLevel="1">
      <c r="B471" s="14" t="s">
        <v>39</v>
      </c>
      <c r="C471" s="15" t="s">
        <v>65</v>
      </c>
      <c r="D471" s="52">
        <v>2056</v>
      </c>
      <c r="E471" s="34">
        <v>4</v>
      </c>
      <c r="F471" s="38">
        <f t="shared" si="73"/>
        <v>20113.627748809431</v>
      </c>
      <c r="G471" s="34">
        <f t="shared" si="74"/>
        <v>9</v>
      </c>
      <c r="H471" s="34">
        <f t="shared" si="75"/>
        <v>1</v>
      </c>
      <c r="I471" s="34" t="str">
        <f t="shared" si="80"/>
        <v/>
      </c>
      <c r="J471" s="34" t="str">
        <f t="shared" si="80"/>
        <v/>
      </c>
      <c r="K471" s="34" t="str">
        <f t="shared" si="80"/>
        <v/>
      </c>
      <c r="L471" s="34" t="str">
        <f t="shared" si="80"/>
        <v/>
      </c>
      <c r="M471" s="34" t="str">
        <f t="shared" si="80"/>
        <v/>
      </c>
      <c r="N471" s="34">
        <f t="shared" si="80"/>
        <v>60</v>
      </c>
      <c r="O471" s="34">
        <f t="shared" si="80"/>
        <v>69</v>
      </c>
      <c r="P471" s="34">
        <f t="shared" si="80"/>
        <v>81</v>
      </c>
      <c r="Q471" s="34">
        <f t="shared" si="80"/>
        <v>93</v>
      </c>
      <c r="R471" s="34">
        <f t="shared" si="80"/>
        <v>105</v>
      </c>
      <c r="S471" s="35">
        <f t="shared" si="77"/>
        <v>60</v>
      </c>
    </row>
    <row r="472" spans="2:19" hidden="1" outlineLevel="1">
      <c r="B472" s="14" t="s">
        <v>39</v>
      </c>
      <c r="C472" s="15" t="s">
        <v>65</v>
      </c>
      <c r="D472" s="52">
        <v>2056</v>
      </c>
      <c r="E472" s="34">
        <v>5</v>
      </c>
      <c r="F472" s="38">
        <f t="shared" si="73"/>
        <v>20113.627748809431</v>
      </c>
      <c r="G472" s="34">
        <f t="shared" si="74"/>
        <v>9</v>
      </c>
      <c r="H472" s="34">
        <f t="shared" si="75"/>
        <v>1</v>
      </c>
      <c r="I472" s="34" t="str">
        <f t="shared" si="80"/>
        <v/>
      </c>
      <c r="J472" s="34" t="str">
        <f t="shared" si="80"/>
        <v/>
      </c>
      <c r="K472" s="34" t="str">
        <f t="shared" si="80"/>
        <v/>
      </c>
      <c r="L472" s="34" t="str">
        <f t="shared" si="80"/>
        <v/>
      </c>
      <c r="M472" s="34" t="str">
        <f t="shared" si="80"/>
        <v/>
      </c>
      <c r="N472" s="34">
        <f t="shared" si="80"/>
        <v>60</v>
      </c>
      <c r="O472" s="34">
        <f t="shared" si="80"/>
        <v>68</v>
      </c>
      <c r="P472" s="34">
        <f t="shared" si="80"/>
        <v>80</v>
      </c>
      <c r="Q472" s="34">
        <f t="shared" si="80"/>
        <v>92</v>
      </c>
      <c r="R472" s="34">
        <f t="shared" si="80"/>
        <v>104</v>
      </c>
      <c r="S472" s="35">
        <f t="shared" si="77"/>
        <v>60</v>
      </c>
    </row>
    <row r="473" spans="2:19" hidden="1" outlineLevel="1">
      <c r="B473" s="14" t="s">
        <v>39</v>
      </c>
      <c r="C473" s="15" t="s">
        <v>65</v>
      </c>
      <c r="D473" s="52">
        <v>2056</v>
      </c>
      <c r="E473" s="34">
        <v>6</v>
      </c>
      <c r="F473" s="38">
        <f t="shared" si="73"/>
        <v>20113.627748809431</v>
      </c>
      <c r="G473" s="34">
        <f t="shared" si="74"/>
        <v>9</v>
      </c>
      <c r="H473" s="34">
        <f t="shared" si="75"/>
        <v>1</v>
      </c>
      <c r="I473" s="34" t="str">
        <f t="shared" si="80"/>
        <v/>
      </c>
      <c r="J473" s="34" t="str">
        <f t="shared" si="80"/>
        <v/>
      </c>
      <c r="K473" s="34" t="str">
        <f t="shared" si="80"/>
        <v/>
      </c>
      <c r="L473" s="34" t="str">
        <f t="shared" si="80"/>
        <v/>
      </c>
      <c r="M473" s="34" t="str">
        <f t="shared" si="80"/>
        <v/>
      </c>
      <c r="N473" s="34">
        <f t="shared" si="80"/>
        <v>60</v>
      </c>
      <c r="O473" s="34">
        <f t="shared" si="80"/>
        <v>67</v>
      </c>
      <c r="P473" s="34">
        <f t="shared" si="80"/>
        <v>79</v>
      </c>
      <c r="Q473" s="34">
        <f t="shared" si="80"/>
        <v>91</v>
      </c>
      <c r="R473" s="34">
        <f t="shared" si="80"/>
        <v>103</v>
      </c>
      <c r="S473" s="35">
        <f t="shared" si="77"/>
        <v>60</v>
      </c>
    </row>
    <row r="474" spans="2:19" hidden="1" outlineLevel="1">
      <c r="B474" s="14" t="s">
        <v>39</v>
      </c>
      <c r="C474" s="15" t="s">
        <v>65</v>
      </c>
      <c r="D474" s="52">
        <v>2056</v>
      </c>
      <c r="E474" s="34">
        <v>7</v>
      </c>
      <c r="F474" s="38">
        <f t="shared" si="73"/>
        <v>20113.627748809431</v>
      </c>
      <c r="G474" s="34">
        <f t="shared" si="74"/>
        <v>9</v>
      </c>
      <c r="H474" s="34">
        <f t="shared" si="75"/>
        <v>1</v>
      </c>
      <c r="I474" s="34" t="str">
        <f t="shared" si="80"/>
        <v/>
      </c>
      <c r="J474" s="34" t="str">
        <f t="shared" si="80"/>
        <v/>
      </c>
      <c r="K474" s="34" t="str">
        <f t="shared" si="80"/>
        <v/>
      </c>
      <c r="L474" s="34" t="str">
        <f t="shared" si="80"/>
        <v/>
      </c>
      <c r="M474" s="34" t="str">
        <f t="shared" si="80"/>
        <v/>
      </c>
      <c r="N474" s="34">
        <f t="shared" si="80"/>
        <v>60</v>
      </c>
      <c r="O474" s="34">
        <f t="shared" si="80"/>
        <v>66</v>
      </c>
      <c r="P474" s="34">
        <f t="shared" si="80"/>
        <v>78</v>
      </c>
      <c r="Q474" s="34">
        <f t="shared" si="80"/>
        <v>90</v>
      </c>
      <c r="R474" s="34">
        <f t="shared" si="80"/>
        <v>102</v>
      </c>
      <c r="S474" s="35">
        <f t="shared" si="77"/>
        <v>60</v>
      </c>
    </row>
    <row r="475" spans="2:19" hidden="1" outlineLevel="1">
      <c r="B475" s="14" t="s">
        <v>39</v>
      </c>
      <c r="C475" s="15" t="s">
        <v>65</v>
      </c>
      <c r="D475" s="52">
        <v>2056</v>
      </c>
      <c r="E475" s="34">
        <v>8</v>
      </c>
      <c r="F475" s="38">
        <f t="shared" si="73"/>
        <v>20113.627748809431</v>
      </c>
      <c r="G475" s="34">
        <f t="shared" si="74"/>
        <v>9</v>
      </c>
      <c r="H475" s="34">
        <f t="shared" si="75"/>
        <v>1</v>
      </c>
      <c r="I475" s="34" t="str">
        <f t="shared" si="80"/>
        <v/>
      </c>
      <c r="J475" s="34" t="str">
        <f t="shared" si="80"/>
        <v/>
      </c>
      <c r="K475" s="34" t="str">
        <f t="shared" si="80"/>
        <v/>
      </c>
      <c r="L475" s="34" t="str">
        <f t="shared" si="80"/>
        <v/>
      </c>
      <c r="M475" s="34" t="str">
        <f t="shared" si="80"/>
        <v/>
      </c>
      <c r="N475" s="34">
        <f t="shared" si="80"/>
        <v>60</v>
      </c>
      <c r="O475" s="34">
        <f t="shared" si="80"/>
        <v>65</v>
      </c>
      <c r="P475" s="34">
        <f t="shared" si="80"/>
        <v>77</v>
      </c>
      <c r="Q475" s="34">
        <f t="shared" si="80"/>
        <v>89</v>
      </c>
      <c r="R475" s="34">
        <f t="shared" si="80"/>
        <v>101</v>
      </c>
      <c r="S475" s="35">
        <f t="shared" si="77"/>
        <v>60</v>
      </c>
    </row>
    <row r="476" spans="2:19" hidden="1" outlineLevel="1">
      <c r="B476" s="14" t="s">
        <v>39</v>
      </c>
      <c r="C476" s="15" t="s">
        <v>65</v>
      </c>
      <c r="D476" s="52">
        <v>2056</v>
      </c>
      <c r="E476" s="34">
        <v>9</v>
      </c>
      <c r="F476" s="38">
        <f t="shared" si="73"/>
        <v>20113.627748809431</v>
      </c>
      <c r="G476" s="34">
        <f t="shared" si="74"/>
        <v>9</v>
      </c>
      <c r="H476" s="34">
        <f t="shared" si="75"/>
        <v>1</v>
      </c>
      <c r="I476" s="34" t="str">
        <f t="shared" si="80"/>
        <v/>
      </c>
      <c r="J476" s="34" t="str">
        <f t="shared" si="80"/>
        <v/>
      </c>
      <c r="K476" s="34" t="str">
        <f t="shared" si="80"/>
        <v/>
      </c>
      <c r="L476" s="34" t="str">
        <f t="shared" si="80"/>
        <v/>
      </c>
      <c r="M476" s="34" t="str">
        <f t="shared" si="80"/>
        <v/>
      </c>
      <c r="N476" s="34">
        <f t="shared" si="80"/>
        <v>60</v>
      </c>
      <c r="O476" s="34">
        <f t="shared" si="80"/>
        <v>64</v>
      </c>
      <c r="P476" s="34">
        <f t="shared" si="80"/>
        <v>76</v>
      </c>
      <c r="Q476" s="34">
        <f t="shared" si="80"/>
        <v>88</v>
      </c>
      <c r="R476" s="34">
        <f t="shared" si="80"/>
        <v>100</v>
      </c>
      <c r="S476" s="35">
        <f t="shared" si="77"/>
        <v>60</v>
      </c>
    </row>
    <row r="477" spans="2:19" hidden="1" outlineLevel="1">
      <c r="B477" s="14" t="s">
        <v>39</v>
      </c>
      <c r="C477" s="15" t="s">
        <v>65</v>
      </c>
      <c r="D477" s="52">
        <v>2056</v>
      </c>
      <c r="E477" s="34">
        <v>10</v>
      </c>
      <c r="F477" s="38">
        <f t="shared" si="73"/>
        <v>20113.627748809431</v>
      </c>
      <c r="G477" s="34">
        <f t="shared" si="74"/>
        <v>9</v>
      </c>
      <c r="H477" s="34">
        <f t="shared" si="75"/>
        <v>1</v>
      </c>
      <c r="I477" s="34" t="str">
        <f t="shared" si="80"/>
        <v/>
      </c>
      <c r="J477" s="34" t="str">
        <f t="shared" si="80"/>
        <v/>
      </c>
      <c r="K477" s="34" t="str">
        <f t="shared" si="80"/>
        <v/>
      </c>
      <c r="L477" s="34" t="str">
        <f t="shared" si="80"/>
        <v/>
      </c>
      <c r="M477" s="34" t="str">
        <f t="shared" si="80"/>
        <v/>
      </c>
      <c r="N477" s="34">
        <f t="shared" si="80"/>
        <v>60</v>
      </c>
      <c r="O477" s="34">
        <f t="shared" si="80"/>
        <v>63</v>
      </c>
      <c r="P477" s="34">
        <f t="shared" si="80"/>
        <v>75</v>
      </c>
      <c r="Q477" s="34">
        <f t="shared" si="80"/>
        <v>87</v>
      </c>
      <c r="R477" s="34">
        <f t="shared" si="80"/>
        <v>99</v>
      </c>
      <c r="S477" s="35">
        <f t="shared" si="77"/>
        <v>60</v>
      </c>
    </row>
    <row r="478" spans="2:19" hidden="1" outlineLevel="1">
      <c r="B478" s="14" t="s">
        <v>39</v>
      </c>
      <c r="C478" s="15" t="s">
        <v>65</v>
      </c>
      <c r="D478" s="52">
        <v>2056</v>
      </c>
      <c r="E478" s="34">
        <v>11</v>
      </c>
      <c r="F478" s="38">
        <f t="shared" si="73"/>
        <v>20113.627748809431</v>
      </c>
      <c r="G478" s="34">
        <f t="shared" si="74"/>
        <v>9</v>
      </c>
      <c r="H478" s="34">
        <f t="shared" si="75"/>
        <v>1</v>
      </c>
      <c r="I478" s="34" t="str">
        <f t="shared" si="80"/>
        <v/>
      </c>
      <c r="J478" s="34" t="str">
        <f t="shared" si="80"/>
        <v/>
      </c>
      <c r="K478" s="34" t="str">
        <f t="shared" si="80"/>
        <v/>
      </c>
      <c r="L478" s="34" t="str">
        <f t="shared" si="80"/>
        <v/>
      </c>
      <c r="M478" s="34" t="str">
        <f t="shared" si="80"/>
        <v/>
      </c>
      <c r="N478" s="34">
        <f t="shared" si="80"/>
        <v>60</v>
      </c>
      <c r="O478" s="34">
        <f t="shared" si="80"/>
        <v>62</v>
      </c>
      <c r="P478" s="34">
        <f t="shared" si="80"/>
        <v>74</v>
      </c>
      <c r="Q478" s="34">
        <f t="shared" si="80"/>
        <v>86</v>
      </c>
      <c r="R478" s="34">
        <f t="shared" si="80"/>
        <v>98</v>
      </c>
      <c r="S478" s="35">
        <f t="shared" si="77"/>
        <v>60</v>
      </c>
    </row>
    <row r="479" spans="2:19" hidden="1" outlineLevel="1">
      <c r="B479" s="14" t="s">
        <v>39</v>
      </c>
      <c r="C479" s="15" t="s">
        <v>65</v>
      </c>
      <c r="D479" s="52">
        <v>2056</v>
      </c>
      <c r="E479" s="34">
        <v>12</v>
      </c>
      <c r="F479" s="38">
        <f t="shared" si="73"/>
        <v>20113.627748809431</v>
      </c>
      <c r="G479" s="34">
        <f t="shared" si="74"/>
        <v>9</v>
      </c>
      <c r="H479" s="34">
        <f t="shared" si="75"/>
        <v>1</v>
      </c>
      <c r="I479" s="34" t="str">
        <f t="shared" si="80"/>
        <v/>
      </c>
      <c r="J479" s="34" t="str">
        <f t="shared" si="80"/>
        <v/>
      </c>
      <c r="K479" s="34" t="str">
        <f t="shared" si="80"/>
        <v/>
      </c>
      <c r="L479" s="34" t="str">
        <f t="shared" si="80"/>
        <v/>
      </c>
      <c r="M479" s="34" t="str">
        <f t="shared" si="80"/>
        <v/>
      </c>
      <c r="N479" s="34">
        <f t="shared" si="80"/>
        <v>60</v>
      </c>
      <c r="O479" s="34">
        <f t="shared" si="80"/>
        <v>61</v>
      </c>
      <c r="P479" s="34">
        <f t="shared" si="80"/>
        <v>73</v>
      </c>
      <c r="Q479" s="34">
        <f t="shared" si="80"/>
        <v>85</v>
      </c>
      <c r="R479" s="34">
        <f t="shared" si="80"/>
        <v>97</v>
      </c>
      <c r="S479" s="35">
        <f t="shared" si="77"/>
        <v>60</v>
      </c>
    </row>
    <row r="480" spans="2:19" hidden="1" outlineLevel="1">
      <c r="B480" s="14" t="s">
        <v>39</v>
      </c>
      <c r="C480" s="15" t="s">
        <v>65</v>
      </c>
      <c r="D480" s="52">
        <v>2057</v>
      </c>
      <c r="E480" s="34">
        <v>1</v>
      </c>
      <c r="F480" s="38">
        <f t="shared" si="73"/>
        <v>20193.081024066549</v>
      </c>
      <c r="G480" s="34">
        <f t="shared" si="74"/>
        <v>9</v>
      </c>
      <c r="H480" s="34">
        <f t="shared" si="75"/>
        <v>1</v>
      </c>
      <c r="I480" s="34" t="str">
        <f t="shared" ref="I480:R489" si="81">IF($D480&lt;$Z$18,"",IF(MAX($G480,INDEX($C$65:$F$108,$D480+I$119-2026,$H480))&lt;=12*I$119-$E480+12,MAX($G480,12*I$119-$E480+1,INDEX($C$65:$F$108,$D480+I$119-2026,$H480)),""))</f>
        <v/>
      </c>
      <c r="J480" s="34" t="str">
        <f t="shared" si="81"/>
        <v/>
      </c>
      <c r="K480" s="34" t="str">
        <f t="shared" si="81"/>
        <v/>
      </c>
      <c r="L480" s="34" t="str">
        <f t="shared" si="81"/>
        <v/>
      </c>
      <c r="M480" s="34" t="str">
        <f t="shared" si="81"/>
        <v/>
      </c>
      <c r="N480" s="34">
        <f t="shared" si="81"/>
        <v>60</v>
      </c>
      <c r="O480" s="34">
        <f t="shared" si="81"/>
        <v>72</v>
      </c>
      <c r="P480" s="34">
        <f t="shared" si="81"/>
        <v>84</v>
      </c>
      <c r="Q480" s="34">
        <f t="shared" si="81"/>
        <v>96</v>
      </c>
      <c r="R480" s="34">
        <f t="shared" si="81"/>
        <v>108</v>
      </c>
      <c r="S480" s="35">
        <f t="shared" si="77"/>
        <v>60</v>
      </c>
    </row>
    <row r="481" spans="2:19" hidden="1" outlineLevel="1">
      <c r="B481" s="14" t="s">
        <v>39</v>
      </c>
      <c r="C481" s="15" t="s">
        <v>65</v>
      </c>
      <c r="D481" s="52">
        <v>2057</v>
      </c>
      <c r="E481" s="34">
        <v>2</v>
      </c>
      <c r="F481" s="38">
        <f t="shared" si="73"/>
        <v>20193.081024066549</v>
      </c>
      <c r="G481" s="34">
        <f t="shared" si="74"/>
        <v>9</v>
      </c>
      <c r="H481" s="34">
        <f t="shared" si="75"/>
        <v>1</v>
      </c>
      <c r="I481" s="34" t="str">
        <f t="shared" si="81"/>
        <v/>
      </c>
      <c r="J481" s="34" t="str">
        <f t="shared" si="81"/>
        <v/>
      </c>
      <c r="K481" s="34" t="str">
        <f t="shared" si="81"/>
        <v/>
      </c>
      <c r="L481" s="34" t="str">
        <f t="shared" si="81"/>
        <v/>
      </c>
      <c r="M481" s="34" t="str">
        <f t="shared" si="81"/>
        <v/>
      </c>
      <c r="N481" s="34">
        <f t="shared" si="81"/>
        <v>60</v>
      </c>
      <c r="O481" s="34">
        <f t="shared" si="81"/>
        <v>71</v>
      </c>
      <c r="P481" s="34">
        <f t="shared" si="81"/>
        <v>83</v>
      </c>
      <c r="Q481" s="34">
        <f t="shared" si="81"/>
        <v>95</v>
      </c>
      <c r="R481" s="34">
        <f t="shared" si="81"/>
        <v>107</v>
      </c>
      <c r="S481" s="35">
        <f t="shared" si="77"/>
        <v>60</v>
      </c>
    </row>
    <row r="482" spans="2:19" hidden="1" outlineLevel="1">
      <c r="B482" s="14" t="s">
        <v>39</v>
      </c>
      <c r="C482" s="15" t="s">
        <v>65</v>
      </c>
      <c r="D482" s="52">
        <v>2057</v>
      </c>
      <c r="E482" s="34">
        <v>3</v>
      </c>
      <c r="F482" s="38">
        <f t="shared" si="73"/>
        <v>20193.081024066549</v>
      </c>
      <c r="G482" s="34">
        <f t="shared" si="74"/>
        <v>9</v>
      </c>
      <c r="H482" s="34">
        <f t="shared" si="75"/>
        <v>1</v>
      </c>
      <c r="I482" s="34" t="str">
        <f t="shared" si="81"/>
        <v/>
      </c>
      <c r="J482" s="34" t="str">
        <f t="shared" si="81"/>
        <v/>
      </c>
      <c r="K482" s="34" t="str">
        <f t="shared" si="81"/>
        <v/>
      </c>
      <c r="L482" s="34" t="str">
        <f t="shared" si="81"/>
        <v/>
      </c>
      <c r="M482" s="34" t="str">
        <f t="shared" si="81"/>
        <v/>
      </c>
      <c r="N482" s="34">
        <f t="shared" si="81"/>
        <v>60</v>
      </c>
      <c r="O482" s="34">
        <f t="shared" si="81"/>
        <v>70</v>
      </c>
      <c r="P482" s="34">
        <f t="shared" si="81"/>
        <v>82</v>
      </c>
      <c r="Q482" s="34">
        <f t="shared" si="81"/>
        <v>94</v>
      </c>
      <c r="R482" s="34">
        <f t="shared" si="81"/>
        <v>106</v>
      </c>
      <c r="S482" s="35">
        <f t="shared" si="77"/>
        <v>60</v>
      </c>
    </row>
    <row r="483" spans="2:19" hidden="1" outlineLevel="1">
      <c r="B483" s="14" t="s">
        <v>39</v>
      </c>
      <c r="C483" s="15" t="s">
        <v>65</v>
      </c>
      <c r="D483" s="52">
        <v>2057</v>
      </c>
      <c r="E483" s="34">
        <v>4</v>
      </c>
      <c r="F483" s="38">
        <f t="shared" si="73"/>
        <v>20193.081024066549</v>
      </c>
      <c r="G483" s="34">
        <f t="shared" si="74"/>
        <v>9</v>
      </c>
      <c r="H483" s="34">
        <f t="shared" si="75"/>
        <v>1</v>
      </c>
      <c r="I483" s="34" t="str">
        <f t="shared" si="81"/>
        <v/>
      </c>
      <c r="J483" s="34" t="str">
        <f t="shared" si="81"/>
        <v/>
      </c>
      <c r="K483" s="34" t="str">
        <f t="shared" si="81"/>
        <v/>
      </c>
      <c r="L483" s="34" t="str">
        <f t="shared" si="81"/>
        <v/>
      </c>
      <c r="M483" s="34" t="str">
        <f t="shared" si="81"/>
        <v/>
      </c>
      <c r="N483" s="34">
        <f t="shared" si="81"/>
        <v>60</v>
      </c>
      <c r="O483" s="34">
        <f t="shared" si="81"/>
        <v>69</v>
      </c>
      <c r="P483" s="34">
        <f t="shared" si="81"/>
        <v>81</v>
      </c>
      <c r="Q483" s="34">
        <f t="shared" si="81"/>
        <v>93</v>
      </c>
      <c r="R483" s="34">
        <f t="shared" si="81"/>
        <v>105</v>
      </c>
      <c r="S483" s="35">
        <f t="shared" si="77"/>
        <v>60</v>
      </c>
    </row>
    <row r="484" spans="2:19" hidden="1" outlineLevel="1">
      <c r="B484" s="14" t="s">
        <v>39</v>
      </c>
      <c r="C484" s="15" t="s">
        <v>65</v>
      </c>
      <c r="D484" s="52">
        <v>2057</v>
      </c>
      <c r="E484" s="34">
        <v>5</v>
      </c>
      <c r="F484" s="38">
        <f t="shared" si="73"/>
        <v>20193.081024066549</v>
      </c>
      <c r="G484" s="34">
        <f t="shared" si="74"/>
        <v>9</v>
      </c>
      <c r="H484" s="34">
        <f t="shared" si="75"/>
        <v>1</v>
      </c>
      <c r="I484" s="34" t="str">
        <f t="shared" si="81"/>
        <v/>
      </c>
      <c r="J484" s="34" t="str">
        <f t="shared" si="81"/>
        <v/>
      </c>
      <c r="K484" s="34" t="str">
        <f t="shared" si="81"/>
        <v/>
      </c>
      <c r="L484" s="34" t="str">
        <f t="shared" si="81"/>
        <v/>
      </c>
      <c r="M484" s="34" t="str">
        <f t="shared" si="81"/>
        <v/>
      </c>
      <c r="N484" s="34">
        <f t="shared" si="81"/>
        <v>60</v>
      </c>
      <c r="O484" s="34">
        <f t="shared" si="81"/>
        <v>68</v>
      </c>
      <c r="P484" s="34">
        <f t="shared" si="81"/>
        <v>80</v>
      </c>
      <c r="Q484" s="34">
        <f t="shared" si="81"/>
        <v>92</v>
      </c>
      <c r="R484" s="34">
        <f t="shared" si="81"/>
        <v>104</v>
      </c>
      <c r="S484" s="35">
        <f t="shared" si="77"/>
        <v>60</v>
      </c>
    </row>
    <row r="485" spans="2:19" hidden="1" outlineLevel="1">
      <c r="B485" s="14" t="s">
        <v>39</v>
      </c>
      <c r="C485" s="15" t="s">
        <v>65</v>
      </c>
      <c r="D485" s="52">
        <v>2057</v>
      </c>
      <c r="E485" s="34">
        <v>6</v>
      </c>
      <c r="F485" s="38">
        <f t="shared" si="73"/>
        <v>20193.081024066549</v>
      </c>
      <c r="G485" s="34">
        <f t="shared" si="74"/>
        <v>9</v>
      </c>
      <c r="H485" s="34">
        <f t="shared" si="75"/>
        <v>1</v>
      </c>
      <c r="I485" s="34" t="str">
        <f t="shared" si="81"/>
        <v/>
      </c>
      <c r="J485" s="34" t="str">
        <f t="shared" si="81"/>
        <v/>
      </c>
      <c r="K485" s="34" t="str">
        <f t="shared" si="81"/>
        <v/>
      </c>
      <c r="L485" s="34" t="str">
        <f t="shared" si="81"/>
        <v/>
      </c>
      <c r="M485" s="34" t="str">
        <f t="shared" si="81"/>
        <v/>
      </c>
      <c r="N485" s="34">
        <f t="shared" si="81"/>
        <v>60</v>
      </c>
      <c r="O485" s="34">
        <f t="shared" si="81"/>
        <v>67</v>
      </c>
      <c r="P485" s="34">
        <f t="shared" si="81"/>
        <v>79</v>
      </c>
      <c r="Q485" s="34">
        <f t="shared" si="81"/>
        <v>91</v>
      </c>
      <c r="R485" s="34">
        <f t="shared" si="81"/>
        <v>103</v>
      </c>
      <c r="S485" s="35">
        <f t="shared" si="77"/>
        <v>60</v>
      </c>
    </row>
    <row r="486" spans="2:19" hidden="1" outlineLevel="1">
      <c r="B486" s="14" t="s">
        <v>39</v>
      </c>
      <c r="C486" s="15" t="s">
        <v>65</v>
      </c>
      <c r="D486" s="52">
        <v>2057</v>
      </c>
      <c r="E486" s="34">
        <v>7</v>
      </c>
      <c r="F486" s="38">
        <f t="shared" si="73"/>
        <v>20193.081024066549</v>
      </c>
      <c r="G486" s="34">
        <f t="shared" si="74"/>
        <v>9</v>
      </c>
      <c r="H486" s="34">
        <f t="shared" si="75"/>
        <v>1</v>
      </c>
      <c r="I486" s="34" t="str">
        <f t="shared" si="81"/>
        <v/>
      </c>
      <c r="J486" s="34" t="str">
        <f t="shared" si="81"/>
        <v/>
      </c>
      <c r="K486" s="34" t="str">
        <f t="shared" si="81"/>
        <v/>
      </c>
      <c r="L486" s="34" t="str">
        <f t="shared" si="81"/>
        <v/>
      </c>
      <c r="M486" s="34" t="str">
        <f t="shared" si="81"/>
        <v/>
      </c>
      <c r="N486" s="34">
        <f t="shared" si="81"/>
        <v>60</v>
      </c>
      <c r="O486" s="34">
        <f t="shared" si="81"/>
        <v>66</v>
      </c>
      <c r="P486" s="34">
        <f t="shared" si="81"/>
        <v>78</v>
      </c>
      <c r="Q486" s="34">
        <f t="shared" si="81"/>
        <v>90</v>
      </c>
      <c r="R486" s="34">
        <f t="shared" si="81"/>
        <v>102</v>
      </c>
      <c r="S486" s="35">
        <f t="shared" si="77"/>
        <v>60</v>
      </c>
    </row>
    <row r="487" spans="2:19" hidden="1" outlineLevel="1">
      <c r="B487" s="14" t="s">
        <v>39</v>
      </c>
      <c r="C487" s="15" t="s">
        <v>65</v>
      </c>
      <c r="D487" s="52">
        <v>2057</v>
      </c>
      <c r="E487" s="34">
        <v>8</v>
      </c>
      <c r="F487" s="38">
        <f t="shared" si="73"/>
        <v>20193.081024066549</v>
      </c>
      <c r="G487" s="34">
        <f t="shared" si="74"/>
        <v>9</v>
      </c>
      <c r="H487" s="34">
        <f t="shared" si="75"/>
        <v>1</v>
      </c>
      <c r="I487" s="34" t="str">
        <f t="shared" si="81"/>
        <v/>
      </c>
      <c r="J487" s="34" t="str">
        <f t="shared" si="81"/>
        <v/>
      </c>
      <c r="K487" s="34" t="str">
        <f t="shared" si="81"/>
        <v/>
      </c>
      <c r="L487" s="34" t="str">
        <f t="shared" si="81"/>
        <v/>
      </c>
      <c r="M487" s="34" t="str">
        <f t="shared" si="81"/>
        <v/>
      </c>
      <c r="N487" s="34">
        <f t="shared" si="81"/>
        <v>60</v>
      </c>
      <c r="O487" s="34">
        <f t="shared" si="81"/>
        <v>65</v>
      </c>
      <c r="P487" s="34">
        <f t="shared" si="81"/>
        <v>77</v>
      </c>
      <c r="Q487" s="34">
        <f t="shared" si="81"/>
        <v>89</v>
      </c>
      <c r="R487" s="34">
        <f t="shared" si="81"/>
        <v>101</v>
      </c>
      <c r="S487" s="35">
        <f t="shared" si="77"/>
        <v>60</v>
      </c>
    </row>
    <row r="488" spans="2:19" hidden="1" outlineLevel="1">
      <c r="B488" s="14" t="s">
        <v>39</v>
      </c>
      <c r="C488" s="15" t="s">
        <v>65</v>
      </c>
      <c r="D488" s="52">
        <v>2057</v>
      </c>
      <c r="E488" s="34">
        <v>9</v>
      </c>
      <c r="F488" s="38">
        <f t="shared" si="73"/>
        <v>20193.081024066549</v>
      </c>
      <c r="G488" s="34">
        <f t="shared" si="74"/>
        <v>9</v>
      </c>
      <c r="H488" s="34">
        <f t="shared" si="75"/>
        <v>1</v>
      </c>
      <c r="I488" s="34" t="str">
        <f t="shared" si="81"/>
        <v/>
      </c>
      <c r="J488" s="34" t="str">
        <f t="shared" si="81"/>
        <v/>
      </c>
      <c r="K488" s="34" t="str">
        <f t="shared" si="81"/>
        <v/>
      </c>
      <c r="L488" s="34" t="str">
        <f t="shared" si="81"/>
        <v/>
      </c>
      <c r="M488" s="34" t="str">
        <f t="shared" si="81"/>
        <v/>
      </c>
      <c r="N488" s="34">
        <f t="shared" si="81"/>
        <v>60</v>
      </c>
      <c r="O488" s="34">
        <f t="shared" si="81"/>
        <v>64</v>
      </c>
      <c r="P488" s="34">
        <f t="shared" si="81"/>
        <v>76</v>
      </c>
      <c r="Q488" s="34">
        <f t="shared" si="81"/>
        <v>88</v>
      </c>
      <c r="R488" s="34">
        <f t="shared" si="81"/>
        <v>100</v>
      </c>
      <c r="S488" s="35">
        <f t="shared" si="77"/>
        <v>60</v>
      </c>
    </row>
    <row r="489" spans="2:19" hidden="1" outlineLevel="1">
      <c r="B489" s="14" t="s">
        <v>39</v>
      </c>
      <c r="C489" s="15" t="s">
        <v>65</v>
      </c>
      <c r="D489" s="52">
        <v>2057</v>
      </c>
      <c r="E489" s="34">
        <v>10</v>
      </c>
      <c r="F489" s="38">
        <f t="shared" si="73"/>
        <v>20193.081024066549</v>
      </c>
      <c r="G489" s="34">
        <f t="shared" si="74"/>
        <v>9</v>
      </c>
      <c r="H489" s="34">
        <f t="shared" si="75"/>
        <v>1</v>
      </c>
      <c r="I489" s="34" t="str">
        <f t="shared" si="81"/>
        <v/>
      </c>
      <c r="J489" s="34" t="str">
        <f t="shared" si="81"/>
        <v/>
      </c>
      <c r="K489" s="34" t="str">
        <f t="shared" si="81"/>
        <v/>
      </c>
      <c r="L489" s="34" t="str">
        <f t="shared" si="81"/>
        <v/>
      </c>
      <c r="M489" s="34" t="str">
        <f t="shared" si="81"/>
        <v/>
      </c>
      <c r="N489" s="34">
        <f t="shared" si="81"/>
        <v>60</v>
      </c>
      <c r="O489" s="34">
        <f t="shared" si="81"/>
        <v>63</v>
      </c>
      <c r="P489" s="34">
        <f t="shared" si="81"/>
        <v>75</v>
      </c>
      <c r="Q489" s="34">
        <f t="shared" si="81"/>
        <v>87</v>
      </c>
      <c r="R489" s="34">
        <f t="shared" si="81"/>
        <v>99</v>
      </c>
      <c r="S489" s="35">
        <f t="shared" si="77"/>
        <v>60</v>
      </c>
    </row>
    <row r="490" spans="2:19" hidden="1" outlineLevel="1">
      <c r="B490" s="14" t="s">
        <v>39</v>
      </c>
      <c r="C490" s="15" t="s">
        <v>65</v>
      </c>
      <c r="D490" s="52">
        <v>2057</v>
      </c>
      <c r="E490" s="34">
        <v>11</v>
      </c>
      <c r="F490" s="38">
        <f t="shared" si="73"/>
        <v>20193.081024066549</v>
      </c>
      <c r="G490" s="34">
        <f t="shared" si="74"/>
        <v>9</v>
      </c>
      <c r="H490" s="34">
        <f t="shared" si="75"/>
        <v>1</v>
      </c>
      <c r="I490" s="34" t="str">
        <f t="shared" ref="I490:R499" si="82">IF($D490&lt;$Z$18,"",IF(MAX($G490,INDEX($C$65:$F$108,$D490+I$119-2026,$H490))&lt;=12*I$119-$E490+12,MAX($G490,12*I$119-$E490+1,INDEX($C$65:$F$108,$D490+I$119-2026,$H490)),""))</f>
        <v/>
      </c>
      <c r="J490" s="34" t="str">
        <f t="shared" si="82"/>
        <v/>
      </c>
      <c r="K490" s="34" t="str">
        <f t="shared" si="82"/>
        <v/>
      </c>
      <c r="L490" s="34" t="str">
        <f t="shared" si="82"/>
        <v/>
      </c>
      <c r="M490" s="34" t="str">
        <f t="shared" si="82"/>
        <v/>
      </c>
      <c r="N490" s="34">
        <f t="shared" si="82"/>
        <v>60</v>
      </c>
      <c r="O490" s="34">
        <f t="shared" si="82"/>
        <v>62</v>
      </c>
      <c r="P490" s="34">
        <f t="shared" si="82"/>
        <v>74</v>
      </c>
      <c r="Q490" s="34">
        <f t="shared" si="82"/>
        <v>86</v>
      </c>
      <c r="R490" s="34">
        <f t="shared" si="82"/>
        <v>98</v>
      </c>
      <c r="S490" s="35">
        <f t="shared" si="77"/>
        <v>60</v>
      </c>
    </row>
    <row r="491" spans="2:19" hidden="1" outlineLevel="1">
      <c r="B491" s="14" t="s">
        <v>39</v>
      </c>
      <c r="C491" s="15" t="s">
        <v>65</v>
      </c>
      <c r="D491" s="52">
        <v>2057</v>
      </c>
      <c r="E491" s="34">
        <v>12</v>
      </c>
      <c r="F491" s="38">
        <f t="shared" si="73"/>
        <v>20193.081024066549</v>
      </c>
      <c r="G491" s="34">
        <f t="shared" si="74"/>
        <v>9</v>
      </c>
      <c r="H491" s="34">
        <f t="shared" si="75"/>
        <v>1</v>
      </c>
      <c r="I491" s="34" t="str">
        <f t="shared" si="82"/>
        <v/>
      </c>
      <c r="J491" s="34" t="str">
        <f t="shared" si="82"/>
        <v/>
      </c>
      <c r="K491" s="34" t="str">
        <f t="shared" si="82"/>
        <v/>
      </c>
      <c r="L491" s="34" t="str">
        <f t="shared" si="82"/>
        <v/>
      </c>
      <c r="M491" s="34" t="str">
        <f t="shared" si="82"/>
        <v/>
      </c>
      <c r="N491" s="34">
        <f t="shared" si="82"/>
        <v>60</v>
      </c>
      <c r="O491" s="34">
        <f t="shared" si="82"/>
        <v>61</v>
      </c>
      <c r="P491" s="34">
        <f t="shared" si="82"/>
        <v>73</v>
      </c>
      <c r="Q491" s="34">
        <f t="shared" si="82"/>
        <v>85</v>
      </c>
      <c r="R491" s="34">
        <f t="shared" si="82"/>
        <v>97</v>
      </c>
      <c r="S491" s="35">
        <f t="shared" si="77"/>
        <v>60</v>
      </c>
    </row>
    <row r="492" spans="2:19" hidden="1" outlineLevel="1">
      <c r="B492" s="14" t="s">
        <v>39</v>
      </c>
      <c r="C492" s="15" t="s">
        <v>65</v>
      </c>
      <c r="D492" s="52">
        <v>2058</v>
      </c>
      <c r="E492" s="34">
        <v>1</v>
      </c>
      <c r="F492" s="38">
        <f t="shared" si="73"/>
        <v>20283.70892881152</v>
      </c>
      <c r="G492" s="34">
        <f t="shared" si="74"/>
        <v>9</v>
      </c>
      <c r="H492" s="34">
        <f t="shared" si="75"/>
        <v>1</v>
      </c>
      <c r="I492" s="34" t="str">
        <f t="shared" si="82"/>
        <v/>
      </c>
      <c r="J492" s="34" t="str">
        <f t="shared" si="82"/>
        <v/>
      </c>
      <c r="K492" s="34" t="str">
        <f t="shared" si="82"/>
        <v/>
      </c>
      <c r="L492" s="34" t="str">
        <f t="shared" si="82"/>
        <v/>
      </c>
      <c r="M492" s="34" t="str">
        <f t="shared" si="82"/>
        <v/>
      </c>
      <c r="N492" s="34">
        <f t="shared" si="82"/>
        <v>60</v>
      </c>
      <c r="O492" s="34">
        <f t="shared" si="82"/>
        <v>72</v>
      </c>
      <c r="P492" s="34">
        <f t="shared" si="82"/>
        <v>84</v>
      </c>
      <c r="Q492" s="34">
        <f t="shared" si="82"/>
        <v>96</v>
      </c>
      <c r="R492" s="34">
        <f t="shared" si="82"/>
        <v>108</v>
      </c>
      <c r="S492" s="35">
        <f t="shared" si="77"/>
        <v>60</v>
      </c>
    </row>
    <row r="493" spans="2:19" hidden="1" outlineLevel="1">
      <c r="B493" s="14" t="s">
        <v>39</v>
      </c>
      <c r="C493" s="15" t="s">
        <v>65</v>
      </c>
      <c r="D493" s="52">
        <v>2058</v>
      </c>
      <c r="E493" s="34">
        <v>2</v>
      </c>
      <c r="F493" s="38">
        <f t="shared" si="73"/>
        <v>20283.70892881152</v>
      </c>
      <c r="G493" s="34">
        <f t="shared" si="74"/>
        <v>9</v>
      </c>
      <c r="H493" s="34">
        <f t="shared" si="75"/>
        <v>1</v>
      </c>
      <c r="I493" s="34" t="str">
        <f t="shared" si="82"/>
        <v/>
      </c>
      <c r="J493" s="34" t="str">
        <f t="shared" si="82"/>
        <v/>
      </c>
      <c r="K493" s="34" t="str">
        <f t="shared" si="82"/>
        <v/>
      </c>
      <c r="L493" s="34" t="str">
        <f t="shared" si="82"/>
        <v/>
      </c>
      <c r="M493" s="34" t="str">
        <f t="shared" si="82"/>
        <v/>
      </c>
      <c r="N493" s="34">
        <f t="shared" si="82"/>
        <v>60</v>
      </c>
      <c r="O493" s="34">
        <f t="shared" si="82"/>
        <v>71</v>
      </c>
      <c r="P493" s="34">
        <f t="shared" si="82"/>
        <v>83</v>
      </c>
      <c r="Q493" s="34">
        <f t="shared" si="82"/>
        <v>95</v>
      </c>
      <c r="R493" s="34">
        <f t="shared" si="82"/>
        <v>107</v>
      </c>
      <c r="S493" s="35">
        <f t="shared" si="77"/>
        <v>60</v>
      </c>
    </row>
    <row r="494" spans="2:19" hidden="1" outlineLevel="1">
      <c r="B494" s="14" t="s">
        <v>39</v>
      </c>
      <c r="C494" s="15" t="s">
        <v>65</v>
      </c>
      <c r="D494" s="52">
        <v>2058</v>
      </c>
      <c r="E494" s="34">
        <v>3</v>
      </c>
      <c r="F494" s="38">
        <f t="shared" si="73"/>
        <v>20283.70892881152</v>
      </c>
      <c r="G494" s="34">
        <f t="shared" si="74"/>
        <v>9</v>
      </c>
      <c r="H494" s="34">
        <f t="shared" si="75"/>
        <v>1</v>
      </c>
      <c r="I494" s="34" t="str">
        <f t="shared" si="82"/>
        <v/>
      </c>
      <c r="J494" s="34" t="str">
        <f t="shared" si="82"/>
        <v/>
      </c>
      <c r="K494" s="34" t="str">
        <f t="shared" si="82"/>
        <v/>
      </c>
      <c r="L494" s="34" t="str">
        <f t="shared" si="82"/>
        <v/>
      </c>
      <c r="M494" s="34" t="str">
        <f t="shared" si="82"/>
        <v/>
      </c>
      <c r="N494" s="34">
        <f t="shared" si="82"/>
        <v>60</v>
      </c>
      <c r="O494" s="34">
        <f t="shared" si="82"/>
        <v>70</v>
      </c>
      <c r="P494" s="34">
        <f t="shared" si="82"/>
        <v>82</v>
      </c>
      <c r="Q494" s="34">
        <f t="shared" si="82"/>
        <v>94</v>
      </c>
      <c r="R494" s="34">
        <f t="shared" si="82"/>
        <v>106</v>
      </c>
      <c r="S494" s="35">
        <f t="shared" si="77"/>
        <v>60</v>
      </c>
    </row>
    <row r="495" spans="2:19" hidden="1" outlineLevel="1">
      <c r="B495" s="14" t="s">
        <v>39</v>
      </c>
      <c r="C495" s="15" t="s">
        <v>65</v>
      </c>
      <c r="D495" s="52">
        <v>2058</v>
      </c>
      <c r="E495" s="34">
        <v>4</v>
      </c>
      <c r="F495" s="38">
        <f t="shared" si="73"/>
        <v>20283.70892881152</v>
      </c>
      <c r="G495" s="34">
        <f t="shared" si="74"/>
        <v>9</v>
      </c>
      <c r="H495" s="34">
        <f t="shared" si="75"/>
        <v>1</v>
      </c>
      <c r="I495" s="34" t="str">
        <f t="shared" si="82"/>
        <v/>
      </c>
      <c r="J495" s="34" t="str">
        <f t="shared" si="82"/>
        <v/>
      </c>
      <c r="K495" s="34" t="str">
        <f t="shared" si="82"/>
        <v/>
      </c>
      <c r="L495" s="34" t="str">
        <f t="shared" si="82"/>
        <v/>
      </c>
      <c r="M495" s="34" t="str">
        <f t="shared" si="82"/>
        <v/>
      </c>
      <c r="N495" s="34">
        <f t="shared" si="82"/>
        <v>60</v>
      </c>
      <c r="O495" s="34">
        <f t="shared" si="82"/>
        <v>69</v>
      </c>
      <c r="P495" s="34">
        <f t="shared" si="82"/>
        <v>81</v>
      </c>
      <c r="Q495" s="34">
        <f t="shared" si="82"/>
        <v>93</v>
      </c>
      <c r="R495" s="34">
        <f t="shared" si="82"/>
        <v>105</v>
      </c>
      <c r="S495" s="35">
        <f t="shared" si="77"/>
        <v>60</v>
      </c>
    </row>
    <row r="496" spans="2:19" hidden="1" outlineLevel="1">
      <c r="B496" s="14" t="s">
        <v>39</v>
      </c>
      <c r="C496" s="15" t="s">
        <v>65</v>
      </c>
      <c r="D496" s="52">
        <v>2058</v>
      </c>
      <c r="E496" s="34">
        <v>5</v>
      </c>
      <c r="F496" s="38">
        <f t="shared" si="73"/>
        <v>20283.70892881152</v>
      </c>
      <c r="G496" s="34">
        <f t="shared" si="74"/>
        <v>9</v>
      </c>
      <c r="H496" s="34">
        <f t="shared" si="75"/>
        <v>1</v>
      </c>
      <c r="I496" s="34" t="str">
        <f t="shared" si="82"/>
        <v/>
      </c>
      <c r="J496" s="34" t="str">
        <f t="shared" si="82"/>
        <v/>
      </c>
      <c r="K496" s="34" t="str">
        <f t="shared" si="82"/>
        <v/>
      </c>
      <c r="L496" s="34" t="str">
        <f t="shared" si="82"/>
        <v/>
      </c>
      <c r="M496" s="34" t="str">
        <f t="shared" si="82"/>
        <v/>
      </c>
      <c r="N496" s="34">
        <f t="shared" si="82"/>
        <v>60</v>
      </c>
      <c r="O496" s="34">
        <f t="shared" si="82"/>
        <v>68</v>
      </c>
      <c r="P496" s="34">
        <f t="shared" si="82"/>
        <v>80</v>
      </c>
      <c r="Q496" s="34">
        <f t="shared" si="82"/>
        <v>92</v>
      </c>
      <c r="R496" s="34">
        <f t="shared" si="82"/>
        <v>104</v>
      </c>
      <c r="S496" s="35">
        <f t="shared" si="77"/>
        <v>60</v>
      </c>
    </row>
    <row r="497" spans="2:19" hidden="1" outlineLevel="1">
      <c r="B497" s="14" t="s">
        <v>39</v>
      </c>
      <c r="C497" s="15" t="s">
        <v>65</v>
      </c>
      <c r="D497" s="52">
        <v>2058</v>
      </c>
      <c r="E497" s="34">
        <v>6</v>
      </c>
      <c r="F497" s="38">
        <f t="shared" si="73"/>
        <v>20283.70892881152</v>
      </c>
      <c r="G497" s="34">
        <f t="shared" si="74"/>
        <v>9</v>
      </c>
      <c r="H497" s="34">
        <f t="shared" si="75"/>
        <v>1</v>
      </c>
      <c r="I497" s="34" t="str">
        <f t="shared" si="82"/>
        <v/>
      </c>
      <c r="J497" s="34" t="str">
        <f t="shared" si="82"/>
        <v/>
      </c>
      <c r="K497" s="34" t="str">
        <f t="shared" si="82"/>
        <v/>
      </c>
      <c r="L497" s="34" t="str">
        <f t="shared" si="82"/>
        <v/>
      </c>
      <c r="M497" s="34" t="str">
        <f t="shared" si="82"/>
        <v/>
      </c>
      <c r="N497" s="34">
        <f t="shared" si="82"/>
        <v>60</v>
      </c>
      <c r="O497" s="34">
        <f t="shared" si="82"/>
        <v>67</v>
      </c>
      <c r="P497" s="34">
        <f t="shared" si="82"/>
        <v>79</v>
      </c>
      <c r="Q497" s="34">
        <f t="shared" si="82"/>
        <v>91</v>
      </c>
      <c r="R497" s="34">
        <f t="shared" si="82"/>
        <v>103</v>
      </c>
      <c r="S497" s="35">
        <f t="shared" si="77"/>
        <v>60</v>
      </c>
    </row>
    <row r="498" spans="2:19" hidden="1" outlineLevel="1">
      <c r="B498" s="14" t="s">
        <v>39</v>
      </c>
      <c r="C498" s="15" t="s">
        <v>65</v>
      </c>
      <c r="D498" s="52">
        <v>2058</v>
      </c>
      <c r="E498" s="34">
        <v>7</v>
      </c>
      <c r="F498" s="38">
        <f t="shared" si="73"/>
        <v>20283.70892881152</v>
      </c>
      <c r="G498" s="34">
        <f t="shared" si="74"/>
        <v>9</v>
      </c>
      <c r="H498" s="34">
        <f t="shared" si="75"/>
        <v>1</v>
      </c>
      <c r="I498" s="34" t="str">
        <f t="shared" si="82"/>
        <v/>
      </c>
      <c r="J498" s="34" t="str">
        <f t="shared" si="82"/>
        <v/>
      </c>
      <c r="K498" s="34" t="str">
        <f t="shared" si="82"/>
        <v/>
      </c>
      <c r="L498" s="34" t="str">
        <f t="shared" si="82"/>
        <v/>
      </c>
      <c r="M498" s="34" t="str">
        <f t="shared" si="82"/>
        <v/>
      </c>
      <c r="N498" s="34">
        <f t="shared" si="82"/>
        <v>60</v>
      </c>
      <c r="O498" s="34">
        <f t="shared" si="82"/>
        <v>66</v>
      </c>
      <c r="P498" s="34">
        <f t="shared" si="82"/>
        <v>78</v>
      </c>
      <c r="Q498" s="34">
        <f t="shared" si="82"/>
        <v>90</v>
      </c>
      <c r="R498" s="34">
        <f t="shared" si="82"/>
        <v>102</v>
      </c>
      <c r="S498" s="35">
        <f t="shared" si="77"/>
        <v>60</v>
      </c>
    </row>
    <row r="499" spans="2:19" hidden="1" outlineLevel="1">
      <c r="B499" s="14" t="s">
        <v>39</v>
      </c>
      <c r="C499" s="15" t="s">
        <v>65</v>
      </c>
      <c r="D499" s="52">
        <v>2058</v>
      </c>
      <c r="E499" s="34">
        <v>8</v>
      </c>
      <c r="F499" s="38">
        <f t="shared" si="73"/>
        <v>20283.70892881152</v>
      </c>
      <c r="G499" s="34">
        <f t="shared" si="74"/>
        <v>9</v>
      </c>
      <c r="H499" s="34">
        <f t="shared" si="75"/>
        <v>1</v>
      </c>
      <c r="I499" s="34" t="str">
        <f t="shared" si="82"/>
        <v/>
      </c>
      <c r="J499" s="34" t="str">
        <f t="shared" si="82"/>
        <v/>
      </c>
      <c r="K499" s="34" t="str">
        <f t="shared" si="82"/>
        <v/>
      </c>
      <c r="L499" s="34" t="str">
        <f t="shared" si="82"/>
        <v/>
      </c>
      <c r="M499" s="34" t="str">
        <f t="shared" si="82"/>
        <v/>
      </c>
      <c r="N499" s="34">
        <f t="shared" si="82"/>
        <v>60</v>
      </c>
      <c r="O499" s="34">
        <f t="shared" si="82"/>
        <v>65</v>
      </c>
      <c r="P499" s="34">
        <f t="shared" si="82"/>
        <v>77</v>
      </c>
      <c r="Q499" s="34">
        <f t="shared" si="82"/>
        <v>89</v>
      </c>
      <c r="R499" s="34">
        <f t="shared" si="82"/>
        <v>101</v>
      </c>
      <c r="S499" s="35">
        <f t="shared" si="77"/>
        <v>60</v>
      </c>
    </row>
    <row r="500" spans="2:19" hidden="1" outlineLevel="1">
      <c r="B500" s="14" t="s">
        <v>39</v>
      </c>
      <c r="C500" s="15" t="s">
        <v>65</v>
      </c>
      <c r="D500" s="52">
        <v>2058</v>
      </c>
      <c r="E500" s="34">
        <v>9</v>
      </c>
      <c r="F500" s="38">
        <f t="shared" si="73"/>
        <v>20283.70892881152</v>
      </c>
      <c r="G500" s="34">
        <f t="shared" si="74"/>
        <v>9</v>
      </c>
      <c r="H500" s="34">
        <f t="shared" si="75"/>
        <v>1</v>
      </c>
      <c r="I500" s="34" t="str">
        <f t="shared" ref="I500:R509" si="83">IF($D500&lt;$Z$18,"",IF(MAX($G500,INDEX($C$65:$F$108,$D500+I$119-2026,$H500))&lt;=12*I$119-$E500+12,MAX($G500,12*I$119-$E500+1,INDEX($C$65:$F$108,$D500+I$119-2026,$H500)),""))</f>
        <v/>
      </c>
      <c r="J500" s="34" t="str">
        <f t="shared" si="83"/>
        <v/>
      </c>
      <c r="K500" s="34" t="str">
        <f t="shared" si="83"/>
        <v/>
      </c>
      <c r="L500" s="34" t="str">
        <f t="shared" si="83"/>
        <v/>
      </c>
      <c r="M500" s="34" t="str">
        <f t="shared" si="83"/>
        <v/>
      </c>
      <c r="N500" s="34">
        <f t="shared" si="83"/>
        <v>60</v>
      </c>
      <c r="O500" s="34">
        <f t="shared" si="83"/>
        <v>64</v>
      </c>
      <c r="P500" s="34">
        <f t="shared" si="83"/>
        <v>76</v>
      </c>
      <c r="Q500" s="34">
        <f t="shared" si="83"/>
        <v>88</v>
      </c>
      <c r="R500" s="34">
        <f t="shared" si="83"/>
        <v>100</v>
      </c>
      <c r="S500" s="35">
        <f t="shared" si="77"/>
        <v>60</v>
      </c>
    </row>
    <row r="501" spans="2:19" hidden="1" outlineLevel="1">
      <c r="B501" s="14" t="s">
        <v>39</v>
      </c>
      <c r="C501" s="15" t="s">
        <v>65</v>
      </c>
      <c r="D501" s="52">
        <v>2058</v>
      </c>
      <c r="E501" s="34">
        <v>10</v>
      </c>
      <c r="F501" s="38">
        <f t="shared" si="73"/>
        <v>20283.70892881152</v>
      </c>
      <c r="G501" s="34">
        <f t="shared" si="74"/>
        <v>9</v>
      </c>
      <c r="H501" s="34">
        <f t="shared" si="75"/>
        <v>1</v>
      </c>
      <c r="I501" s="34" t="str">
        <f t="shared" si="83"/>
        <v/>
      </c>
      <c r="J501" s="34" t="str">
        <f t="shared" si="83"/>
        <v/>
      </c>
      <c r="K501" s="34" t="str">
        <f t="shared" si="83"/>
        <v/>
      </c>
      <c r="L501" s="34" t="str">
        <f t="shared" si="83"/>
        <v/>
      </c>
      <c r="M501" s="34" t="str">
        <f t="shared" si="83"/>
        <v/>
      </c>
      <c r="N501" s="34">
        <f t="shared" si="83"/>
        <v>60</v>
      </c>
      <c r="O501" s="34">
        <f t="shared" si="83"/>
        <v>63</v>
      </c>
      <c r="P501" s="34">
        <f t="shared" si="83"/>
        <v>75</v>
      </c>
      <c r="Q501" s="34">
        <f t="shared" si="83"/>
        <v>87</v>
      </c>
      <c r="R501" s="34">
        <f t="shared" si="83"/>
        <v>99</v>
      </c>
      <c r="S501" s="35">
        <f t="shared" si="77"/>
        <v>60</v>
      </c>
    </row>
    <row r="502" spans="2:19" hidden="1" outlineLevel="1">
      <c r="B502" s="14" t="s">
        <v>39</v>
      </c>
      <c r="C502" s="15" t="s">
        <v>65</v>
      </c>
      <c r="D502" s="52">
        <v>2058</v>
      </c>
      <c r="E502" s="34">
        <v>11</v>
      </c>
      <c r="F502" s="38">
        <f t="shared" si="73"/>
        <v>20283.70892881152</v>
      </c>
      <c r="G502" s="34">
        <f t="shared" si="74"/>
        <v>9</v>
      </c>
      <c r="H502" s="34">
        <f t="shared" si="75"/>
        <v>1</v>
      </c>
      <c r="I502" s="34" t="str">
        <f t="shared" si="83"/>
        <v/>
      </c>
      <c r="J502" s="34" t="str">
        <f t="shared" si="83"/>
        <v/>
      </c>
      <c r="K502" s="34" t="str">
        <f t="shared" si="83"/>
        <v/>
      </c>
      <c r="L502" s="34" t="str">
        <f t="shared" si="83"/>
        <v/>
      </c>
      <c r="M502" s="34" t="str">
        <f t="shared" si="83"/>
        <v/>
      </c>
      <c r="N502" s="34">
        <f t="shared" si="83"/>
        <v>60</v>
      </c>
      <c r="O502" s="34">
        <f t="shared" si="83"/>
        <v>62</v>
      </c>
      <c r="P502" s="34">
        <f t="shared" si="83"/>
        <v>74</v>
      </c>
      <c r="Q502" s="34">
        <f t="shared" si="83"/>
        <v>86</v>
      </c>
      <c r="R502" s="34">
        <f t="shared" si="83"/>
        <v>98</v>
      </c>
      <c r="S502" s="35">
        <f t="shared" si="77"/>
        <v>60</v>
      </c>
    </row>
    <row r="503" spans="2:19" hidden="1" outlineLevel="1">
      <c r="B503" s="14" t="s">
        <v>39</v>
      </c>
      <c r="C503" s="15" t="s">
        <v>65</v>
      </c>
      <c r="D503" s="52">
        <v>2058</v>
      </c>
      <c r="E503" s="34">
        <v>12</v>
      </c>
      <c r="F503" s="38">
        <f t="shared" si="73"/>
        <v>20283.70892881152</v>
      </c>
      <c r="G503" s="34">
        <f t="shared" si="74"/>
        <v>9</v>
      </c>
      <c r="H503" s="34">
        <f t="shared" si="75"/>
        <v>1</v>
      </c>
      <c r="I503" s="34" t="str">
        <f t="shared" si="83"/>
        <v/>
      </c>
      <c r="J503" s="34" t="str">
        <f t="shared" si="83"/>
        <v/>
      </c>
      <c r="K503" s="34" t="str">
        <f t="shared" si="83"/>
        <v/>
      </c>
      <c r="L503" s="34" t="str">
        <f t="shared" si="83"/>
        <v/>
      </c>
      <c r="M503" s="34" t="str">
        <f t="shared" si="83"/>
        <v/>
      </c>
      <c r="N503" s="34">
        <f t="shared" si="83"/>
        <v>60</v>
      </c>
      <c r="O503" s="34">
        <f t="shared" si="83"/>
        <v>61</v>
      </c>
      <c r="P503" s="34">
        <f t="shared" si="83"/>
        <v>73</v>
      </c>
      <c r="Q503" s="34">
        <f t="shared" si="83"/>
        <v>85</v>
      </c>
      <c r="R503" s="34">
        <f t="shared" si="83"/>
        <v>97</v>
      </c>
      <c r="S503" s="35">
        <f t="shared" si="77"/>
        <v>60</v>
      </c>
    </row>
    <row r="504" spans="2:19" hidden="1" outlineLevel="1">
      <c r="B504" s="14" t="s">
        <v>39</v>
      </c>
      <c r="C504" s="15" t="s">
        <v>65</v>
      </c>
      <c r="D504" s="52">
        <v>2059</v>
      </c>
      <c r="E504" s="34">
        <v>1</v>
      </c>
      <c r="F504" s="38">
        <f t="shared" ref="F504:F567" si="84">IF($C504="Homens",INDEX($C$5:$C$55,MATCH($D504,$B$5:$B$55,0)),INDEX($F$5:$F$55,MATCH($D504,$B$5:$B$55,0)))/12</f>
        <v>20348.211988132531</v>
      </c>
      <c r="G504" s="34">
        <f t="shared" ref="G504:G567" si="85">IF($C504="Homens",$Z$17,$AA$17)</f>
        <v>9</v>
      </c>
      <c r="H504" s="34">
        <f t="shared" ref="H504:H567" si="86">1+2*($B504="Com Transição")+($C504="Mulheres")</f>
        <v>1</v>
      </c>
      <c r="I504" s="34" t="str">
        <f t="shared" si="83"/>
        <v/>
      </c>
      <c r="J504" s="34" t="str">
        <f t="shared" si="83"/>
        <v/>
      </c>
      <c r="K504" s="34" t="str">
        <f t="shared" si="83"/>
        <v/>
      </c>
      <c r="L504" s="34" t="str">
        <f t="shared" si="83"/>
        <v/>
      </c>
      <c r="M504" s="34" t="str">
        <f t="shared" si="83"/>
        <v/>
      </c>
      <c r="N504" s="34">
        <f t="shared" si="83"/>
        <v>60</v>
      </c>
      <c r="O504" s="34">
        <f t="shared" si="83"/>
        <v>72</v>
      </c>
      <c r="P504" s="34">
        <f t="shared" si="83"/>
        <v>84</v>
      </c>
      <c r="Q504" s="34">
        <f t="shared" si="83"/>
        <v>96</v>
      </c>
      <c r="R504" s="34">
        <f t="shared" si="83"/>
        <v>108</v>
      </c>
      <c r="S504" s="35">
        <f t="shared" ref="S504:S567" si="87">IF($D504&lt;$Z$18,$G504,MIN(I504:R504))</f>
        <v>60</v>
      </c>
    </row>
    <row r="505" spans="2:19" hidden="1" outlineLevel="1">
      <c r="B505" s="14" t="s">
        <v>39</v>
      </c>
      <c r="C505" s="15" t="s">
        <v>65</v>
      </c>
      <c r="D505" s="52">
        <v>2059</v>
      </c>
      <c r="E505" s="34">
        <v>2</v>
      </c>
      <c r="F505" s="38">
        <f t="shared" si="84"/>
        <v>20348.211988132531</v>
      </c>
      <c r="G505" s="34">
        <f t="shared" si="85"/>
        <v>9</v>
      </c>
      <c r="H505" s="34">
        <f t="shared" si="86"/>
        <v>1</v>
      </c>
      <c r="I505" s="34" t="str">
        <f t="shared" si="83"/>
        <v/>
      </c>
      <c r="J505" s="34" t="str">
        <f t="shared" si="83"/>
        <v/>
      </c>
      <c r="K505" s="34" t="str">
        <f t="shared" si="83"/>
        <v/>
      </c>
      <c r="L505" s="34" t="str">
        <f t="shared" si="83"/>
        <v/>
      </c>
      <c r="M505" s="34" t="str">
        <f t="shared" si="83"/>
        <v/>
      </c>
      <c r="N505" s="34">
        <f t="shared" si="83"/>
        <v>60</v>
      </c>
      <c r="O505" s="34">
        <f t="shared" si="83"/>
        <v>71</v>
      </c>
      <c r="P505" s="34">
        <f t="shared" si="83"/>
        <v>83</v>
      </c>
      <c r="Q505" s="34">
        <f t="shared" si="83"/>
        <v>95</v>
      </c>
      <c r="R505" s="34">
        <f t="shared" si="83"/>
        <v>107</v>
      </c>
      <c r="S505" s="35">
        <f t="shared" si="87"/>
        <v>60</v>
      </c>
    </row>
    <row r="506" spans="2:19" hidden="1" outlineLevel="1">
      <c r="B506" s="14" t="s">
        <v>39</v>
      </c>
      <c r="C506" s="15" t="s">
        <v>65</v>
      </c>
      <c r="D506" s="52">
        <v>2059</v>
      </c>
      <c r="E506" s="34">
        <v>3</v>
      </c>
      <c r="F506" s="38">
        <f t="shared" si="84"/>
        <v>20348.211988132531</v>
      </c>
      <c r="G506" s="34">
        <f t="shared" si="85"/>
        <v>9</v>
      </c>
      <c r="H506" s="34">
        <f t="shared" si="86"/>
        <v>1</v>
      </c>
      <c r="I506" s="34" t="str">
        <f t="shared" si="83"/>
        <v/>
      </c>
      <c r="J506" s="34" t="str">
        <f t="shared" si="83"/>
        <v/>
      </c>
      <c r="K506" s="34" t="str">
        <f t="shared" si="83"/>
        <v/>
      </c>
      <c r="L506" s="34" t="str">
        <f t="shared" si="83"/>
        <v/>
      </c>
      <c r="M506" s="34" t="str">
        <f t="shared" si="83"/>
        <v/>
      </c>
      <c r="N506" s="34">
        <f t="shared" si="83"/>
        <v>60</v>
      </c>
      <c r="O506" s="34">
        <f t="shared" si="83"/>
        <v>70</v>
      </c>
      <c r="P506" s="34">
        <f t="shared" si="83"/>
        <v>82</v>
      </c>
      <c r="Q506" s="34">
        <f t="shared" si="83"/>
        <v>94</v>
      </c>
      <c r="R506" s="34">
        <f t="shared" si="83"/>
        <v>106</v>
      </c>
      <c r="S506" s="35">
        <f t="shared" si="87"/>
        <v>60</v>
      </c>
    </row>
    <row r="507" spans="2:19" hidden="1" outlineLevel="1">
      <c r="B507" s="14" t="s">
        <v>39</v>
      </c>
      <c r="C507" s="15" t="s">
        <v>65</v>
      </c>
      <c r="D507" s="52">
        <v>2059</v>
      </c>
      <c r="E507" s="34">
        <v>4</v>
      </c>
      <c r="F507" s="38">
        <f t="shared" si="84"/>
        <v>20348.211988132531</v>
      </c>
      <c r="G507" s="34">
        <f t="shared" si="85"/>
        <v>9</v>
      </c>
      <c r="H507" s="34">
        <f t="shared" si="86"/>
        <v>1</v>
      </c>
      <c r="I507" s="34" t="str">
        <f t="shared" si="83"/>
        <v/>
      </c>
      <c r="J507" s="34" t="str">
        <f t="shared" si="83"/>
        <v/>
      </c>
      <c r="K507" s="34" t="str">
        <f t="shared" si="83"/>
        <v/>
      </c>
      <c r="L507" s="34" t="str">
        <f t="shared" si="83"/>
        <v/>
      </c>
      <c r="M507" s="34" t="str">
        <f t="shared" si="83"/>
        <v/>
      </c>
      <c r="N507" s="34">
        <f t="shared" si="83"/>
        <v>60</v>
      </c>
      <c r="O507" s="34">
        <f t="shared" si="83"/>
        <v>69</v>
      </c>
      <c r="P507" s="34">
        <f t="shared" si="83"/>
        <v>81</v>
      </c>
      <c r="Q507" s="34">
        <f t="shared" si="83"/>
        <v>93</v>
      </c>
      <c r="R507" s="34">
        <f t="shared" si="83"/>
        <v>105</v>
      </c>
      <c r="S507" s="35">
        <f t="shared" si="87"/>
        <v>60</v>
      </c>
    </row>
    <row r="508" spans="2:19" hidden="1" outlineLevel="1">
      <c r="B508" s="14" t="s">
        <v>39</v>
      </c>
      <c r="C508" s="15" t="s">
        <v>65</v>
      </c>
      <c r="D508" s="52">
        <v>2059</v>
      </c>
      <c r="E508" s="34">
        <v>5</v>
      </c>
      <c r="F508" s="38">
        <f t="shared" si="84"/>
        <v>20348.211988132531</v>
      </c>
      <c r="G508" s="34">
        <f t="shared" si="85"/>
        <v>9</v>
      </c>
      <c r="H508" s="34">
        <f t="shared" si="86"/>
        <v>1</v>
      </c>
      <c r="I508" s="34" t="str">
        <f t="shared" si="83"/>
        <v/>
      </c>
      <c r="J508" s="34" t="str">
        <f t="shared" si="83"/>
        <v/>
      </c>
      <c r="K508" s="34" t="str">
        <f t="shared" si="83"/>
        <v/>
      </c>
      <c r="L508" s="34" t="str">
        <f t="shared" si="83"/>
        <v/>
      </c>
      <c r="M508" s="34" t="str">
        <f t="shared" si="83"/>
        <v/>
      </c>
      <c r="N508" s="34">
        <f t="shared" si="83"/>
        <v>60</v>
      </c>
      <c r="O508" s="34">
        <f t="shared" si="83"/>
        <v>68</v>
      </c>
      <c r="P508" s="34">
        <f t="shared" si="83"/>
        <v>80</v>
      </c>
      <c r="Q508" s="34">
        <f t="shared" si="83"/>
        <v>92</v>
      </c>
      <c r="R508" s="34">
        <f t="shared" si="83"/>
        <v>104</v>
      </c>
      <c r="S508" s="35">
        <f t="shared" si="87"/>
        <v>60</v>
      </c>
    </row>
    <row r="509" spans="2:19" hidden="1" outlineLevel="1">
      <c r="B509" s="14" t="s">
        <v>39</v>
      </c>
      <c r="C509" s="15" t="s">
        <v>65</v>
      </c>
      <c r="D509" s="52">
        <v>2059</v>
      </c>
      <c r="E509" s="34">
        <v>6</v>
      </c>
      <c r="F509" s="38">
        <f t="shared" si="84"/>
        <v>20348.211988132531</v>
      </c>
      <c r="G509" s="34">
        <f t="shared" si="85"/>
        <v>9</v>
      </c>
      <c r="H509" s="34">
        <f t="shared" si="86"/>
        <v>1</v>
      </c>
      <c r="I509" s="34" t="str">
        <f t="shared" si="83"/>
        <v/>
      </c>
      <c r="J509" s="34" t="str">
        <f t="shared" si="83"/>
        <v/>
      </c>
      <c r="K509" s="34" t="str">
        <f t="shared" si="83"/>
        <v/>
      </c>
      <c r="L509" s="34" t="str">
        <f t="shared" si="83"/>
        <v/>
      </c>
      <c r="M509" s="34" t="str">
        <f t="shared" si="83"/>
        <v/>
      </c>
      <c r="N509" s="34">
        <f t="shared" si="83"/>
        <v>60</v>
      </c>
      <c r="O509" s="34">
        <f t="shared" si="83"/>
        <v>67</v>
      </c>
      <c r="P509" s="34">
        <f t="shared" si="83"/>
        <v>79</v>
      </c>
      <c r="Q509" s="34">
        <f t="shared" si="83"/>
        <v>91</v>
      </c>
      <c r="R509" s="34">
        <f t="shared" si="83"/>
        <v>103</v>
      </c>
      <c r="S509" s="35">
        <f t="shared" si="87"/>
        <v>60</v>
      </c>
    </row>
    <row r="510" spans="2:19" hidden="1" outlineLevel="1">
      <c r="B510" s="14" t="s">
        <v>39</v>
      </c>
      <c r="C510" s="15" t="s">
        <v>65</v>
      </c>
      <c r="D510" s="52">
        <v>2059</v>
      </c>
      <c r="E510" s="34">
        <v>7</v>
      </c>
      <c r="F510" s="38">
        <f t="shared" si="84"/>
        <v>20348.211988132531</v>
      </c>
      <c r="G510" s="34">
        <f t="shared" si="85"/>
        <v>9</v>
      </c>
      <c r="H510" s="34">
        <f t="shared" si="86"/>
        <v>1</v>
      </c>
      <c r="I510" s="34" t="str">
        <f t="shared" ref="I510:R519" si="88">IF($D510&lt;$Z$18,"",IF(MAX($G510,INDEX($C$65:$F$108,$D510+I$119-2026,$H510))&lt;=12*I$119-$E510+12,MAX($G510,12*I$119-$E510+1,INDEX($C$65:$F$108,$D510+I$119-2026,$H510)),""))</f>
        <v/>
      </c>
      <c r="J510" s="34" t="str">
        <f t="shared" si="88"/>
        <v/>
      </c>
      <c r="K510" s="34" t="str">
        <f t="shared" si="88"/>
        <v/>
      </c>
      <c r="L510" s="34" t="str">
        <f t="shared" si="88"/>
        <v/>
      </c>
      <c r="M510" s="34" t="str">
        <f t="shared" si="88"/>
        <v/>
      </c>
      <c r="N510" s="34">
        <f t="shared" si="88"/>
        <v>60</v>
      </c>
      <c r="O510" s="34">
        <f t="shared" si="88"/>
        <v>66</v>
      </c>
      <c r="P510" s="34">
        <f t="shared" si="88"/>
        <v>78</v>
      </c>
      <c r="Q510" s="34">
        <f t="shared" si="88"/>
        <v>90</v>
      </c>
      <c r="R510" s="34">
        <f t="shared" si="88"/>
        <v>102</v>
      </c>
      <c r="S510" s="35">
        <f t="shared" si="87"/>
        <v>60</v>
      </c>
    </row>
    <row r="511" spans="2:19" hidden="1" outlineLevel="1">
      <c r="B511" s="14" t="s">
        <v>39</v>
      </c>
      <c r="C511" s="15" t="s">
        <v>65</v>
      </c>
      <c r="D511" s="52">
        <v>2059</v>
      </c>
      <c r="E511" s="34">
        <v>8</v>
      </c>
      <c r="F511" s="38">
        <f t="shared" si="84"/>
        <v>20348.211988132531</v>
      </c>
      <c r="G511" s="34">
        <f t="shared" si="85"/>
        <v>9</v>
      </c>
      <c r="H511" s="34">
        <f t="shared" si="86"/>
        <v>1</v>
      </c>
      <c r="I511" s="34" t="str">
        <f t="shared" si="88"/>
        <v/>
      </c>
      <c r="J511" s="34" t="str">
        <f t="shared" si="88"/>
        <v/>
      </c>
      <c r="K511" s="34" t="str">
        <f t="shared" si="88"/>
        <v/>
      </c>
      <c r="L511" s="34" t="str">
        <f t="shared" si="88"/>
        <v/>
      </c>
      <c r="M511" s="34" t="str">
        <f t="shared" si="88"/>
        <v/>
      </c>
      <c r="N511" s="34">
        <f t="shared" si="88"/>
        <v>60</v>
      </c>
      <c r="O511" s="34">
        <f t="shared" si="88"/>
        <v>65</v>
      </c>
      <c r="P511" s="34">
        <f t="shared" si="88"/>
        <v>77</v>
      </c>
      <c r="Q511" s="34">
        <f t="shared" si="88"/>
        <v>89</v>
      </c>
      <c r="R511" s="34">
        <f t="shared" si="88"/>
        <v>101</v>
      </c>
      <c r="S511" s="35">
        <f t="shared" si="87"/>
        <v>60</v>
      </c>
    </row>
    <row r="512" spans="2:19" hidden="1" outlineLevel="1">
      <c r="B512" s="14" t="s">
        <v>39</v>
      </c>
      <c r="C512" s="15" t="s">
        <v>65</v>
      </c>
      <c r="D512" s="52">
        <v>2059</v>
      </c>
      <c r="E512" s="34">
        <v>9</v>
      </c>
      <c r="F512" s="38">
        <f t="shared" si="84"/>
        <v>20348.211988132531</v>
      </c>
      <c r="G512" s="34">
        <f t="shared" si="85"/>
        <v>9</v>
      </c>
      <c r="H512" s="34">
        <f t="shared" si="86"/>
        <v>1</v>
      </c>
      <c r="I512" s="34" t="str">
        <f t="shared" si="88"/>
        <v/>
      </c>
      <c r="J512" s="34" t="str">
        <f t="shared" si="88"/>
        <v/>
      </c>
      <c r="K512" s="34" t="str">
        <f t="shared" si="88"/>
        <v/>
      </c>
      <c r="L512" s="34" t="str">
        <f t="shared" si="88"/>
        <v/>
      </c>
      <c r="M512" s="34" t="str">
        <f t="shared" si="88"/>
        <v/>
      </c>
      <c r="N512" s="34">
        <f t="shared" si="88"/>
        <v>60</v>
      </c>
      <c r="O512" s="34">
        <f t="shared" si="88"/>
        <v>64</v>
      </c>
      <c r="P512" s="34">
        <f t="shared" si="88"/>
        <v>76</v>
      </c>
      <c r="Q512" s="34">
        <f t="shared" si="88"/>
        <v>88</v>
      </c>
      <c r="R512" s="34">
        <f t="shared" si="88"/>
        <v>100</v>
      </c>
      <c r="S512" s="35">
        <f t="shared" si="87"/>
        <v>60</v>
      </c>
    </row>
    <row r="513" spans="2:19" hidden="1" outlineLevel="1">
      <c r="B513" s="14" t="s">
        <v>39</v>
      </c>
      <c r="C513" s="15" t="s">
        <v>65</v>
      </c>
      <c r="D513" s="52">
        <v>2059</v>
      </c>
      <c r="E513" s="34">
        <v>10</v>
      </c>
      <c r="F513" s="38">
        <f t="shared" si="84"/>
        <v>20348.211988132531</v>
      </c>
      <c r="G513" s="34">
        <f t="shared" si="85"/>
        <v>9</v>
      </c>
      <c r="H513" s="34">
        <f t="shared" si="86"/>
        <v>1</v>
      </c>
      <c r="I513" s="34" t="str">
        <f t="shared" si="88"/>
        <v/>
      </c>
      <c r="J513" s="34" t="str">
        <f t="shared" si="88"/>
        <v/>
      </c>
      <c r="K513" s="34" t="str">
        <f t="shared" si="88"/>
        <v/>
      </c>
      <c r="L513" s="34" t="str">
        <f t="shared" si="88"/>
        <v/>
      </c>
      <c r="M513" s="34" t="str">
        <f t="shared" si="88"/>
        <v/>
      </c>
      <c r="N513" s="34">
        <f t="shared" si="88"/>
        <v>60</v>
      </c>
      <c r="O513" s="34">
        <f t="shared" si="88"/>
        <v>63</v>
      </c>
      <c r="P513" s="34">
        <f t="shared" si="88"/>
        <v>75</v>
      </c>
      <c r="Q513" s="34">
        <f t="shared" si="88"/>
        <v>87</v>
      </c>
      <c r="R513" s="34">
        <f t="shared" si="88"/>
        <v>99</v>
      </c>
      <c r="S513" s="35">
        <f t="shared" si="87"/>
        <v>60</v>
      </c>
    </row>
    <row r="514" spans="2:19" hidden="1" outlineLevel="1">
      <c r="B514" s="14" t="s">
        <v>39</v>
      </c>
      <c r="C514" s="15" t="s">
        <v>65</v>
      </c>
      <c r="D514" s="52">
        <v>2059</v>
      </c>
      <c r="E514" s="34">
        <v>11</v>
      </c>
      <c r="F514" s="38">
        <f t="shared" si="84"/>
        <v>20348.211988132531</v>
      </c>
      <c r="G514" s="34">
        <f t="shared" si="85"/>
        <v>9</v>
      </c>
      <c r="H514" s="34">
        <f t="shared" si="86"/>
        <v>1</v>
      </c>
      <c r="I514" s="34" t="str">
        <f t="shared" si="88"/>
        <v/>
      </c>
      <c r="J514" s="34" t="str">
        <f t="shared" si="88"/>
        <v/>
      </c>
      <c r="K514" s="34" t="str">
        <f t="shared" si="88"/>
        <v/>
      </c>
      <c r="L514" s="34" t="str">
        <f t="shared" si="88"/>
        <v/>
      </c>
      <c r="M514" s="34" t="str">
        <f t="shared" si="88"/>
        <v/>
      </c>
      <c r="N514" s="34">
        <f t="shared" si="88"/>
        <v>60</v>
      </c>
      <c r="O514" s="34">
        <f t="shared" si="88"/>
        <v>62</v>
      </c>
      <c r="P514" s="34">
        <f t="shared" si="88"/>
        <v>74</v>
      </c>
      <c r="Q514" s="34">
        <f t="shared" si="88"/>
        <v>86</v>
      </c>
      <c r="R514" s="34">
        <f t="shared" si="88"/>
        <v>98</v>
      </c>
      <c r="S514" s="35">
        <f t="shared" si="87"/>
        <v>60</v>
      </c>
    </row>
    <row r="515" spans="2:19" hidden="1" outlineLevel="1">
      <c r="B515" s="14" t="s">
        <v>39</v>
      </c>
      <c r="C515" s="15" t="s">
        <v>65</v>
      </c>
      <c r="D515" s="52">
        <v>2059</v>
      </c>
      <c r="E515" s="34">
        <v>12</v>
      </c>
      <c r="F515" s="38">
        <f t="shared" si="84"/>
        <v>20348.211988132531</v>
      </c>
      <c r="G515" s="34">
        <f t="shared" si="85"/>
        <v>9</v>
      </c>
      <c r="H515" s="34">
        <f t="shared" si="86"/>
        <v>1</v>
      </c>
      <c r="I515" s="34" t="str">
        <f t="shared" si="88"/>
        <v/>
      </c>
      <c r="J515" s="34" t="str">
        <f t="shared" si="88"/>
        <v/>
      </c>
      <c r="K515" s="34" t="str">
        <f t="shared" si="88"/>
        <v/>
      </c>
      <c r="L515" s="34" t="str">
        <f t="shared" si="88"/>
        <v/>
      </c>
      <c r="M515" s="34" t="str">
        <f t="shared" si="88"/>
        <v/>
      </c>
      <c r="N515" s="34">
        <f t="shared" si="88"/>
        <v>60</v>
      </c>
      <c r="O515" s="34">
        <f t="shared" si="88"/>
        <v>61</v>
      </c>
      <c r="P515" s="34">
        <f t="shared" si="88"/>
        <v>73</v>
      </c>
      <c r="Q515" s="34">
        <f t="shared" si="88"/>
        <v>85</v>
      </c>
      <c r="R515" s="34">
        <f t="shared" si="88"/>
        <v>97</v>
      </c>
      <c r="S515" s="35">
        <f t="shared" si="87"/>
        <v>60</v>
      </c>
    </row>
    <row r="516" spans="2:19" hidden="1" outlineLevel="1">
      <c r="B516" s="14" t="s">
        <v>39</v>
      </c>
      <c r="C516" s="15" t="s">
        <v>65</v>
      </c>
      <c r="D516" s="52">
        <v>2060</v>
      </c>
      <c r="E516" s="34">
        <v>1</v>
      </c>
      <c r="F516" s="38">
        <f t="shared" si="84"/>
        <v>20257.777703205415</v>
      </c>
      <c r="G516" s="34">
        <f t="shared" si="85"/>
        <v>9</v>
      </c>
      <c r="H516" s="34">
        <f t="shared" si="86"/>
        <v>1</v>
      </c>
      <c r="I516" s="34" t="str">
        <f t="shared" si="88"/>
        <v/>
      </c>
      <c r="J516" s="34" t="str">
        <f t="shared" si="88"/>
        <v/>
      </c>
      <c r="K516" s="34" t="str">
        <f t="shared" si="88"/>
        <v/>
      </c>
      <c r="L516" s="34" t="str">
        <f t="shared" si="88"/>
        <v/>
      </c>
      <c r="M516" s="34" t="str">
        <f t="shared" si="88"/>
        <v/>
      </c>
      <c r="N516" s="34">
        <f t="shared" si="88"/>
        <v>60</v>
      </c>
      <c r="O516" s="34">
        <f t="shared" si="88"/>
        <v>72</v>
      </c>
      <c r="P516" s="34">
        <f t="shared" si="88"/>
        <v>84</v>
      </c>
      <c r="Q516" s="34">
        <f t="shared" si="88"/>
        <v>96</v>
      </c>
      <c r="R516" s="34">
        <f t="shared" si="88"/>
        <v>108</v>
      </c>
      <c r="S516" s="35">
        <f t="shared" si="87"/>
        <v>60</v>
      </c>
    </row>
    <row r="517" spans="2:19" hidden="1" outlineLevel="1">
      <c r="B517" s="14" t="s">
        <v>39</v>
      </c>
      <c r="C517" s="15" t="s">
        <v>65</v>
      </c>
      <c r="D517" s="52">
        <v>2060</v>
      </c>
      <c r="E517" s="34">
        <v>2</v>
      </c>
      <c r="F517" s="38">
        <f t="shared" si="84"/>
        <v>20257.777703205415</v>
      </c>
      <c r="G517" s="34">
        <f t="shared" si="85"/>
        <v>9</v>
      </c>
      <c r="H517" s="34">
        <f t="shared" si="86"/>
        <v>1</v>
      </c>
      <c r="I517" s="34" t="str">
        <f t="shared" si="88"/>
        <v/>
      </c>
      <c r="J517" s="34" t="str">
        <f t="shared" si="88"/>
        <v/>
      </c>
      <c r="K517" s="34" t="str">
        <f t="shared" si="88"/>
        <v/>
      </c>
      <c r="L517" s="34" t="str">
        <f t="shared" si="88"/>
        <v/>
      </c>
      <c r="M517" s="34" t="str">
        <f t="shared" si="88"/>
        <v/>
      </c>
      <c r="N517" s="34">
        <f t="shared" si="88"/>
        <v>60</v>
      </c>
      <c r="O517" s="34">
        <f t="shared" si="88"/>
        <v>71</v>
      </c>
      <c r="P517" s="34">
        <f t="shared" si="88"/>
        <v>83</v>
      </c>
      <c r="Q517" s="34">
        <f t="shared" si="88"/>
        <v>95</v>
      </c>
      <c r="R517" s="34">
        <f t="shared" si="88"/>
        <v>107</v>
      </c>
      <c r="S517" s="35">
        <f t="shared" si="87"/>
        <v>60</v>
      </c>
    </row>
    <row r="518" spans="2:19" hidden="1" outlineLevel="1">
      <c r="B518" s="14" t="s">
        <v>39</v>
      </c>
      <c r="C518" s="15" t="s">
        <v>65</v>
      </c>
      <c r="D518" s="52">
        <v>2060</v>
      </c>
      <c r="E518" s="34">
        <v>3</v>
      </c>
      <c r="F518" s="38">
        <f t="shared" si="84"/>
        <v>20257.777703205415</v>
      </c>
      <c r="G518" s="34">
        <f t="shared" si="85"/>
        <v>9</v>
      </c>
      <c r="H518" s="34">
        <f t="shared" si="86"/>
        <v>1</v>
      </c>
      <c r="I518" s="34" t="str">
        <f t="shared" si="88"/>
        <v/>
      </c>
      <c r="J518" s="34" t="str">
        <f t="shared" si="88"/>
        <v/>
      </c>
      <c r="K518" s="34" t="str">
        <f t="shared" si="88"/>
        <v/>
      </c>
      <c r="L518" s="34" t="str">
        <f t="shared" si="88"/>
        <v/>
      </c>
      <c r="M518" s="34" t="str">
        <f t="shared" si="88"/>
        <v/>
      </c>
      <c r="N518" s="34">
        <f t="shared" si="88"/>
        <v>60</v>
      </c>
      <c r="O518" s="34">
        <f t="shared" si="88"/>
        <v>70</v>
      </c>
      <c r="P518" s="34">
        <f t="shared" si="88"/>
        <v>82</v>
      </c>
      <c r="Q518" s="34">
        <f t="shared" si="88"/>
        <v>94</v>
      </c>
      <c r="R518" s="34">
        <f t="shared" si="88"/>
        <v>106</v>
      </c>
      <c r="S518" s="35">
        <f t="shared" si="87"/>
        <v>60</v>
      </c>
    </row>
    <row r="519" spans="2:19" hidden="1" outlineLevel="1">
      <c r="B519" s="14" t="s">
        <v>39</v>
      </c>
      <c r="C519" s="15" t="s">
        <v>65</v>
      </c>
      <c r="D519" s="52">
        <v>2060</v>
      </c>
      <c r="E519" s="34">
        <v>4</v>
      </c>
      <c r="F519" s="38">
        <f t="shared" si="84"/>
        <v>20257.777703205415</v>
      </c>
      <c r="G519" s="34">
        <f t="shared" si="85"/>
        <v>9</v>
      </c>
      <c r="H519" s="34">
        <f t="shared" si="86"/>
        <v>1</v>
      </c>
      <c r="I519" s="34" t="str">
        <f t="shared" si="88"/>
        <v/>
      </c>
      <c r="J519" s="34" t="str">
        <f t="shared" si="88"/>
        <v/>
      </c>
      <c r="K519" s="34" t="str">
        <f t="shared" si="88"/>
        <v/>
      </c>
      <c r="L519" s="34" t="str">
        <f t="shared" si="88"/>
        <v/>
      </c>
      <c r="M519" s="34" t="str">
        <f t="shared" si="88"/>
        <v/>
      </c>
      <c r="N519" s="34">
        <f t="shared" si="88"/>
        <v>60</v>
      </c>
      <c r="O519" s="34">
        <f t="shared" si="88"/>
        <v>69</v>
      </c>
      <c r="P519" s="34">
        <f t="shared" si="88"/>
        <v>81</v>
      </c>
      <c r="Q519" s="34">
        <f t="shared" si="88"/>
        <v>93</v>
      </c>
      <c r="R519" s="34">
        <f t="shared" si="88"/>
        <v>105</v>
      </c>
      <c r="S519" s="35">
        <f t="shared" si="87"/>
        <v>60</v>
      </c>
    </row>
    <row r="520" spans="2:19" hidden="1" outlineLevel="1">
      <c r="B520" s="14" t="s">
        <v>39</v>
      </c>
      <c r="C520" s="15" t="s">
        <v>65</v>
      </c>
      <c r="D520" s="52">
        <v>2060</v>
      </c>
      <c r="E520" s="34">
        <v>5</v>
      </c>
      <c r="F520" s="38">
        <f t="shared" si="84"/>
        <v>20257.777703205415</v>
      </c>
      <c r="G520" s="34">
        <f t="shared" si="85"/>
        <v>9</v>
      </c>
      <c r="H520" s="34">
        <f t="shared" si="86"/>
        <v>1</v>
      </c>
      <c r="I520" s="34" t="str">
        <f t="shared" ref="I520:R529" si="89">IF($D520&lt;$Z$18,"",IF(MAX($G520,INDEX($C$65:$F$108,$D520+I$119-2026,$H520))&lt;=12*I$119-$E520+12,MAX($G520,12*I$119-$E520+1,INDEX($C$65:$F$108,$D520+I$119-2026,$H520)),""))</f>
        <v/>
      </c>
      <c r="J520" s="34" t="str">
        <f t="shared" si="89"/>
        <v/>
      </c>
      <c r="K520" s="34" t="str">
        <f t="shared" si="89"/>
        <v/>
      </c>
      <c r="L520" s="34" t="str">
        <f t="shared" si="89"/>
        <v/>
      </c>
      <c r="M520" s="34" t="str">
        <f t="shared" si="89"/>
        <v/>
      </c>
      <c r="N520" s="34">
        <f t="shared" si="89"/>
        <v>60</v>
      </c>
      <c r="O520" s="34">
        <f t="shared" si="89"/>
        <v>68</v>
      </c>
      <c r="P520" s="34">
        <f t="shared" si="89"/>
        <v>80</v>
      </c>
      <c r="Q520" s="34">
        <f t="shared" si="89"/>
        <v>92</v>
      </c>
      <c r="R520" s="34">
        <f t="shared" si="89"/>
        <v>104</v>
      </c>
      <c r="S520" s="35">
        <f t="shared" si="87"/>
        <v>60</v>
      </c>
    </row>
    <row r="521" spans="2:19" hidden="1" outlineLevel="1">
      <c r="B521" s="14" t="s">
        <v>39</v>
      </c>
      <c r="C521" s="15" t="s">
        <v>65</v>
      </c>
      <c r="D521" s="52">
        <v>2060</v>
      </c>
      <c r="E521" s="34">
        <v>6</v>
      </c>
      <c r="F521" s="38">
        <f t="shared" si="84"/>
        <v>20257.777703205415</v>
      </c>
      <c r="G521" s="34">
        <f t="shared" si="85"/>
        <v>9</v>
      </c>
      <c r="H521" s="34">
        <f t="shared" si="86"/>
        <v>1</v>
      </c>
      <c r="I521" s="34" t="str">
        <f t="shared" si="89"/>
        <v/>
      </c>
      <c r="J521" s="34" t="str">
        <f t="shared" si="89"/>
        <v/>
      </c>
      <c r="K521" s="34" t="str">
        <f t="shared" si="89"/>
        <v/>
      </c>
      <c r="L521" s="34" t="str">
        <f t="shared" si="89"/>
        <v/>
      </c>
      <c r="M521" s="34" t="str">
        <f t="shared" si="89"/>
        <v/>
      </c>
      <c r="N521" s="34">
        <f t="shared" si="89"/>
        <v>60</v>
      </c>
      <c r="O521" s="34">
        <f t="shared" si="89"/>
        <v>67</v>
      </c>
      <c r="P521" s="34">
        <f t="shared" si="89"/>
        <v>79</v>
      </c>
      <c r="Q521" s="34">
        <f t="shared" si="89"/>
        <v>91</v>
      </c>
      <c r="R521" s="34">
        <f t="shared" si="89"/>
        <v>103</v>
      </c>
      <c r="S521" s="35">
        <f t="shared" si="87"/>
        <v>60</v>
      </c>
    </row>
    <row r="522" spans="2:19" hidden="1" outlineLevel="1">
      <c r="B522" s="14" t="s">
        <v>39</v>
      </c>
      <c r="C522" s="15" t="s">
        <v>65</v>
      </c>
      <c r="D522" s="52">
        <v>2060</v>
      </c>
      <c r="E522" s="34">
        <v>7</v>
      </c>
      <c r="F522" s="38">
        <f t="shared" si="84"/>
        <v>20257.777703205415</v>
      </c>
      <c r="G522" s="34">
        <f t="shared" si="85"/>
        <v>9</v>
      </c>
      <c r="H522" s="34">
        <f t="shared" si="86"/>
        <v>1</v>
      </c>
      <c r="I522" s="34" t="str">
        <f t="shared" si="89"/>
        <v/>
      </c>
      <c r="J522" s="34" t="str">
        <f t="shared" si="89"/>
        <v/>
      </c>
      <c r="K522" s="34" t="str">
        <f t="shared" si="89"/>
        <v/>
      </c>
      <c r="L522" s="34" t="str">
        <f t="shared" si="89"/>
        <v/>
      </c>
      <c r="M522" s="34" t="str">
        <f t="shared" si="89"/>
        <v/>
      </c>
      <c r="N522" s="34">
        <f t="shared" si="89"/>
        <v>60</v>
      </c>
      <c r="O522" s="34">
        <f t="shared" si="89"/>
        <v>66</v>
      </c>
      <c r="P522" s="34">
        <f t="shared" si="89"/>
        <v>78</v>
      </c>
      <c r="Q522" s="34">
        <f t="shared" si="89"/>
        <v>90</v>
      </c>
      <c r="R522" s="34">
        <f t="shared" si="89"/>
        <v>102</v>
      </c>
      <c r="S522" s="35">
        <f t="shared" si="87"/>
        <v>60</v>
      </c>
    </row>
    <row r="523" spans="2:19" hidden="1" outlineLevel="1">
      <c r="B523" s="14" t="s">
        <v>39</v>
      </c>
      <c r="C523" s="15" t="s">
        <v>65</v>
      </c>
      <c r="D523" s="52">
        <v>2060</v>
      </c>
      <c r="E523" s="34">
        <v>8</v>
      </c>
      <c r="F523" s="38">
        <f t="shared" si="84"/>
        <v>20257.777703205415</v>
      </c>
      <c r="G523" s="34">
        <f t="shared" si="85"/>
        <v>9</v>
      </c>
      <c r="H523" s="34">
        <f t="shared" si="86"/>
        <v>1</v>
      </c>
      <c r="I523" s="34" t="str">
        <f t="shared" si="89"/>
        <v/>
      </c>
      <c r="J523" s="34" t="str">
        <f t="shared" si="89"/>
        <v/>
      </c>
      <c r="K523" s="34" t="str">
        <f t="shared" si="89"/>
        <v/>
      </c>
      <c r="L523" s="34" t="str">
        <f t="shared" si="89"/>
        <v/>
      </c>
      <c r="M523" s="34" t="str">
        <f t="shared" si="89"/>
        <v/>
      </c>
      <c r="N523" s="34">
        <f t="shared" si="89"/>
        <v>60</v>
      </c>
      <c r="O523" s="34">
        <f t="shared" si="89"/>
        <v>65</v>
      </c>
      <c r="P523" s="34">
        <f t="shared" si="89"/>
        <v>77</v>
      </c>
      <c r="Q523" s="34">
        <f t="shared" si="89"/>
        <v>89</v>
      </c>
      <c r="R523" s="34">
        <f t="shared" si="89"/>
        <v>101</v>
      </c>
      <c r="S523" s="35">
        <f t="shared" si="87"/>
        <v>60</v>
      </c>
    </row>
    <row r="524" spans="2:19" hidden="1" outlineLevel="1">
      <c r="B524" s="14" t="s">
        <v>39</v>
      </c>
      <c r="C524" s="15" t="s">
        <v>65</v>
      </c>
      <c r="D524" s="52">
        <v>2060</v>
      </c>
      <c r="E524" s="34">
        <v>9</v>
      </c>
      <c r="F524" s="38">
        <f t="shared" si="84"/>
        <v>20257.777703205415</v>
      </c>
      <c r="G524" s="34">
        <f t="shared" si="85"/>
        <v>9</v>
      </c>
      <c r="H524" s="34">
        <f t="shared" si="86"/>
        <v>1</v>
      </c>
      <c r="I524" s="34" t="str">
        <f t="shared" si="89"/>
        <v/>
      </c>
      <c r="J524" s="34" t="str">
        <f t="shared" si="89"/>
        <v/>
      </c>
      <c r="K524" s="34" t="str">
        <f t="shared" si="89"/>
        <v/>
      </c>
      <c r="L524" s="34" t="str">
        <f t="shared" si="89"/>
        <v/>
      </c>
      <c r="M524" s="34" t="str">
        <f t="shared" si="89"/>
        <v/>
      </c>
      <c r="N524" s="34">
        <f t="shared" si="89"/>
        <v>60</v>
      </c>
      <c r="O524" s="34">
        <f t="shared" si="89"/>
        <v>64</v>
      </c>
      <c r="P524" s="34">
        <f t="shared" si="89"/>
        <v>76</v>
      </c>
      <c r="Q524" s="34">
        <f t="shared" si="89"/>
        <v>88</v>
      </c>
      <c r="R524" s="34">
        <f t="shared" si="89"/>
        <v>100</v>
      </c>
      <c r="S524" s="35">
        <f t="shared" si="87"/>
        <v>60</v>
      </c>
    </row>
    <row r="525" spans="2:19" hidden="1" outlineLevel="1">
      <c r="B525" s="14" t="s">
        <v>39</v>
      </c>
      <c r="C525" s="15" t="s">
        <v>65</v>
      </c>
      <c r="D525" s="52">
        <v>2060</v>
      </c>
      <c r="E525" s="34">
        <v>10</v>
      </c>
      <c r="F525" s="38">
        <f t="shared" si="84"/>
        <v>20257.777703205415</v>
      </c>
      <c r="G525" s="34">
        <f t="shared" si="85"/>
        <v>9</v>
      </c>
      <c r="H525" s="34">
        <f t="shared" si="86"/>
        <v>1</v>
      </c>
      <c r="I525" s="34" t="str">
        <f t="shared" si="89"/>
        <v/>
      </c>
      <c r="J525" s="34" t="str">
        <f t="shared" si="89"/>
        <v/>
      </c>
      <c r="K525" s="34" t="str">
        <f t="shared" si="89"/>
        <v/>
      </c>
      <c r="L525" s="34" t="str">
        <f t="shared" si="89"/>
        <v/>
      </c>
      <c r="M525" s="34" t="str">
        <f t="shared" si="89"/>
        <v/>
      </c>
      <c r="N525" s="34">
        <f t="shared" si="89"/>
        <v>60</v>
      </c>
      <c r="O525" s="34">
        <f t="shared" si="89"/>
        <v>63</v>
      </c>
      <c r="P525" s="34">
        <f t="shared" si="89"/>
        <v>75</v>
      </c>
      <c r="Q525" s="34">
        <f t="shared" si="89"/>
        <v>87</v>
      </c>
      <c r="R525" s="34">
        <f t="shared" si="89"/>
        <v>99</v>
      </c>
      <c r="S525" s="35">
        <f t="shared" si="87"/>
        <v>60</v>
      </c>
    </row>
    <row r="526" spans="2:19" hidden="1" outlineLevel="1">
      <c r="B526" s="14" t="s">
        <v>39</v>
      </c>
      <c r="C526" s="15" t="s">
        <v>65</v>
      </c>
      <c r="D526" s="52">
        <v>2060</v>
      </c>
      <c r="E526" s="34">
        <v>11</v>
      </c>
      <c r="F526" s="38">
        <f t="shared" si="84"/>
        <v>20257.777703205415</v>
      </c>
      <c r="G526" s="34">
        <f t="shared" si="85"/>
        <v>9</v>
      </c>
      <c r="H526" s="34">
        <f t="shared" si="86"/>
        <v>1</v>
      </c>
      <c r="I526" s="34" t="str">
        <f t="shared" si="89"/>
        <v/>
      </c>
      <c r="J526" s="34" t="str">
        <f t="shared" si="89"/>
        <v/>
      </c>
      <c r="K526" s="34" t="str">
        <f t="shared" si="89"/>
        <v/>
      </c>
      <c r="L526" s="34" t="str">
        <f t="shared" si="89"/>
        <v/>
      </c>
      <c r="M526" s="34" t="str">
        <f t="shared" si="89"/>
        <v/>
      </c>
      <c r="N526" s="34">
        <f t="shared" si="89"/>
        <v>60</v>
      </c>
      <c r="O526" s="34">
        <f t="shared" si="89"/>
        <v>62</v>
      </c>
      <c r="P526" s="34">
        <f t="shared" si="89"/>
        <v>74</v>
      </c>
      <c r="Q526" s="34">
        <f t="shared" si="89"/>
        <v>86</v>
      </c>
      <c r="R526" s="34">
        <f t="shared" si="89"/>
        <v>98</v>
      </c>
      <c r="S526" s="35">
        <f t="shared" si="87"/>
        <v>60</v>
      </c>
    </row>
    <row r="527" spans="2:19" hidden="1" outlineLevel="1">
      <c r="B527" s="14" t="s">
        <v>39</v>
      </c>
      <c r="C527" s="15" t="s">
        <v>65</v>
      </c>
      <c r="D527" s="52">
        <v>2060</v>
      </c>
      <c r="E527" s="34">
        <v>12</v>
      </c>
      <c r="F527" s="38">
        <f t="shared" si="84"/>
        <v>20257.777703205415</v>
      </c>
      <c r="G527" s="34">
        <f t="shared" si="85"/>
        <v>9</v>
      </c>
      <c r="H527" s="34">
        <f t="shared" si="86"/>
        <v>1</v>
      </c>
      <c r="I527" s="34" t="str">
        <f t="shared" si="89"/>
        <v/>
      </c>
      <c r="J527" s="34" t="str">
        <f t="shared" si="89"/>
        <v/>
      </c>
      <c r="K527" s="34" t="str">
        <f t="shared" si="89"/>
        <v/>
      </c>
      <c r="L527" s="34" t="str">
        <f t="shared" si="89"/>
        <v/>
      </c>
      <c r="M527" s="34" t="str">
        <f t="shared" si="89"/>
        <v/>
      </c>
      <c r="N527" s="34">
        <f t="shared" si="89"/>
        <v>60</v>
      </c>
      <c r="O527" s="34">
        <f t="shared" si="89"/>
        <v>61</v>
      </c>
      <c r="P527" s="34">
        <f t="shared" si="89"/>
        <v>73</v>
      </c>
      <c r="Q527" s="34">
        <f t="shared" si="89"/>
        <v>85</v>
      </c>
      <c r="R527" s="34">
        <f t="shared" si="89"/>
        <v>97</v>
      </c>
      <c r="S527" s="35">
        <f t="shared" si="87"/>
        <v>60</v>
      </c>
    </row>
    <row r="528" spans="2:19" hidden="1" outlineLevel="1">
      <c r="B528" s="14" t="s">
        <v>39</v>
      </c>
      <c r="C528" s="15" t="s">
        <v>66</v>
      </c>
      <c r="D528" s="52">
        <v>2027</v>
      </c>
      <c r="E528" s="34">
        <v>1</v>
      </c>
      <c r="F528" s="38">
        <f t="shared" si="84"/>
        <v>17571.5902694551</v>
      </c>
      <c r="G528" s="34">
        <f t="shared" si="85"/>
        <v>16</v>
      </c>
      <c r="H528" s="34">
        <f t="shared" si="86"/>
        <v>2</v>
      </c>
      <c r="I528" s="34" t="str">
        <f t="shared" si="89"/>
        <v/>
      </c>
      <c r="J528" s="34" t="str">
        <f t="shared" si="89"/>
        <v/>
      </c>
      <c r="K528" s="34" t="str">
        <f t="shared" si="89"/>
        <v/>
      </c>
      <c r="L528" s="34" t="str">
        <f t="shared" si="89"/>
        <v/>
      </c>
      <c r="M528" s="34" t="str">
        <f t="shared" si="89"/>
        <v/>
      </c>
      <c r="N528" s="34" t="str">
        <f t="shared" si="89"/>
        <v/>
      </c>
      <c r="O528" s="34" t="str">
        <f t="shared" si="89"/>
        <v/>
      </c>
      <c r="P528" s="34">
        <f t="shared" si="89"/>
        <v>84</v>
      </c>
      <c r="Q528" s="34">
        <f t="shared" si="89"/>
        <v>96</v>
      </c>
      <c r="R528" s="34">
        <f t="shared" si="89"/>
        <v>108</v>
      </c>
      <c r="S528" s="35">
        <f t="shared" si="87"/>
        <v>84</v>
      </c>
    </row>
    <row r="529" spans="2:19" hidden="1" outlineLevel="1">
      <c r="B529" s="14" t="s">
        <v>39</v>
      </c>
      <c r="C529" s="15" t="s">
        <v>66</v>
      </c>
      <c r="D529" s="52">
        <v>2027</v>
      </c>
      <c r="E529" s="34">
        <v>2</v>
      </c>
      <c r="F529" s="38">
        <f t="shared" si="84"/>
        <v>17571.5902694551</v>
      </c>
      <c r="G529" s="34">
        <f t="shared" si="85"/>
        <v>16</v>
      </c>
      <c r="H529" s="34">
        <f t="shared" si="86"/>
        <v>2</v>
      </c>
      <c r="I529" s="34" t="str">
        <f t="shared" si="89"/>
        <v/>
      </c>
      <c r="J529" s="34" t="str">
        <f t="shared" si="89"/>
        <v/>
      </c>
      <c r="K529" s="34" t="str">
        <f t="shared" si="89"/>
        <v/>
      </c>
      <c r="L529" s="34" t="str">
        <f t="shared" si="89"/>
        <v/>
      </c>
      <c r="M529" s="34" t="str">
        <f t="shared" si="89"/>
        <v/>
      </c>
      <c r="N529" s="34" t="str">
        <f t="shared" si="89"/>
        <v/>
      </c>
      <c r="O529" s="34" t="str">
        <f t="shared" si="89"/>
        <v/>
      </c>
      <c r="P529" s="34">
        <f t="shared" si="89"/>
        <v>84</v>
      </c>
      <c r="Q529" s="34">
        <f t="shared" si="89"/>
        <v>95</v>
      </c>
      <c r="R529" s="34">
        <f t="shared" si="89"/>
        <v>107</v>
      </c>
      <c r="S529" s="35">
        <f t="shared" si="87"/>
        <v>84</v>
      </c>
    </row>
    <row r="530" spans="2:19" hidden="1" outlineLevel="1">
      <c r="B530" s="14" t="s">
        <v>39</v>
      </c>
      <c r="C530" s="15" t="s">
        <v>66</v>
      </c>
      <c r="D530" s="52">
        <v>2027</v>
      </c>
      <c r="E530" s="34">
        <v>3</v>
      </c>
      <c r="F530" s="38">
        <f t="shared" si="84"/>
        <v>17571.5902694551</v>
      </c>
      <c r="G530" s="34">
        <f t="shared" si="85"/>
        <v>16</v>
      </c>
      <c r="H530" s="34">
        <f t="shared" si="86"/>
        <v>2</v>
      </c>
      <c r="I530" s="34" t="str">
        <f t="shared" ref="I530:R539" si="90">IF($D530&lt;$Z$18,"",IF(MAX($G530,INDEX($C$65:$F$108,$D530+I$119-2026,$H530))&lt;=12*I$119-$E530+12,MAX($G530,12*I$119-$E530+1,INDEX($C$65:$F$108,$D530+I$119-2026,$H530)),""))</f>
        <v/>
      </c>
      <c r="J530" s="34" t="str">
        <f t="shared" si="90"/>
        <v/>
      </c>
      <c r="K530" s="34" t="str">
        <f t="shared" si="90"/>
        <v/>
      </c>
      <c r="L530" s="34" t="str">
        <f t="shared" si="90"/>
        <v/>
      </c>
      <c r="M530" s="34" t="str">
        <f t="shared" si="90"/>
        <v/>
      </c>
      <c r="N530" s="34" t="str">
        <f t="shared" si="90"/>
        <v/>
      </c>
      <c r="O530" s="34" t="str">
        <f t="shared" si="90"/>
        <v/>
      </c>
      <c r="P530" s="34">
        <f t="shared" si="90"/>
        <v>84</v>
      </c>
      <c r="Q530" s="34">
        <f t="shared" si="90"/>
        <v>94</v>
      </c>
      <c r="R530" s="34">
        <f t="shared" si="90"/>
        <v>106</v>
      </c>
      <c r="S530" s="35">
        <f t="shared" si="87"/>
        <v>84</v>
      </c>
    </row>
    <row r="531" spans="2:19" hidden="1" outlineLevel="1">
      <c r="B531" s="14" t="s">
        <v>39</v>
      </c>
      <c r="C531" s="15" t="s">
        <v>66</v>
      </c>
      <c r="D531" s="52">
        <v>2027</v>
      </c>
      <c r="E531" s="34">
        <v>4</v>
      </c>
      <c r="F531" s="38">
        <f t="shared" si="84"/>
        <v>17571.5902694551</v>
      </c>
      <c r="G531" s="34">
        <f t="shared" si="85"/>
        <v>16</v>
      </c>
      <c r="H531" s="34">
        <f t="shared" si="86"/>
        <v>2</v>
      </c>
      <c r="I531" s="34" t="str">
        <f t="shared" si="90"/>
        <v/>
      </c>
      <c r="J531" s="34" t="str">
        <f t="shared" si="90"/>
        <v/>
      </c>
      <c r="K531" s="34" t="str">
        <f t="shared" si="90"/>
        <v/>
      </c>
      <c r="L531" s="34" t="str">
        <f t="shared" si="90"/>
        <v/>
      </c>
      <c r="M531" s="34" t="str">
        <f t="shared" si="90"/>
        <v/>
      </c>
      <c r="N531" s="34" t="str">
        <f t="shared" si="90"/>
        <v/>
      </c>
      <c r="O531" s="34" t="str">
        <f t="shared" si="90"/>
        <v/>
      </c>
      <c r="P531" s="34">
        <f t="shared" si="90"/>
        <v>84</v>
      </c>
      <c r="Q531" s="34">
        <f t="shared" si="90"/>
        <v>93</v>
      </c>
      <c r="R531" s="34">
        <f t="shared" si="90"/>
        <v>105</v>
      </c>
      <c r="S531" s="35">
        <f t="shared" si="87"/>
        <v>84</v>
      </c>
    </row>
    <row r="532" spans="2:19" hidden="1" outlineLevel="1">
      <c r="B532" s="14" t="s">
        <v>39</v>
      </c>
      <c r="C532" s="15" t="s">
        <v>66</v>
      </c>
      <c r="D532" s="52">
        <v>2027</v>
      </c>
      <c r="E532" s="34">
        <v>5</v>
      </c>
      <c r="F532" s="38">
        <f t="shared" si="84"/>
        <v>17571.5902694551</v>
      </c>
      <c r="G532" s="34">
        <f t="shared" si="85"/>
        <v>16</v>
      </c>
      <c r="H532" s="34">
        <f t="shared" si="86"/>
        <v>2</v>
      </c>
      <c r="I532" s="34" t="str">
        <f t="shared" si="90"/>
        <v/>
      </c>
      <c r="J532" s="34" t="str">
        <f t="shared" si="90"/>
        <v/>
      </c>
      <c r="K532" s="34" t="str">
        <f t="shared" si="90"/>
        <v/>
      </c>
      <c r="L532" s="34" t="str">
        <f t="shared" si="90"/>
        <v/>
      </c>
      <c r="M532" s="34" t="str">
        <f t="shared" si="90"/>
        <v/>
      </c>
      <c r="N532" s="34" t="str">
        <f t="shared" si="90"/>
        <v/>
      </c>
      <c r="O532" s="34" t="str">
        <f t="shared" si="90"/>
        <v/>
      </c>
      <c r="P532" s="34">
        <f t="shared" si="90"/>
        <v>84</v>
      </c>
      <c r="Q532" s="34">
        <f t="shared" si="90"/>
        <v>92</v>
      </c>
      <c r="R532" s="34">
        <f t="shared" si="90"/>
        <v>104</v>
      </c>
      <c r="S532" s="35">
        <f t="shared" si="87"/>
        <v>84</v>
      </c>
    </row>
    <row r="533" spans="2:19" hidden="1" outlineLevel="1">
      <c r="B533" s="14" t="s">
        <v>39</v>
      </c>
      <c r="C533" s="15" t="s">
        <v>66</v>
      </c>
      <c r="D533" s="52">
        <v>2027</v>
      </c>
      <c r="E533" s="34">
        <v>6</v>
      </c>
      <c r="F533" s="38">
        <f t="shared" si="84"/>
        <v>17571.5902694551</v>
      </c>
      <c r="G533" s="34">
        <f t="shared" si="85"/>
        <v>16</v>
      </c>
      <c r="H533" s="34">
        <f t="shared" si="86"/>
        <v>2</v>
      </c>
      <c r="I533" s="34" t="str">
        <f t="shared" si="90"/>
        <v/>
      </c>
      <c r="J533" s="34" t="str">
        <f t="shared" si="90"/>
        <v/>
      </c>
      <c r="K533" s="34" t="str">
        <f t="shared" si="90"/>
        <v/>
      </c>
      <c r="L533" s="34" t="str">
        <f t="shared" si="90"/>
        <v/>
      </c>
      <c r="M533" s="34" t="str">
        <f t="shared" si="90"/>
        <v/>
      </c>
      <c r="N533" s="34" t="str">
        <f t="shared" si="90"/>
        <v/>
      </c>
      <c r="O533" s="34" t="str">
        <f t="shared" si="90"/>
        <v/>
      </c>
      <c r="P533" s="34">
        <f t="shared" si="90"/>
        <v>84</v>
      </c>
      <c r="Q533" s="34">
        <f t="shared" si="90"/>
        <v>91</v>
      </c>
      <c r="R533" s="34">
        <f t="shared" si="90"/>
        <v>103</v>
      </c>
      <c r="S533" s="35">
        <f t="shared" si="87"/>
        <v>84</v>
      </c>
    </row>
    <row r="534" spans="2:19" hidden="1" outlineLevel="1">
      <c r="B534" s="14" t="s">
        <v>39</v>
      </c>
      <c r="C534" s="15" t="s">
        <v>66</v>
      </c>
      <c r="D534" s="52">
        <v>2027</v>
      </c>
      <c r="E534" s="34">
        <v>7</v>
      </c>
      <c r="F534" s="38">
        <f t="shared" si="84"/>
        <v>17571.5902694551</v>
      </c>
      <c r="G534" s="34">
        <f t="shared" si="85"/>
        <v>16</v>
      </c>
      <c r="H534" s="34">
        <f t="shared" si="86"/>
        <v>2</v>
      </c>
      <c r="I534" s="34" t="str">
        <f t="shared" si="90"/>
        <v/>
      </c>
      <c r="J534" s="34" t="str">
        <f t="shared" si="90"/>
        <v/>
      </c>
      <c r="K534" s="34" t="str">
        <f t="shared" si="90"/>
        <v/>
      </c>
      <c r="L534" s="34" t="str">
        <f t="shared" si="90"/>
        <v/>
      </c>
      <c r="M534" s="34" t="str">
        <f t="shared" si="90"/>
        <v/>
      </c>
      <c r="N534" s="34" t="str">
        <f t="shared" si="90"/>
        <v/>
      </c>
      <c r="O534" s="34" t="str">
        <f t="shared" si="90"/>
        <v/>
      </c>
      <c r="P534" s="34">
        <f t="shared" si="90"/>
        <v>84</v>
      </c>
      <c r="Q534" s="34">
        <f t="shared" si="90"/>
        <v>90</v>
      </c>
      <c r="R534" s="34">
        <f t="shared" si="90"/>
        <v>102</v>
      </c>
      <c r="S534" s="35">
        <f t="shared" si="87"/>
        <v>84</v>
      </c>
    </row>
    <row r="535" spans="2:19" hidden="1" outlineLevel="1">
      <c r="B535" s="14" t="s">
        <v>39</v>
      </c>
      <c r="C535" s="15" t="s">
        <v>66</v>
      </c>
      <c r="D535" s="52">
        <v>2027</v>
      </c>
      <c r="E535" s="34">
        <v>8</v>
      </c>
      <c r="F535" s="38">
        <f t="shared" si="84"/>
        <v>17571.5902694551</v>
      </c>
      <c r="G535" s="34">
        <f t="shared" si="85"/>
        <v>16</v>
      </c>
      <c r="H535" s="34">
        <f t="shared" si="86"/>
        <v>2</v>
      </c>
      <c r="I535" s="34" t="str">
        <f t="shared" si="90"/>
        <v/>
      </c>
      <c r="J535" s="34" t="str">
        <f t="shared" si="90"/>
        <v/>
      </c>
      <c r="K535" s="34" t="str">
        <f t="shared" si="90"/>
        <v/>
      </c>
      <c r="L535" s="34" t="str">
        <f t="shared" si="90"/>
        <v/>
      </c>
      <c r="M535" s="34" t="str">
        <f t="shared" si="90"/>
        <v/>
      </c>
      <c r="N535" s="34" t="str">
        <f t="shared" si="90"/>
        <v/>
      </c>
      <c r="O535" s="34" t="str">
        <f t="shared" si="90"/>
        <v/>
      </c>
      <c r="P535" s="34">
        <f t="shared" si="90"/>
        <v>84</v>
      </c>
      <c r="Q535" s="34">
        <f t="shared" si="90"/>
        <v>89</v>
      </c>
      <c r="R535" s="34">
        <f t="shared" si="90"/>
        <v>101</v>
      </c>
      <c r="S535" s="35">
        <f t="shared" si="87"/>
        <v>84</v>
      </c>
    </row>
    <row r="536" spans="2:19" hidden="1" outlineLevel="1">
      <c r="B536" s="14" t="s">
        <v>39</v>
      </c>
      <c r="C536" s="15" t="s">
        <v>66</v>
      </c>
      <c r="D536" s="52">
        <v>2027</v>
      </c>
      <c r="E536" s="34">
        <v>9</v>
      </c>
      <c r="F536" s="38">
        <f t="shared" si="84"/>
        <v>17571.5902694551</v>
      </c>
      <c r="G536" s="34">
        <f t="shared" si="85"/>
        <v>16</v>
      </c>
      <c r="H536" s="34">
        <f t="shared" si="86"/>
        <v>2</v>
      </c>
      <c r="I536" s="34" t="str">
        <f t="shared" si="90"/>
        <v/>
      </c>
      <c r="J536" s="34" t="str">
        <f t="shared" si="90"/>
        <v/>
      </c>
      <c r="K536" s="34" t="str">
        <f t="shared" si="90"/>
        <v/>
      </c>
      <c r="L536" s="34" t="str">
        <f t="shared" si="90"/>
        <v/>
      </c>
      <c r="M536" s="34" t="str">
        <f t="shared" si="90"/>
        <v/>
      </c>
      <c r="N536" s="34" t="str">
        <f t="shared" si="90"/>
        <v/>
      </c>
      <c r="O536" s="34" t="str">
        <f t="shared" si="90"/>
        <v/>
      </c>
      <c r="P536" s="34">
        <f t="shared" si="90"/>
        <v>84</v>
      </c>
      <c r="Q536" s="34">
        <f t="shared" si="90"/>
        <v>88</v>
      </c>
      <c r="R536" s="34">
        <f t="shared" si="90"/>
        <v>100</v>
      </c>
      <c r="S536" s="35">
        <f t="shared" si="87"/>
        <v>84</v>
      </c>
    </row>
    <row r="537" spans="2:19" hidden="1" outlineLevel="1">
      <c r="B537" s="14" t="s">
        <v>39</v>
      </c>
      <c r="C537" s="15" t="s">
        <v>66</v>
      </c>
      <c r="D537" s="52">
        <v>2027</v>
      </c>
      <c r="E537" s="34">
        <v>10</v>
      </c>
      <c r="F537" s="38">
        <f t="shared" si="84"/>
        <v>17571.5902694551</v>
      </c>
      <c r="G537" s="34">
        <f t="shared" si="85"/>
        <v>16</v>
      </c>
      <c r="H537" s="34">
        <f t="shared" si="86"/>
        <v>2</v>
      </c>
      <c r="I537" s="34" t="str">
        <f t="shared" si="90"/>
        <v/>
      </c>
      <c r="J537" s="34" t="str">
        <f t="shared" si="90"/>
        <v/>
      </c>
      <c r="K537" s="34" t="str">
        <f t="shared" si="90"/>
        <v/>
      </c>
      <c r="L537" s="34" t="str">
        <f t="shared" si="90"/>
        <v/>
      </c>
      <c r="M537" s="34" t="str">
        <f t="shared" si="90"/>
        <v/>
      </c>
      <c r="N537" s="34" t="str">
        <f t="shared" si="90"/>
        <v/>
      </c>
      <c r="O537" s="34" t="str">
        <f t="shared" si="90"/>
        <v/>
      </c>
      <c r="P537" s="34">
        <f t="shared" si="90"/>
        <v>84</v>
      </c>
      <c r="Q537" s="34">
        <f t="shared" si="90"/>
        <v>87</v>
      </c>
      <c r="R537" s="34">
        <f t="shared" si="90"/>
        <v>99</v>
      </c>
      <c r="S537" s="35">
        <f t="shared" si="87"/>
        <v>84</v>
      </c>
    </row>
    <row r="538" spans="2:19" hidden="1" outlineLevel="1">
      <c r="B538" s="14" t="s">
        <v>39</v>
      </c>
      <c r="C538" s="15" t="s">
        <v>66</v>
      </c>
      <c r="D538" s="52">
        <v>2027</v>
      </c>
      <c r="E538" s="34">
        <v>11</v>
      </c>
      <c r="F538" s="38">
        <f t="shared" si="84"/>
        <v>17571.5902694551</v>
      </c>
      <c r="G538" s="34">
        <f t="shared" si="85"/>
        <v>16</v>
      </c>
      <c r="H538" s="34">
        <f t="shared" si="86"/>
        <v>2</v>
      </c>
      <c r="I538" s="34" t="str">
        <f t="shared" si="90"/>
        <v/>
      </c>
      <c r="J538" s="34" t="str">
        <f t="shared" si="90"/>
        <v/>
      </c>
      <c r="K538" s="34" t="str">
        <f t="shared" si="90"/>
        <v/>
      </c>
      <c r="L538" s="34" t="str">
        <f t="shared" si="90"/>
        <v/>
      </c>
      <c r="M538" s="34" t="str">
        <f t="shared" si="90"/>
        <v/>
      </c>
      <c r="N538" s="34" t="str">
        <f t="shared" si="90"/>
        <v/>
      </c>
      <c r="O538" s="34" t="str">
        <f t="shared" si="90"/>
        <v/>
      </c>
      <c r="P538" s="34">
        <f t="shared" si="90"/>
        <v>84</v>
      </c>
      <c r="Q538" s="34">
        <f t="shared" si="90"/>
        <v>86</v>
      </c>
      <c r="R538" s="34">
        <f t="shared" si="90"/>
        <v>98</v>
      </c>
      <c r="S538" s="35">
        <f t="shared" si="87"/>
        <v>84</v>
      </c>
    </row>
    <row r="539" spans="2:19" hidden="1" outlineLevel="1">
      <c r="B539" s="14" t="s">
        <v>39</v>
      </c>
      <c r="C539" s="15" t="s">
        <v>66</v>
      </c>
      <c r="D539" s="52">
        <v>2027</v>
      </c>
      <c r="E539" s="34">
        <v>12</v>
      </c>
      <c r="F539" s="38">
        <f t="shared" si="84"/>
        <v>17571.5902694551</v>
      </c>
      <c r="G539" s="34">
        <f t="shared" si="85"/>
        <v>16</v>
      </c>
      <c r="H539" s="34">
        <f t="shared" si="86"/>
        <v>2</v>
      </c>
      <c r="I539" s="34" t="str">
        <f t="shared" si="90"/>
        <v/>
      </c>
      <c r="J539" s="34" t="str">
        <f t="shared" si="90"/>
        <v/>
      </c>
      <c r="K539" s="34" t="str">
        <f t="shared" si="90"/>
        <v/>
      </c>
      <c r="L539" s="34" t="str">
        <f t="shared" si="90"/>
        <v/>
      </c>
      <c r="M539" s="34" t="str">
        <f t="shared" si="90"/>
        <v/>
      </c>
      <c r="N539" s="34" t="str">
        <f t="shared" si="90"/>
        <v/>
      </c>
      <c r="O539" s="34" t="str">
        <f t="shared" si="90"/>
        <v/>
      </c>
      <c r="P539" s="34">
        <f t="shared" si="90"/>
        <v>84</v>
      </c>
      <c r="Q539" s="34">
        <f t="shared" si="90"/>
        <v>85</v>
      </c>
      <c r="R539" s="34">
        <f t="shared" si="90"/>
        <v>97</v>
      </c>
      <c r="S539" s="35">
        <f t="shared" si="87"/>
        <v>84</v>
      </c>
    </row>
    <row r="540" spans="2:19" hidden="1" outlineLevel="1">
      <c r="B540" s="14" t="s">
        <v>39</v>
      </c>
      <c r="C540" s="15" t="s">
        <v>66</v>
      </c>
      <c r="D540" s="52">
        <v>2028</v>
      </c>
      <c r="E540" s="34">
        <v>1</v>
      </c>
      <c r="F540" s="38">
        <f t="shared" si="84"/>
        <v>17797.000946978082</v>
      </c>
      <c r="G540" s="34">
        <f t="shared" si="85"/>
        <v>16</v>
      </c>
      <c r="H540" s="34">
        <f t="shared" si="86"/>
        <v>2</v>
      </c>
      <c r="I540" s="34" t="str">
        <f t="shared" ref="I540:R549" si="91">IF($D540&lt;$Z$18,"",IF(MAX($G540,INDEX($C$65:$F$108,$D540+I$119-2026,$H540))&lt;=12*I$119-$E540+12,MAX($G540,12*I$119-$E540+1,INDEX($C$65:$F$108,$D540+I$119-2026,$H540)),""))</f>
        <v/>
      </c>
      <c r="J540" s="34" t="str">
        <f t="shared" si="91"/>
        <v/>
      </c>
      <c r="K540" s="34" t="str">
        <f t="shared" si="91"/>
        <v/>
      </c>
      <c r="L540" s="34" t="str">
        <f t="shared" si="91"/>
        <v/>
      </c>
      <c r="M540" s="34" t="str">
        <f t="shared" si="91"/>
        <v/>
      </c>
      <c r="N540" s="34" t="str">
        <f t="shared" si="91"/>
        <v/>
      </c>
      <c r="O540" s="34" t="str">
        <f t="shared" si="91"/>
        <v/>
      </c>
      <c r="P540" s="34">
        <f t="shared" si="91"/>
        <v>84</v>
      </c>
      <c r="Q540" s="34">
        <f t="shared" si="91"/>
        <v>96</v>
      </c>
      <c r="R540" s="34">
        <f t="shared" si="91"/>
        <v>108</v>
      </c>
      <c r="S540" s="35">
        <f t="shared" si="87"/>
        <v>84</v>
      </c>
    </row>
    <row r="541" spans="2:19" hidden="1" outlineLevel="1">
      <c r="B541" s="14" t="s">
        <v>39</v>
      </c>
      <c r="C541" s="15" t="s">
        <v>66</v>
      </c>
      <c r="D541" s="52">
        <v>2028</v>
      </c>
      <c r="E541" s="34">
        <v>2</v>
      </c>
      <c r="F541" s="38">
        <f t="shared" si="84"/>
        <v>17797.000946978082</v>
      </c>
      <c r="G541" s="34">
        <f t="shared" si="85"/>
        <v>16</v>
      </c>
      <c r="H541" s="34">
        <f t="shared" si="86"/>
        <v>2</v>
      </c>
      <c r="I541" s="34" t="str">
        <f t="shared" si="91"/>
        <v/>
      </c>
      <c r="J541" s="34" t="str">
        <f t="shared" si="91"/>
        <v/>
      </c>
      <c r="K541" s="34" t="str">
        <f t="shared" si="91"/>
        <v/>
      </c>
      <c r="L541" s="34" t="str">
        <f t="shared" si="91"/>
        <v/>
      </c>
      <c r="M541" s="34" t="str">
        <f t="shared" si="91"/>
        <v/>
      </c>
      <c r="N541" s="34" t="str">
        <f t="shared" si="91"/>
        <v/>
      </c>
      <c r="O541" s="34" t="str">
        <f t="shared" si="91"/>
        <v/>
      </c>
      <c r="P541" s="34">
        <f t="shared" si="91"/>
        <v>84</v>
      </c>
      <c r="Q541" s="34">
        <f t="shared" si="91"/>
        <v>95</v>
      </c>
      <c r="R541" s="34">
        <f t="shared" si="91"/>
        <v>107</v>
      </c>
      <c r="S541" s="35">
        <f t="shared" si="87"/>
        <v>84</v>
      </c>
    </row>
    <row r="542" spans="2:19" hidden="1" outlineLevel="1">
      <c r="B542" s="14" t="s">
        <v>39</v>
      </c>
      <c r="C542" s="15" t="s">
        <v>66</v>
      </c>
      <c r="D542" s="52">
        <v>2028</v>
      </c>
      <c r="E542" s="34">
        <v>3</v>
      </c>
      <c r="F542" s="38">
        <f t="shared" si="84"/>
        <v>17797.000946978082</v>
      </c>
      <c r="G542" s="34">
        <f t="shared" si="85"/>
        <v>16</v>
      </c>
      <c r="H542" s="34">
        <f t="shared" si="86"/>
        <v>2</v>
      </c>
      <c r="I542" s="34" t="str">
        <f t="shared" si="91"/>
        <v/>
      </c>
      <c r="J542" s="34" t="str">
        <f t="shared" si="91"/>
        <v/>
      </c>
      <c r="K542" s="34" t="str">
        <f t="shared" si="91"/>
        <v/>
      </c>
      <c r="L542" s="34" t="str">
        <f t="shared" si="91"/>
        <v/>
      </c>
      <c r="M542" s="34" t="str">
        <f t="shared" si="91"/>
        <v/>
      </c>
      <c r="N542" s="34" t="str">
        <f t="shared" si="91"/>
        <v/>
      </c>
      <c r="O542" s="34" t="str">
        <f t="shared" si="91"/>
        <v/>
      </c>
      <c r="P542" s="34">
        <f t="shared" si="91"/>
        <v>84</v>
      </c>
      <c r="Q542" s="34">
        <f t="shared" si="91"/>
        <v>94</v>
      </c>
      <c r="R542" s="34">
        <f t="shared" si="91"/>
        <v>106</v>
      </c>
      <c r="S542" s="35">
        <f t="shared" si="87"/>
        <v>84</v>
      </c>
    </row>
    <row r="543" spans="2:19" hidden="1" outlineLevel="1">
      <c r="B543" s="14" t="s">
        <v>39</v>
      </c>
      <c r="C543" s="15" t="s">
        <v>66</v>
      </c>
      <c r="D543" s="52">
        <v>2028</v>
      </c>
      <c r="E543" s="34">
        <v>4</v>
      </c>
      <c r="F543" s="38">
        <f t="shared" si="84"/>
        <v>17797.000946978082</v>
      </c>
      <c r="G543" s="34">
        <f t="shared" si="85"/>
        <v>16</v>
      </c>
      <c r="H543" s="34">
        <f t="shared" si="86"/>
        <v>2</v>
      </c>
      <c r="I543" s="34" t="str">
        <f t="shared" si="91"/>
        <v/>
      </c>
      <c r="J543" s="34" t="str">
        <f t="shared" si="91"/>
        <v/>
      </c>
      <c r="K543" s="34" t="str">
        <f t="shared" si="91"/>
        <v/>
      </c>
      <c r="L543" s="34" t="str">
        <f t="shared" si="91"/>
        <v/>
      </c>
      <c r="M543" s="34" t="str">
        <f t="shared" si="91"/>
        <v/>
      </c>
      <c r="N543" s="34" t="str">
        <f t="shared" si="91"/>
        <v/>
      </c>
      <c r="O543" s="34" t="str">
        <f t="shared" si="91"/>
        <v/>
      </c>
      <c r="P543" s="34">
        <f t="shared" si="91"/>
        <v>84</v>
      </c>
      <c r="Q543" s="34">
        <f t="shared" si="91"/>
        <v>93</v>
      </c>
      <c r="R543" s="34">
        <f t="shared" si="91"/>
        <v>105</v>
      </c>
      <c r="S543" s="35">
        <f t="shared" si="87"/>
        <v>84</v>
      </c>
    </row>
    <row r="544" spans="2:19" hidden="1" outlineLevel="1">
      <c r="B544" s="14" t="s">
        <v>39</v>
      </c>
      <c r="C544" s="15" t="s">
        <v>66</v>
      </c>
      <c r="D544" s="52">
        <v>2028</v>
      </c>
      <c r="E544" s="34">
        <v>5</v>
      </c>
      <c r="F544" s="38">
        <f t="shared" si="84"/>
        <v>17797.000946978082</v>
      </c>
      <c r="G544" s="34">
        <f t="shared" si="85"/>
        <v>16</v>
      </c>
      <c r="H544" s="34">
        <f t="shared" si="86"/>
        <v>2</v>
      </c>
      <c r="I544" s="34" t="str">
        <f t="shared" si="91"/>
        <v/>
      </c>
      <c r="J544" s="34" t="str">
        <f t="shared" si="91"/>
        <v/>
      </c>
      <c r="K544" s="34" t="str">
        <f t="shared" si="91"/>
        <v/>
      </c>
      <c r="L544" s="34" t="str">
        <f t="shared" si="91"/>
        <v/>
      </c>
      <c r="M544" s="34" t="str">
        <f t="shared" si="91"/>
        <v/>
      </c>
      <c r="N544" s="34" t="str">
        <f t="shared" si="91"/>
        <v/>
      </c>
      <c r="O544" s="34" t="str">
        <f t="shared" si="91"/>
        <v/>
      </c>
      <c r="P544" s="34">
        <f t="shared" si="91"/>
        <v>84</v>
      </c>
      <c r="Q544" s="34">
        <f t="shared" si="91"/>
        <v>92</v>
      </c>
      <c r="R544" s="34">
        <f t="shared" si="91"/>
        <v>104</v>
      </c>
      <c r="S544" s="35">
        <f t="shared" si="87"/>
        <v>84</v>
      </c>
    </row>
    <row r="545" spans="2:19" hidden="1" outlineLevel="1">
      <c r="B545" s="14" t="s">
        <v>39</v>
      </c>
      <c r="C545" s="15" t="s">
        <v>66</v>
      </c>
      <c r="D545" s="52">
        <v>2028</v>
      </c>
      <c r="E545" s="34">
        <v>6</v>
      </c>
      <c r="F545" s="38">
        <f t="shared" si="84"/>
        <v>17797.000946978082</v>
      </c>
      <c r="G545" s="34">
        <f t="shared" si="85"/>
        <v>16</v>
      </c>
      <c r="H545" s="34">
        <f t="shared" si="86"/>
        <v>2</v>
      </c>
      <c r="I545" s="34" t="str">
        <f t="shared" si="91"/>
        <v/>
      </c>
      <c r="J545" s="34" t="str">
        <f t="shared" si="91"/>
        <v/>
      </c>
      <c r="K545" s="34" t="str">
        <f t="shared" si="91"/>
        <v/>
      </c>
      <c r="L545" s="34" t="str">
        <f t="shared" si="91"/>
        <v/>
      </c>
      <c r="M545" s="34" t="str">
        <f t="shared" si="91"/>
        <v/>
      </c>
      <c r="N545" s="34" t="str">
        <f t="shared" si="91"/>
        <v/>
      </c>
      <c r="O545" s="34" t="str">
        <f t="shared" si="91"/>
        <v/>
      </c>
      <c r="P545" s="34">
        <f t="shared" si="91"/>
        <v>84</v>
      </c>
      <c r="Q545" s="34">
        <f t="shared" si="91"/>
        <v>91</v>
      </c>
      <c r="R545" s="34">
        <f t="shared" si="91"/>
        <v>103</v>
      </c>
      <c r="S545" s="35">
        <f t="shared" si="87"/>
        <v>84</v>
      </c>
    </row>
    <row r="546" spans="2:19" hidden="1" outlineLevel="1">
      <c r="B546" s="14" t="s">
        <v>39</v>
      </c>
      <c r="C546" s="15" t="s">
        <v>66</v>
      </c>
      <c r="D546" s="52">
        <v>2028</v>
      </c>
      <c r="E546" s="34">
        <v>7</v>
      </c>
      <c r="F546" s="38">
        <f t="shared" si="84"/>
        <v>17797.000946978082</v>
      </c>
      <c r="G546" s="34">
        <f t="shared" si="85"/>
        <v>16</v>
      </c>
      <c r="H546" s="34">
        <f t="shared" si="86"/>
        <v>2</v>
      </c>
      <c r="I546" s="34" t="str">
        <f t="shared" si="91"/>
        <v/>
      </c>
      <c r="J546" s="34" t="str">
        <f t="shared" si="91"/>
        <v/>
      </c>
      <c r="K546" s="34" t="str">
        <f t="shared" si="91"/>
        <v/>
      </c>
      <c r="L546" s="34" t="str">
        <f t="shared" si="91"/>
        <v/>
      </c>
      <c r="M546" s="34" t="str">
        <f t="shared" si="91"/>
        <v/>
      </c>
      <c r="N546" s="34" t="str">
        <f t="shared" si="91"/>
        <v/>
      </c>
      <c r="O546" s="34" t="str">
        <f t="shared" si="91"/>
        <v/>
      </c>
      <c r="P546" s="34">
        <f t="shared" si="91"/>
        <v>84</v>
      </c>
      <c r="Q546" s="34">
        <f t="shared" si="91"/>
        <v>90</v>
      </c>
      <c r="R546" s="34">
        <f t="shared" si="91"/>
        <v>102</v>
      </c>
      <c r="S546" s="35">
        <f t="shared" si="87"/>
        <v>84</v>
      </c>
    </row>
    <row r="547" spans="2:19" hidden="1" outlineLevel="1">
      <c r="B547" s="14" t="s">
        <v>39</v>
      </c>
      <c r="C547" s="15" t="s">
        <v>66</v>
      </c>
      <c r="D547" s="52">
        <v>2028</v>
      </c>
      <c r="E547" s="34">
        <v>8</v>
      </c>
      <c r="F547" s="38">
        <f t="shared" si="84"/>
        <v>17797.000946978082</v>
      </c>
      <c r="G547" s="34">
        <f t="shared" si="85"/>
        <v>16</v>
      </c>
      <c r="H547" s="34">
        <f t="shared" si="86"/>
        <v>2</v>
      </c>
      <c r="I547" s="34" t="str">
        <f t="shared" si="91"/>
        <v/>
      </c>
      <c r="J547" s="34" t="str">
        <f t="shared" si="91"/>
        <v/>
      </c>
      <c r="K547" s="34" t="str">
        <f t="shared" si="91"/>
        <v/>
      </c>
      <c r="L547" s="34" t="str">
        <f t="shared" si="91"/>
        <v/>
      </c>
      <c r="M547" s="34" t="str">
        <f t="shared" si="91"/>
        <v/>
      </c>
      <c r="N547" s="34" t="str">
        <f t="shared" si="91"/>
        <v/>
      </c>
      <c r="O547" s="34" t="str">
        <f t="shared" si="91"/>
        <v/>
      </c>
      <c r="P547" s="34">
        <f t="shared" si="91"/>
        <v>84</v>
      </c>
      <c r="Q547" s="34">
        <f t="shared" si="91"/>
        <v>89</v>
      </c>
      <c r="R547" s="34">
        <f t="shared" si="91"/>
        <v>101</v>
      </c>
      <c r="S547" s="35">
        <f t="shared" si="87"/>
        <v>84</v>
      </c>
    </row>
    <row r="548" spans="2:19" hidden="1" outlineLevel="1">
      <c r="B548" s="14" t="s">
        <v>39</v>
      </c>
      <c r="C548" s="15" t="s">
        <v>66</v>
      </c>
      <c r="D548" s="52">
        <v>2028</v>
      </c>
      <c r="E548" s="34">
        <v>9</v>
      </c>
      <c r="F548" s="38">
        <f t="shared" si="84"/>
        <v>17797.000946978082</v>
      </c>
      <c r="G548" s="34">
        <f t="shared" si="85"/>
        <v>16</v>
      </c>
      <c r="H548" s="34">
        <f t="shared" si="86"/>
        <v>2</v>
      </c>
      <c r="I548" s="34" t="str">
        <f t="shared" si="91"/>
        <v/>
      </c>
      <c r="J548" s="34" t="str">
        <f t="shared" si="91"/>
        <v/>
      </c>
      <c r="K548" s="34" t="str">
        <f t="shared" si="91"/>
        <v/>
      </c>
      <c r="L548" s="34" t="str">
        <f t="shared" si="91"/>
        <v/>
      </c>
      <c r="M548" s="34" t="str">
        <f t="shared" si="91"/>
        <v/>
      </c>
      <c r="N548" s="34" t="str">
        <f t="shared" si="91"/>
        <v/>
      </c>
      <c r="O548" s="34" t="str">
        <f t="shared" si="91"/>
        <v/>
      </c>
      <c r="P548" s="34">
        <f t="shared" si="91"/>
        <v>84</v>
      </c>
      <c r="Q548" s="34">
        <f t="shared" si="91"/>
        <v>88</v>
      </c>
      <c r="R548" s="34">
        <f t="shared" si="91"/>
        <v>100</v>
      </c>
      <c r="S548" s="35">
        <f t="shared" si="87"/>
        <v>84</v>
      </c>
    </row>
    <row r="549" spans="2:19" hidden="1" outlineLevel="1">
      <c r="B549" s="14" t="s">
        <v>39</v>
      </c>
      <c r="C549" s="15" t="s">
        <v>66</v>
      </c>
      <c r="D549" s="52">
        <v>2028</v>
      </c>
      <c r="E549" s="34">
        <v>10</v>
      </c>
      <c r="F549" s="38">
        <f t="shared" si="84"/>
        <v>17797.000946978082</v>
      </c>
      <c r="G549" s="34">
        <f t="shared" si="85"/>
        <v>16</v>
      </c>
      <c r="H549" s="34">
        <f t="shared" si="86"/>
        <v>2</v>
      </c>
      <c r="I549" s="34" t="str">
        <f t="shared" si="91"/>
        <v/>
      </c>
      <c r="J549" s="34" t="str">
        <f t="shared" si="91"/>
        <v/>
      </c>
      <c r="K549" s="34" t="str">
        <f t="shared" si="91"/>
        <v/>
      </c>
      <c r="L549" s="34" t="str">
        <f t="shared" si="91"/>
        <v/>
      </c>
      <c r="M549" s="34" t="str">
        <f t="shared" si="91"/>
        <v/>
      </c>
      <c r="N549" s="34" t="str">
        <f t="shared" si="91"/>
        <v/>
      </c>
      <c r="O549" s="34" t="str">
        <f t="shared" si="91"/>
        <v/>
      </c>
      <c r="P549" s="34">
        <f t="shared" si="91"/>
        <v>84</v>
      </c>
      <c r="Q549" s="34">
        <f t="shared" si="91"/>
        <v>87</v>
      </c>
      <c r="R549" s="34">
        <f t="shared" si="91"/>
        <v>99</v>
      </c>
      <c r="S549" s="35">
        <f t="shared" si="87"/>
        <v>84</v>
      </c>
    </row>
    <row r="550" spans="2:19" hidden="1" outlineLevel="1">
      <c r="B550" s="14" t="s">
        <v>39</v>
      </c>
      <c r="C550" s="15" t="s">
        <v>66</v>
      </c>
      <c r="D550" s="52">
        <v>2028</v>
      </c>
      <c r="E550" s="34">
        <v>11</v>
      </c>
      <c r="F550" s="38">
        <f t="shared" si="84"/>
        <v>17797.000946978082</v>
      </c>
      <c r="G550" s="34">
        <f t="shared" si="85"/>
        <v>16</v>
      </c>
      <c r="H550" s="34">
        <f t="shared" si="86"/>
        <v>2</v>
      </c>
      <c r="I550" s="34" t="str">
        <f t="shared" ref="I550:R559" si="92">IF($D550&lt;$Z$18,"",IF(MAX($G550,INDEX($C$65:$F$108,$D550+I$119-2026,$H550))&lt;=12*I$119-$E550+12,MAX($G550,12*I$119-$E550+1,INDEX($C$65:$F$108,$D550+I$119-2026,$H550)),""))</f>
        <v/>
      </c>
      <c r="J550" s="34" t="str">
        <f t="shared" si="92"/>
        <v/>
      </c>
      <c r="K550" s="34" t="str">
        <f t="shared" si="92"/>
        <v/>
      </c>
      <c r="L550" s="34" t="str">
        <f t="shared" si="92"/>
        <v/>
      </c>
      <c r="M550" s="34" t="str">
        <f t="shared" si="92"/>
        <v/>
      </c>
      <c r="N550" s="34" t="str">
        <f t="shared" si="92"/>
        <v/>
      </c>
      <c r="O550" s="34" t="str">
        <f t="shared" si="92"/>
        <v/>
      </c>
      <c r="P550" s="34">
        <f t="shared" si="92"/>
        <v>84</v>
      </c>
      <c r="Q550" s="34">
        <f t="shared" si="92"/>
        <v>86</v>
      </c>
      <c r="R550" s="34">
        <f t="shared" si="92"/>
        <v>98</v>
      </c>
      <c r="S550" s="35">
        <f t="shared" si="87"/>
        <v>84</v>
      </c>
    </row>
    <row r="551" spans="2:19" hidden="1" outlineLevel="1">
      <c r="B551" s="14" t="s">
        <v>39</v>
      </c>
      <c r="C551" s="15" t="s">
        <v>66</v>
      </c>
      <c r="D551" s="52">
        <v>2028</v>
      </c>
      <c r="E551" s="34">
        <v>12</v>
      </c>
      <c r="F551" s="38">
        <f t="shared" si="84"/>
        <v>17797.000946978082</v>
      </c>
      <c r="G551" s="34">
        <f t="shared" si="85"/>
        <v>16</v>
      </c>
      <c r="H551" s="34">
        <f t="shared" si="86"/>
        <v>2</v>
      </c>
      <c r="I551" s="34" t="str">
        <f t="shared" si="92"/>
        <v/>
      </c>
      <c r="J551" s="34" t="str">
        <f t="shared" si="92"/>
        <v/>
      </c>
      <c r="K551" s="34" t="str">
        <f t="shared" si="92"/>
        <v/>
      </c>
      <c r="L551" s="34" t="str">
        <f t="shared" si="92"/>
        <v/>
      </c>
      <c r="M551" s="34" t="str">
        <f t="shared" si="92"/>
        <v/>
      </c>
      <c r="N551" s="34" t="str">
        <f t="shared" si="92"/>
        <v/>
      </c>
      <c r="O551" s="34" t="str">
        <f t="shared" si="92"/>
        <v/>
      </c>
      <c r="P551" s="34">
        <f t="shared" si="92"/>
        <v>84</v>
      </c>
      <c r="Q551" s="34">
        <f t="shared" si="92"/>
        <v>85</v>
      </c>
      <c r="R551" s="34">
        <f t="shared" si="92"/>
        <v>97</v>
      </c>
      <c r="S551" s="35">
        <f t="shared" si="87"/>
        <v>84</v>
      </c>
    </row>
    <row r="552" spans="2:19" hidden="1" outlineLevel="1">
      <c r="B552" s="14" t="s">
        <v>39</v>
      </c>
      <c r="C552" s="15" t="s">
        <v>66</v>
      </c>
      <c r="D552" s="52">
        <v>2029</v>
      </c>
      <c r="E552" s="34">
        <v>1</v>
      </c>
      <c r="F552" s="38">
        <f t="shared" si="84"/>
        <v>18042.721718596895</v>
      </c>
      <c r="G552" s="34">
        <f t="shared" si="85"/>
        <v>16</v>
      </c>
      <c r="H552" s="34">
        <f t="shared" si="86"/>
        <v>2</v>
      </c>
      <c r="I552" s="34" t="str">
        <f t="shared" si="92"/>
        <v/>
      </c>
      <c r="J552" s="34" t="str">
        <f t="shared" si="92"/>
        <v/>
      </c>
      <c r="K552" s="34" t="str">
        <f t="shared" si="92"/>
        <v/>
      </c>
      <c r="L552" s="34" t="str">
        <f t="shared" si="92"/>
        <v/>
      </c>
      <c r="M552" s="34" t="str">
        <f t="shared" si="92"/>
        <v/>
      </c>
      <c r="N552" s="34" t="str">
        <f t="shared" si="92"/>
        <v/>
      </c>
      <c r="O552" s="34" t="str">
        <f t="shared" si="92"/>
        <v/>
      </c>
      <c r="P552" s="34">
        <f t="shared" si="92"/>
        <v>84</v>
      </c>
      <c r="Q552" s="34">
        <f t="shared" si="92"/>
        <v>96</v>
      </c>
      <c r="R552" s="34">
        <f t="shared" si="92"/>
        <v>108</v>
      </c>
      <c r="S552" s="35">
        <f t="shared" si="87"/>
        <v>84</v>
      </c>
    </row>
    <row r="553" spans="2:19" hidden="1" outlineLevel="1">
      <c r="B553" s="14" t="s">
        <v>39</v>
      </c>
      <c r="C553" s="15" t="s">
        <v>66</v>
      </c>
      <c r="D553" s="52">
        <v>2029</v>
      </c>
      <c r="E553" s="34">
        <v>2</v>
      </c>
      <c r="F553" s="38">
        <f t="shared" si="84"/>
        <v>18042.721718596895</v>
      </c>
      <c r="G553" s="34">
        <f t="shared" si="85"/>
        <v>16</v>
      </c>
      <c r="H553" s="34">
        <f t="shared" si="86"/>
        <v>2</v>
      </c>
      <c r="I553" s="34" t="str">
        <f t="shared" si="92"/>
        <v/>
      </c>
      <c r="J553" s="34" t="str">
        <f t="shared" si="92"/>
        <v/>
      </c>
      <c r="K553" s="34" t="str">
        <f t="shared" si="92"/>
        <v/>
      </c>
      <c r="L553" s="34" t="str">
        <f t="shared" si="92"/>
        <v/>
      </c>
      <c r="M553" s="34" t="str">
        <f t="shared" si="92"/>
        <v/>
      </c>
      <c r="N553" s="34" t="str">
        <f t="shared" si="92"/>
        <v/>
      </c>
      <c r="O553" s="34" t="str">
        <f t="shared" si="92"/>
        <v/>
      </c>
      <c r="P553" s="34">
        <f t="shared" si="92"/>
        <v>84</v>
      </c>
      <c r="Q553" s="34">
        <f t="shared" si="92"/>
        <v>95</v>
      </c>
      <c r="R553" s="34">
        <f t="shared" si="92"/>
        <v>107</v>
      </c>
      <c r="S553" s="35">
        <f t="shared" si="87"/>
        <v>84</v>
      </c>
    </row>
    <row r="554" spans="2:19" hidden="1" outlineLevel="1">
      <c r="B554" s="14" t="s">
        <v>39</v>
      </c>
      <c r="C554" s="15" t="s">
        <v>66</v>
      </c>
      <c r="D554" s="52">
        <v>2029</v>
      </c>
      <c r="E554" s="34">
        <v>3</v>
      </c>
      <c r="F554" s="38">
        <f t="shared" si="84"/>
        <v>18042.721718596895</v>
      </c>
      <c r="G554" s="34">
        <f t="shared" si="85"/>
        <v>16</v>
      </c>
      <c r="H554" s="34">
        <f t="shared" si="86"/>
        <v>2</v>
      </c>
      <c r="I554" s="34" t="str">
        <f t="shared" si="92"/>
        <v/>
      </c>
      <c r="J554" s="34" t="str">
        <f t="shared" si="92"/>
        <v/>
      </c>
      <c r="K554" s="34" t="str">
        <f t="shared" si="92"/>
        <v/>
      </c>
      <c r="L554" s="34" t="str">
        <f t="shared" si="92"/>
        <v/>
      </c>
      <c r="M554" s="34" t="str">
        <f t="shared" si="92"/>
        <v/>
      </c>
      <c r="N554" s="34" t="str">
        <f t="shared" si="92"/>
        <v/>
      </c>
      <c r="O554" s="34" t="str">
        <f t="shared" si="92"/>
        <v/>
      </c>
      <c r="P554" s="34">
        <f t="shared" si="92"/>
        <v>84</v>
      </c>
      <c r="Q554" s="34">
        <f t="shared" si="92"/>
        <v>94</v>
      </c>
      <c r="R554" s="34">
        <f t="shared" si="92"/>
        <v>106</v>
      </c>
      <c r="S554" s="35">
        <f t="shared" si="87"/>
        <v>84</v>
      </c>
    </row>
    <row r="555" spans="2:19" hidden="1" outlineLevel="1">
      <c r="B555" s="14" t="s">
        <v>39</v>
      </c>
      <c r="C555" s="15" t="s">
        <v>66</v>
      </c>
      <c r="D555" s="52">
        <v>2029</v>
      </c>
      <c r="E555" s="34">
        <v>4</v>
      </c>
      <c r="F555" s="38">
        <f t="shared" si="84"/>
        <v>18042.721718596895</v>
      </c>
      <c r="G555" s="34">
        <f t="shared" si="85"/>
        <v>16</v>
      </c>
      <c r="H555" s="34">
        <f t="shared" si="86"/>
        <v>2</v>
      </c>
      <c r="I555" s="34" t="str">
        <f t="shared" si="92"/>
        <v/>
      </c>
      <c r="J555" s="34" t="str">
        <f t="shared" si="92"/>
        <v/>
      </c>
      <c r="K555" s="34" t="str">
        <f t="shared" si="92"/>
        <v/>
      </c>
      <c r="L555" s="34" t="str">
        <f t="shared" si="92"/>
        <v/>
      </c>
      <c r="M555" s="34" t="str">
        <f t="shared" si="92"/>
        <v/>
      </c>
      <c r="N555" s="34" t="str">
        <f t="shared" si="92"/>
        <v/>
      </c>
      <c r="O555" s="34" t="str">
        <f t="shared" si="92"/>
        <v/>
      </c>
      <c r="P555" s="34">
        <f t="shared" si="92"/>
        <v>84</v>
      </c>
      <c r="Q555" s="34">
        <f t="shared" si="92"/>
        <v>93</v>
      </c>
      <c r="R555" s="34">
        <f t="shared" si="92"/>
        <v>105</v>
      </c>
      <c r="S555" s="35">
        <f t="shared" si="87"/>
        <v>84</v>
      </c>
    </row>
    <row r="556" spans="2:19" hidden="1" outlineLevel="1">
      <c r="B556" s="14" t="s">
        <v>39</v>
      </c>
      <c r="C556" s="15" t="s">
        <v>66</v>
      </c>
      <c r="D556" s="52">
        <v>2029</v>
      </c>
      <c r="E556" s="34">
        <v>5</v>
      </c>
      <c r="F556" s="38">
        <f t="shared" si="84"/>
        <v>18042.721718596895</v>
      </c>
      <c r="G556" s="34">
        <f t="shared" si="85"/>
        <v>16</v>
      </c>
      <c r="H556" s="34">
        <f t="shared" si="86"/>
        <v>2</v>
      </c>
      <c r="I556" s="34" t="str">
        <f t="shared" si="92"/>
        <v/>
      </c>
      <c r="J556" s="34" t="str">
        <f t="shared" si="92"/>
        <v/>
      </c>
      <c r="K556" s="34" t="str">
        <f t="shared" si="92"/>
        <v/>
      </c>
      <c r="L556" s="34" t="str">
        <f t="shared" si="92"/>
        <v/>
      </c>
      <c r="M556" s="34" t="str">
        <f t="shared" si="92"/>
        <v/>
      </c>
      <c r="N556" s="34" t="str">
        <f t="shared" si="92"/>
        <v/>
      </c>
      <c r="O556" s="34" t="str">
        <f t="shared" si="92"/>
        <v/>
      </c>
      <c r="P556" s="34">
        <f t="shared" si="92"/>
        <v>84</v>
      </c>
      <c r="Q556" s="34">
        <f t="shared" si="92"/>
        <v>92</v>
      </c>
      <c r="R556" s="34">
        <f t="shared" si="92"/>
        <v>104</v>
      </c>
      <c r="S556" s="35">
        <f t="shared" si="87"/>
        <v>84</v>
      </c>
    </row>
    <row r="557" spans="2:19" hidden="1" outlineLevel="1">
      <c r="B557" s="14" t="s">
        <v>39</v>
      </c>
      <c r="C557" s="15" t="s">
        <v>66</v>
      </c>
      <c r="D557" s="52">
        <v>2029</v>
      </c>
      <c r="E557" s="34">
        <v>6</v>
      </c>
      <c r="F557" s="38">
        <f t="shared" si="84"/>
        <v>18042.721718596895</v>
      </c>
      <c r="G557" s="34">
        <f t="shared" si="85"/>
        <v>16</v>
      </c>
      <c r="H557" s="34">
        <f t="shared" si="86"/>
        <v>2</v>
      </c>
      <c r="I557" s="34" t="str">
        <f t="shared" si="92"/>
        <v/>
      </c>
      <c r="J557" s="34" t="str">
        <f t="shared" si="92"/>
        <v/>
      </c>
      <c r="K557" s="34" t="str">
        <f t="shared" si="92"/>
        <v/>
      </c>
      <c r="L557" s="34" t="str">
        <f t="shared" si="92"/>
        <v/>
      </c>
      <c r="M557" s="34" t="str">
        <f t="shared" si="92"/>
        <v/>
      </c>
      <c r="N557" s="34" t="str">
        <f t="shared" si="92"/>
        <v/>
      </c>
      <c r="O557" s="34" t="str">
        <f t="shared" si="92"/>
        <v/>
      </c>
      <c r="P557" s="34">
        <f t="shared" si="92"/>
        <v>84</v>
      </c>
      <c r="Q557" s="34">
        <f t="shared" si="92"/>
        <v>91</v>
      </c>
      <c r="R557" s="34">
        <f t="shared" si="92"/>
        <v>103</v>
      </c>
      <c r="S557" s="35">
        <f t="shared" si="87"/>
        <v>84</v>
      </c>
    </row>
    <row r="558" spans="2:19" hidden="1" outlineLevel="1">
      <c r="B558" s="14" t="s">
        <v>39</v>
      </c>
      <c r="C558" s="15" t="s">
        <v>66</v>
      </c>
      <c r="D558" s="52">
        <v>2029</v>
      </c>
      <c r="E558" s="34">
        <v>7</v>
      </c>
      <c r="F558" s="38">
        <f t="shared" si="84"/>
        <v>18042.721718596895</v>
      </c>
      <c r="G558" s="34">
        <f t="shared" si="85"/>
        <v>16</v>
      </c>
      <c r="H558" s="34">
        <f t="shared" si="86"/>
        <v>2</v>
      </c>
      <c r="I558" s="34" t="str">
        <f t="shared" si="92"/>
        <v/>
      </c>
      <c r="J558" s="34" t="str">
        <f t="shared" si="92"/>
        <v/>
      </c>
      <c r="K558" s="34" t="str">
        <f t="shared" si="92"/>
        <v/>
      </c>
      <c r="L558" s="34" t="str">
        <f t="shared" si="92"/>
        <v/>
      </c>
      <c r="M558" s="34" t="str">
        <f t="shared" si="92"/>
        <v/>
      </c>
      <c r="N558" s="34" t="str">
        <f t="shared" si="92"/>
        <v/>
      </c>
      <c r="O558" s="34" t="str">
        <f t="shared" si="92"/>
        <v/>
      </c>
      <c r="P558" s="34">
        <f t="shared" si="92"/>
        <v>84</v>
      </c>
      <c r="Q558" s="34">
        <f t="shared" si="92"/>
        <v>90</v>
      </c>
      <c r="R558" s="34">
        <f t="shared" si="92"/>
        <v>102</v>
      </c>
      <c r="S558" s="35">
        <f t="shared" si="87"/>
        <v>84</v>
      </c>
    </row>
    <row r="559" spans="2:19" hidden="1" outlineLevel="1">
      <c r="B559" s="14" t="s">
        <v>39</v>
      </c>
      <c r="C559" s="15" t="s">
        <v>66</v>
      </c>
      <c r="D559" s="52">
        <v>2029</v>
      </c>
      <c r="E559" s="34">
        <v>8</v>
      </c>
      <c r="F559" s="38">
        <f t="shared" si="84"/>
        <v>18042.721718596895</v>
      </c>
      <c r="G559" s="34">
        <f t="shared" si="85"/>
        <v>16</v>
      </c>
      <c r="H559" s="34">
        <f t="shared" si="86"/>
        <v>2</v>
      </c>
      <c r="I559" s="34" t="str">
        <f t="shared" si="92"/>
        <v/>
      </c>
      <c r="J559" s="34" t="str">
        <f t="shared" si="92"/>
        <v/>
      </c>
      <c r="K559" s="34" t="str">
        <f t="shared" si="92"/>
        <v/>
      </c>
      <c r="L559" s="34" t="str">
        <f t="shared" si="92"/>
        <v/>
      </c>
      <c r="M559" s="34" t="str">
        <f t="shared" si="92"/>
        <v/>
      </c>
      <c r="N559" s="34" t="str">
        <f t="shared" si="92"/>
        <v/>
      </c>
      <c r="O559" s="34" t="str">
        <f t="shared" si="92"/>
        <v/>
      </c>
      <c r="P559" s="34">
        <f t="shared" si="92"/>
        <v>84</v>
      </c>
      <c r="Q559" s="34">
        <f t="shared" si="92"/>
        <v>89</v>
      </c>
      <c r="R559" s="34">
        <f t="shared" si="92"/>
        <v>101</v>
      </c>
      <c r="S559" s="35">
        <f t="shared" si="87"/>
        <v>84</v>
      </c>
    </row>
    <row r="560" spans="2:19" hidden="1" outlineLevel="1">
      <c r="B560" s="14" t="s">
        <v>39</v>
      </c>
      <c r="C560" s="15" t="s">
        <v>66</v>
      </c>
      <c r="D560" s="52">
        <v>2029</v>
      </c>
      <c r="E560" s="34">
        <v>9</v>
      </c>
      <c r="F560" s="38">
        <f t="shared" si="84"/>
        <v>18042.721718596895</v>
      </c>
      <c r="G560" s="34">
        <f t="shared" si="85"/>
        <v>16</v>
      </c>
      <c r="H560" s="34">
        <f t="shared" si="86"/>
        <v>2</v>
      </c>
      <c r="I560" s="34" t="str">
        <f t="shared" ref="I560:R569" si="93">IF($D560&lt;$Z$18,"",IF(MAX($G560,INDEX($C$65:$F$108,$D560+I$119-2026,$H560))&lt;=12*I$119-$E560+12,MAX($G560,12*I$119-$E560+1,INDEX($C$65:$F$108,$D560+I$119-2026,$H560)),""))</f>
        <v/>
      </c>
      <c r="J560" s="34" t="str">
        <f t="shared" si="93"/>
        <v/>
      </c>
      <c r="K560" s="34" t="str">
        <f t="shared" si="93"/>
        <v/>
      </c>
      <c r="L560" s="34" t="str">
        <f t="shared" si="93"/>
        <v/>
      </c>
      <c r="M560" s="34" t="str">
        <f t="shared" si="93"/>
        <v/>
      </c>
      <c r="N560" s="34" t="str">
        <f t="shared" si="93"/>
        <v/>
      </c>
      <c r="O560" s="34" t="str">
        <f t="shared" si="93"/>
        <v/>
      </c>
      <c r="P560" s="34">
        <f t="shared" si="93"/>
        <v>84</v>
      </c>
      <c r="Q560" s="34">
        <f t="shared" si="93"/>
        <v>88</v>
      </c>
      <c r="R560" s="34">
        <f t="shared" si="93"/>
        <v>100</v>
      </c>
      <c r="S560" s="35">
        <f t="shared" si="87"/>
        <v>84</v>
      </c>
    </row>
    <row r="561" spans="2:19" hidden="1" outlineLevel="1">
      <c r="B561" s="14" t="s">
        <v>39</v>
      </c>
      <c r="C561" s="15" t="s">
        <v>66</v>
      </c>
      <c r="D561" s="52">
        <v>2029</v>
      </c>
      <c r="E561" s="34">
        <v>10</v>
      </c>
      <c r="F561" s="38">
        <f t="shared" si="84"/>
        <v>18042.721718596895</v>
      </c>
      <c r="G561" s="34">
        <f t="shared" si="85"/>
        <v>16</v>
      </c>
      <c r="H561" s="34">
        <f t="shared" si="86"/>
        <v>2</v>
      </c>
      <c r="I561" s="34" t="str">
        <f t="shared" si="93"/>
        <v/>
      </c>
      <c r="J561" s="34" t="str">
        <f t="shared" si="93"/>
        <v/>
      </c>
      <c r="K561" s="34" t="str">
        <f t="shared" si="93"/>
        <v/>
      </c>
      <c r="L561" s="34" t="str">
        <f t="shared" si="93"/>
        <v/>
      </c>
      <c r="M561" s="34" t="str">
        <f t="shared" si="93"/>
        <v/>
      </c>
      <c r="N561" s="34" t="str">
        <f t="shared" si="93"/>
        <v/>
      </c>
      <c r="O561" s="34" t="str">
        <f t="shared" si="93"/>
        <v/>
      </c>
      <c r="P561" s="34">
        <f t="shared" si="93"/>
        <v>84</v>
      </c>
      <c r="Q561" s="34">
        <f t="shared" si="93"/>
        <v>87</v>
      </c>
      <c r="R561" s="34">
        <f t="shared" si="93"/>
        <v>99</v>
      </c>
      <c r="S561" s="35">
        <f t="shared" si="87"/>
        <v>84</v>
      </c>
    </row>
    <row r="562" spans="2:19" hidden="1" outlineLevel="1">
      <c r="B562" s="14" t="s">
        <v>39</v>
      </c>
      <c r="C562" s="15" t="s">
        <v>66</v>
      </c>
      <c r="D562" s="52">
        <v>2029</v>
      </c>
      <c r="E562" s="34">
        <v>11</v>
      </c>
      <c r="F562" s="38">
        <f t="shared" si="84"/>
        <v>18042.721718596895</v>
      </c>
      <c r="G562" s="34">
        <f t="shared" si="85"/>
        <v>16</v>
      </c>
      <c r="H562" s="34">
        <f t="shared" si="86"/>
        <v>2</v>
      </c>
      <c r="I562" s="34" t="str">
        <f t="shared" si="93"/>
        <v/>
      </c>
      <c r="J562" s="34" t="str">
        <f t="shared" si="93"/>
        <v/>
      </c>
      <c r="K562" s="34" t="str">
        <f t="shared" si="93"/>
        <v/>
      </c>
      <c r="L562" s="34" t="str">
        <f t="shared" si="93"/>
        <v/>
      </c>
      <c r="M562" s="34" t="str">
        <f t="shared" si="93"/>
        <v/>
      </c>
      <c r="N562" s="34" t="str">
        <f t="shared" si="93"/>
        <v/>
      </c>
      <c r="O562" s="34" t="str">
        <f t="shared" si="93"/>
        <v/>
      </c>
      <c r="P562" s="34">
        <f t="shared" si="93"/>
        <v>84</v>
      </c>
      <c r="Q562" s="34">
        <f t="shared" si="93"/>
        <v>86</v>
      </c>
      <c r="R562" s="34">
        <f t="shared" si="93"/>
        <v>98</v>
      </c>
      <c r="S562" s="35">
        <f t="shared" si="87"/>
        <v>84</v>
      </c>
    </row>
    <row r="563" spans="2:19" hidden="1" outlineLevel="1">
      <c r="B563" s="14" t="s">
        <v>39</v>
      </c>
      <c r="C563" s="15" t="s">
        <v>66</v>
      </c>
      <c r="D563" s="52">
        <v>2029</v>
      </c>
      <c r="E563" s="34">
        <v>12</v>
      </c>
      <c r="F563" s="38">
        <f t="shared" si="84"/>
        <v>18042.721718596895</v>
      </c>
      <c r="G563" s="34">
        <f t="shared" si="85"/>
        <v>16</v>
      </c>
      <c r="H563" s="34">
        <f t="shared" si="86"/>
        <v>2</v>
      </c>
      <c r="I563" s="34" t="str">
        <f t="shared" si="93"/>
        <v/>
      </c>
      <c r="J563" s="34" t="str">
        <f t="shared" si="93"/>
        <v/>
      </c>
      <c r="K563" s="34" t="str">
        <f t="shared" si="93"/>
        <v/>
      </c>
      <c r="L563" s="34" t="str">
        <f t="shared" si="93"/>
        <v/>
      </c>
      <c r="M563" s="34" t="str">
        <f t="shared" si="93"/>
        <v/>
      </c>
      <c r="N563" s="34" t="str">
        <f t="shared" si="93"/>
        <v/>
      </c>
      <c r="O563" s="34" t="str">
        <f t="shared" si="93"/>
        <v/>
      </c>
      <c r="P563" s="34">
        <f t="shared" si="93"/>
        <v>84</v>
      </c>
      <c r="Q563" s="34">
        <f t="shared" si="93"/>
        <v>85</v>
      </c>
      <c r="R563" s="34">
        <f t="shared" si="93"/>
        <v>97</v>
      </c>
      <c r="S563" s="35">
        <f t="shared" si="87"/>
        <v>84</v>
      </c>
    </row>
    <row r="564" spans="2:19" hidden="1" outlineLevel="1">
      <c r="B564" s="14" t="s">
        <v>39</v>
      </c>
      <c r="C564" s="15" t="s">
        <v>66</v>
      </c>
      <c r="D564" s="52">
        <v>2030</v>
      </c>
      <c r="E564" s="34">
        <v>1</v>
      </c>
      <c r="F564" s="38">
        <f t="shared" si="84"/>
        <v>18419.896110817903</v>
      </c>
      <c r="G564" s="34">
        <f t="shared" si="85"/>
        <v>16</v>
      </c>
      <c r="H564" s="34">
        <f t="shared" si="86"/>
        <v>2</v>
      </c>
      <c r="I564" s="34" t="str">
        <f t="shared" si="93"/>
        <v/>
      </c>
      <c r="J564" s="34" t="str">
        <f t="shared" si="93"/>
        <v/>
      </c>
      <c r="K564" s="34" t="str">
        <f t="shared" si="93"/>
        <v/>
      </c>
      <c r="L564" s="34" t="str">
        <f t="shared" si="93"/>
        <v/>
      </c>
      <c r="M564" s="34" t="str">
        <f t="shared" si="93"/>
        <v/>
      </c>
      <c r="N564" s="34" t="str">
        <f t="shared" si="93"/>
        <v/>
      </c>
      <c r="O564" s="34" t="str">
        <f t="shared" si="93"/>
        <v/>
      </c>
      <c r="P564" s="34">
        <f t="shared" si="93"/>
        <v>84</v>
      </c>
      <c r="Q564" s="34">
        <f t="shared" si="93"/>
        <v>96</v>
      </c>
      <c r="R564" s="34">
        <f t="shared" si="93"/>
        <v>108</v>
      </c>
      <c r="S564" s="35">
        <f t="shared" si="87"/>
        <v>84</v>
      </c>
    </row>
    <row r="565" spans="2:19" hidden="1" outlineLevel="1">
      <c r="B565" s="14" t="s">
        <v>39</v>
      </c>
      <c r="C565" s="15" t="s">
        <v>66</v>
      </c>
      <c r="D565" s="52">
        <v>2030</v>
      </c>
      <c r="E565" s="34">
        <v>2</v>
      </c>
      <c r="F565" s="38">
        <f t="shared" si="84"/>
        <v>18419.896110817903</v>
      </c>
      <c r="G565" s="34">
        <f t="shared" si="85"/>
        <v>16</v>
      </c>
      <c r="H565" s="34">
        <f t="shared" si="86"/>
        <v>2</v>
      </c>
      <c r="I565" s="34" t="str">
        <f t="shared" si="93"/>
        <v/>
      </c>
      <c r="J565" s="34" t="str">
        <f t="shared" si="93"/>
        <v/>
      </c>
      <c r="K565" s="34" t="str">
        <f t="shared" si="93"/>
        <v/>
      </c>
      <c r="L565" s="34" t="str">
        <f t="shared" si="93"/>
        <v/>
      </c>
      <c r="M565" s="34" t="str">
        <f t="shared" si="93"/>
        <v/>
      </c>
      <c r="N565" s="34" t="str">
        <f t="shared" si="93"/>
        <v/>
      </c>
      <c r="O565" s="34" t="str">
        <f t="shared" si="93"/>
        <v/>
      </c>
      <c r="P565" s="34">
        <f t="shared" si="93"/>
        <v>84</v>
      </c>
      <c r="Q565" s="34">
        <f t="shared" si="93"/>
        <v>95</v>
      </c>
      <c r="R565" s="34">
        <f t="shared" si="93"/>
        <v>107</v>
      </c>
      <c r="S565" s="35">
        <f t="shared" si="87"/>
        <v>84</v>
      </c>
    </row>
    <row r="566" spans="2:19" hidden="1" outlineLevel="1">
      <c r="B566" s="14" t="s">
        <v>39</v>
      </c>
      <c r="C566" s="15" t="s">
        <v>66</v>
      </c>
      <c r="D566" s="52">
        <v>2030</v>
      </c>
      <c r="E566" s="34">
        <v>3</v>
      </c>
      <c r="F566" s="38">
        <f t="shared" si="84"/>
        <v>18419.896110817903</v>
      </c>
      <c r="G566" s="34">
        <f t="shared" si="85"/>
        <v>16</v>
      </c>
      <c r="H566" s="34">
        <f t="shared" si="86"/>
        <v>2</v>
      </c>
      <c r="I566" s="34" t="str">
        <f t="shared" si="93"/>
        <v/>
      </c>
      <c r="J566" s="34" t="str">
        <f t="shared" si="93"/>
        <v/>
      </c>
      <c r="K566" s="34" t="str">
        <f t="shared" si="93"/>
        <v/>
      </c>
      <c r="L566" s="34" t="str">
        <f t="shared" si="93"/>
        <v/>
      </c>
      <c r="M566" s="34" t="str">
        <f t="shared" si="93"/>
        <v/>
      </c>
      <c r="N566" s="34" t="str">
        <f t="shared" si="93"/>
        <v/>
      </c>
      <c r="O566" s="34" t="str">
        <f t="shared" si="93"/>
        <v/>
      </c>
      <c r="P566" s="34">
        <f t="shared" si="93"/>
        <v>84</v>
      </c>
      <c r="Q566" s="34">
        <f t="shared" si="93"/>
        <v>94</v>
      </c>
      <c r="R566" s="34">
        <f t="shared" si="93"/>
        <v>106</v>
      </c>
      <c r="S566" s="35">
        <f t="shared" si="87"/>
        <v>84</v>
      </c>
    </row>
    <row r="567" spans="2:19" hidden="1" outlineLevel="1">
      <c r="B567" s="14" t="s">
        <v>39</v>
      </c>
      <c r="C567" s="15" t="s">
        <v>66</v>
      </c>
      <c r="D567" s="52">
        <v>2030</v>
      </c>
      <c r="E567" s="34">
        <v>4</v>
      </c>
      <c r="F567" s="38">
        <f t="shared" si="84"/>
        <v>18419.896110817903</v>
      </c>
      <c r="G567" s="34">
        <f t="shared" si="85"/>
        <v>16</v>
      </c>
      <c r="H567" s="34">
        <f t="shared" si="86"/>
        <v>2</v>
      </c>
      <c r="I567" s="34" t="str">
        <f t="shared" si="93"/>
        <v/>
      </c>
      <c r="J567" s="34" t="str">
        <f t="shared" si="93"/>
        <v/>
      </c>
      <c r="K567" s="34" t="str">
        <f t="shared" si="93"/>
        <v/>
      </c>
      <c r="L567" s="34" t="str">
        <f t="shared" si="93"/>
        <v/>
      </c>
      <c r="M567" s="34" t="str">
        <f t="shared" si="93"/>
        <v/>
      </c>
      <c r="N567" s="34" t="str">
        <f t="shared" si="93"/>
        <v/>
      </c>
      <c r="O567" s="34" t="str">
        <f t="shared" si="93"/>
        <v/>
      </c>
      <c r="P567" s="34">
        <f t="shared" si="93"/>
        <v>84</v>
      </c>
      <c r="Q567" s="34">
        <f t="shared" si="93"/>
        <v>93</v>
      </c>
      <c r="R567" s="34">
        <f t="shared" si="93"/>
        <v>105</v>
      </c>
      <c r="S567" s="35">
        <f t="shared" si="87"/>
        <v>84</v>
      </c>
    </row>
    <row r="568" spans="2:19" hidden="1" outlineLevel="1">
      <c r="B568" s="14" t="s">
        <v>39</v>
      </c>
      <c r="C568" s="15" t="s">
        <v>66</v>
      </c>
      <c r="D568" s="52">
        <v>2030</v>
      </c>
      <c r="E568" s="34">
        <v>5</v>
      </c>
      <c r="F568" s="38">
        <f t="shared" ref="F568:F631" si="94">IF($C568="Homens",INDEX($C$5:$C$55,MATCH($D568,$B$5:$B$55,0)),INDEX($F$5:$F$55,MATCH($D568,$B$5:$B$55,0)))/12</f>
        <v>18419.896110817903</v>
      </c>
      <c r="G568" s="34">
        <f t="shared" ref="G568:G631" si="95">IF($C568="Homens",$Z$17,$AA$17)</f>
        <v>16</v>
      </c>
      <c r="H568" s="34">
        <f t="shared" ref="H568:H631" si="96">1+2*($B568="Com Transição")+($C568="Mulheres")</f>
        <v>2</v>
      </c>
      <c r="I568" s="34" t="str">
        <f t="shared" si="93"/>
        <v/>
      </c>
      <c r="J568" s="34" t="str">
        <f t="shared" si="93"/>
        <v/>
      </c>
      <c r="K568" s="34" t="str">
        <f t="shared" si="93"/>
        <v/>
      </c>
      <c r="L568" s="34" t="str">
        <f t="shared" si="93"/>
        <v/>
      </c>
      <c r="M568" s="34" t="str">
        <f t="shared" si="93"/>
        <v/>
      </c>
      <c r="N568" s="34" t="str">
        <f t="shared" si="93"/>
        <v/>
      </c>
      <c r="O568" s="34" t="str">
        <f t="shared" si="93"/>
        <v/>
      </c>
      <c r="P568" s="34">
        <f t="shared" si="93"/>
        <v>84</v>
      </c>
      <c r="Q568" s="34">
        <f t="shared" si="93"/>
        <v>92</v>
      </c>
      <c r="R568" s="34">
        <f t="shared" si="93"/>
        <v>104</v>
      </c>
      <c r="S568" s="35">
        <f t="shared" ref="S568:S631" si="97">IF($D568&lt;$Z$18,$G568,MIN(I568:R568))</f>
        <v>84</v>
      </c>
    </row>
    <row r="569" spans="2:19" hidden="1" outlineLevel="1">
      <c r="B569" s="14" t="s">
        <v>39</v>
      </c>
      <c r="C569" s="15" t="s">
        <v>66</v>
      </c>
      <c r="D569" s="52">
        <v>2030</v>
      </c>
      <c r="E569" s="34">
        <v>6</v>
      </c>
      <c r="F569" s="38">
        <f t="shared" si="94"/>
        <v>18419.896110817903</v>
      </c>
      <c r="G569" s="34">
        <f t="shared" si="95"/>
        <v>16</v>
      </c>
      <c r="H569" s="34">
        <f t="shared" si="96"/>
        <v>2</v>
      </c>
      <c r="I569" s="34" t="str">
        <f t="shared" si="93"/>
        <v/>
      </c>
      <c r="J569" s="34" t="str">
        <f t="shared" si="93"/>
        <v/>
      </c>
      <c r="K569" s="34" t="str">
        <f t="shared" si="93"/>
        <v/>
      </c>
      <c r="L569" s="34" t="str">
        <f t="shared" si="93"/>
        <v/>
      </c>
      <c r="M569" s="34" t="str">
        <f t="shared" si="93"/>
        <v/>
      </c>
      <c r="N569" s="34" t="str">
        <f t="shared" si="93"/>
        <v/>
      </c>
      <c r="O569" s="34" t="str">
        <f t="shared" si="93"/>
        <v/>
      </c>
      <c r="P569" s="34">
        <f t="shared" si="93"/>
        <v>84</v>
      </c>
      <c r="Q569" s="34">
        <f t="shared" si="93"/>
        <v>91</v>
      </c>
      <c r="R569" s="34">
        <f t="shared" si="93"/>
        <v>103</v>
      </c>
      <c r="S569" s="35">
        <f t="shared" si="97"/>
        <v>84</v>
      </c>
    </row>
    <row r="570" spans="2:19" hidden="1" outlineLevel="1">
      <c r="B570" s="14" t="s">
        <v>39</v>
      </c>
      <c r="C570" s="15" t="s">
        <v>66</v>
      </c>
      <c r="D570" s="52">
        <v>2030</v>
      </c>
      <c r="E570" s="34">
        <v>7</v>
      </c>
      <c r="F570" s="38">
        <f t="shared" si="94"/>
        <v>18419.896110817903</v>
      </c>
      <c r="G570" s="34">
        <f t="shared" si="95"/>
        <v>16</v>
      </c>
      <c r="H570" s="34">
        <f t="shared" si="96"/>
        <v>2</v>
      </c>
      <c r="I570" s="34" t="str">
        <f t="shared" ref="I570:R579" si="98">IF($D570&lt;$Z$18,"",IF(MAX($G570,INDEX($C$65:$F$108,$D570+I$119-2026,$H570))&lt;=12*I$119-$E570+12,MAX($G570,12*I$119-$E570+1,INDEX($C$65:$F$108,$D570+I$119-2026,$H570)),""))</f>
        <v/>
      </c>
      <c r="J570" s="34" t="str">
        <f t="shared" si="98"/>
        <v/>
      </c>
      <c r="K570" s="34" t="str">
        <f t="shared" si="98"/>
        <v/>
      </c>
      <c r="L570" s="34" t="str">
        <f t="shared" si="98"/>
        <v/>
      </c>
      <c r="M570" s="34" t="str">
        <f t="shared" si="98"/>
        <v/>
      </c>
      <c r="N570" s="34" t="str">
        <f t="shared" si="98"/>
        <v/>
      </c>
      <c r="O570" s="34" t="str">
        <f t="shared" si="98"/>
        <v/>
      </c>
      <c r="P570" s="34">
        <f t="shared" si="98"/>
        <v>84</v>
      </c>
      <c r="Q570" s="34">
        <f t="shared" si="98"/>
        <v>90</v>
      </c>
      <c r="R570" s="34">
        <f t="shared" si="98"/>
        <v>102</v>
      </c>
      <c r="S570" s="35">
        <f t="shared" si="97"/>
        <v>84</v>
      </c>
    </row>
    <row r="571" spans="2:19" hidden="1" outlineLevel="1">
      <c r="B571" s="14" t="s">
        <v>39</v>
      </c>
      <c r="C571" s="15" t="s">
        <v>66</v>
      </c>
      <c r="D571" s="52">
        <v>2030</v>
      </c>
      <c r="E571" s="34">
        <v>8</v>
      </c>
      <c r="F571" s="38">
        <f t="shared" si="94"/>
        <v>18419.896110817903</v>
      </c>
      <c r="G571" s="34">
        <f t="shared" si="95"/>
        <v>16</v>
      </c>
      <c r="H571" s="34">
        <f t="shared" si="96"/>
        <v>2</v>
      </c>
      <c r="I571" s="34" t="str">
        <f t="shared" si="98"/>
        <v/>
      </c>
      <c r="J571" s="34" t="str">
        <f t="shared" si="98"/>
        <v/>
      </c>
      <c r="K571" s="34" t="str">
        <f t="shared" si="98"/>
        <v/>
      </c>
      <c r="L571" s="34" t="str">
        <f t="shared" si="98"/>
        <v/>
      </c>
      <c r="M571" s="34" t="str">
        <f t="shared" si="98"/>
        <v/>
      </c>
      <c r="N571" s="34" t="str">
        <f t="shared" si="98"/>
        <v/>
      </c>
      <c r="O571" s="34" t="str">
        <f t="shared" si="98"/>
        <v/>
      </c>
      <c r="P571" s="34">
        <f t="shared" si="98"/>
        <v>84</v>
      </c>
      <c r="Q571" s="34">
        <f t="shared" si="98"/>
        <v>89</v>
      </c>
      <c r="R571" s="34">
        <f t="shared" si="98"/>
        <v>101</v>
      </c>
      <c r="S571" s="35">
        <f t="shared" si="97"/>
        <v>84</v>
      </c>
    </row>
    <row r="572" spans="2:19" hidden="1" outlineLevel="1">
      <c r="B572" s="14" t="s">
        <v>39</v>
      </c>
      <c r="C572" s="15" t="s">
        <v>66</v>
      </c>
      <c r="D572" s="52">
        <v>2030</v>
      </c>
      <c r="E572" s="34">
        <v>9</v>
      </c>
      <c r="F572" s="38">
        <f t="shared" si="94"/>
        <v>18419.896110817903</v>
      </c>
      <c r="G572" s="34">
        <f t="shared" si="95"/>
        <v>16</v>
      </c>
      <c r="H572" s="34">
        <f t="shared" si="96"/>
        <v>2</v>
      </c>
      <c r="I572" s="34" t="str">
        <f t="shared" si="98"/>
        <v/>
      </c>
      <c r="J572" s="34" t="str">
        <f t="shared" si="98"/>
        <v/>
      </c>
      <c r="K572" s="34" t="str">
        <f t="shared" si="98"/>
        <v/>
      </c>
      <c r="L572" s="34" t="str">
        <f t="shared" si="98"/>
        <v/>
      </c>
      <c r="M572" s="34" t="str">
        <f t="shared" si="98"/>
        <v/>
      </c>
      <c r="N572" s="34" t="str">
        <f t="shared" si="98"/>
        <v/>
      </c>
      <c r="O572" s="34" t="str">
        <f t="shared" si="98"/>
        <v/>
      </c>
      <c r="P572" s="34">
        <f t="shared" si="98"/>
        <v>84</v>
      </c>
      <c r="Q572" s="34">
        <f t="shared" si="98"/>
        <v>88</v>
      </c>
      <c r="R572" s="34">
        <f t="shared" si="98"/>
        <v>100</v>
      </c>
      <c r="S572" s="35">
        <f t="shared" si="97"/>
        <v>84</v>
      </c>
    </row>
    <row r="573" spans="2:19" hidden="1" outlineLevel="1">
      <c r="B573" s="14" t="s">
        <v>39</v>
      </c>
      <c r="C573" s="15" t="s">
        <v>66</v>
      </c>
      <c r="D573" s="52">
        <v>2030</v>
      </c>
      <c r="E573" s="34">
        <v>10</v>
      </c>
      <c r="F573" s="38">
        <f t="shared" si="94"/>
        <v>18419.896110817903</v>
      </c>
      <c r="G573" s="34">
        <f t="shared" si="95"/>
        <v>16</v>
      </c>
      <c r="H573" s="34">
        <f t="shared" si="96"/>
        <v>2</v>
      </c>
      <c r="I573" s="34" t="str">
        <f t="shared" si="98"/>
        <v/>
      </c>
      <c r="J573" s="34" t="str">
        <f t="shared" si="98"/>
        <v/>
      </c>
      <c r="K573" s="34" t="str">
        <f t="shared" si="98"/>
        <v/>
      </c>
      <c r="L573" s="34" t="str">
        <f t="shared" si="98"/>
        <v/>
      </c>
      <c r="M573" s="34" t="str">
        <f t="shared" si="98"/>
        <v/>
      </c>
      <c r="N573" s="34" t="str">
        <f t="shared" si="98"/>
        <v/>
      </c>
      <c r="O573" s="34" t="str">
        <f t="shared" si="98"/>
        <v/>
      </c>
      <c r="P573" s="34">
        <f t="shared" si="98"/>
        <v>84</v>
      </c>
      <c r="Q573" s="34">
        <f t="shared" si="98"/>
        <v>87</v>
      </c>
      <c r="R573" s="34">
        <f t="shared" si="98"/>
        <v>99</v>
      </c>
      <c r="S573" s="35">
        <f t="shared" si="97"/>
        <v>84</v>
      </c>
    </row>
    <row r="574" spans="2:19" hidden="1" outlineLevel="1">
      <c r="B574" s="14" t="s">
        <v>39</v>
      </c>
      <c r="C574" s="15" t="s">
        <v>66</v>
      </c>
      <c r="D574" s="52">
        <v>2030</v>
      </c>
      <c r="E574" s="34">
        <v>11</v>
      </c>
      <c r="F574" s="38">
        <f t="shared" si="94"/>
        <v>18419.896110817903</v>
      </c>
      <c r="G574" s="34">
        <f t="shared" si="95"/>
        <v>16</v>
      </c>
      <c r="H574" s="34">
        <f t="shared" si="96"/>
        <v>2</v>
      </c>
      <c r="I574" s="34" t="str">
        <f t="shared" si="98"/>
        <v/>
      </c>
      <c r="J574" s="34" t="str">
        <f t="shared" si="98"/>
        <v/>
      </c>
      <c r="K574" s="34" t="str">
        <f t="shared" si="98"/>
        <v/>
      </c>
      <c r="L574" s="34" t="str">
        <f t="shared" si="98"/>
        <v/>
      </c>
      <c r="M574" s="34" t="str">
        <f t="shared" si="98"/>
        <v/>
      </c>
      <c r="N574" s="34" t="str">
        <f t="shared" si="98"/>
        <v/>
      </c>
      <c r="O574" s="34" t="str">
        <f t="shared" si="98"/>
        <v/>
      </c>
      <c r="P574" s="34">
        <f t="shared" si="98"/>
        <v>84</v>
      </c>
      <c r="Q574" s="34">
        <f t="shared" si="98"/>
        <v>86</v>
      </c>
      <c r="R574" s="34">
        <f t="shared" si="98"/>
        <v>98</v>
      </c>
      <c r="S574" s="35">
        <f t="shared" si="97"/>
        <v>84</v>
      </c>
    </row>
    <row r="575" spans="2:19" hidden="1" outlineLevel="1">
      <c r="B575" s="14" t="s">
        <v>39</v>
      </c>
      <c r="C575" s="15" t="s">
        <v>66</v>
      </c>
      <c r="D575" s="52">
        <v>2030</v>
      </c>
      <c r="E575" s="34">
        <v>12</v>
      </c>
      <c r="F575" s="38">
        <f t="shared" si="94"/>
        <v>18419.896110817903</v>
      </c>
      <c r="G575" s="34">
        <f t="shared" si="95"/>
        <v>16</v>
      </c>
      <c r="H575" s="34">
        <f t="shared" si="96"/>
        <v>2</v>
      </c>
      <c r="I575" s="34" t="str">
        <f t="shared" si="98"/>
        <v/>
      </c>
      <c r="J575" s="34" t="str">
        <f t="shared" si="98"/>
        <v/>
      </c>
      <c r="K575" s="34" t="str">
        <f t="shared" si="98"/>
        <v/>
      </c>
      <c r="L575" s="34" t="str">
        <f t="shared" si="98"/>
        <v/>
      </c>
      <c r="M575" s="34" t="str">
        <f t="shared" si="98"/>
        <v/>
      </c>
      <c r="N575" s="34" t="str">
        <f t="shared" si="98"/>
        <v/>
      </c>
      <c r="O575" s="34" t="str">
        <f t="shared" si="98"/>
        <v/>
      </c>
      <c r="P575" s="34">
        <f t="shared" si="98"/>
        <v>84</v>
      </c>
      <c r="Q575" s="34">
        <f t="shared" si="98"/>
        <v>85</v>
      </c>
      <c r="R575" s="34">
        <f t="shared" si="98"/>
        <v>97</v>
      </c>
      <c r="S575" s="35">
        <f t="shared" si="97"/>
        <v>84</v>
      </c>
    </row>
    <row r="576" spans="2:19" hidden="1" outlineLevel="1">
      <c r="B576" s="14" t="s">
        <v>39</v>
      </c>
      <c r="C576" s="15" t="s">
        <v>66</v>
      </c>
      <c r="D576" s="52">
        <v>2031</v>
      </c>
      <c r="E576" s="34">
        <v>1</v>
      </c>
      <c r="F576" s="38">
        <f t="shared" si="94"/>
        <v>18955.499692633253</v>
      </c>
      <c r="G576" s="34">
        <f t="shared" si="95"/>
        <v>16</v>
      </c>
      <c r="H576" s="34">
        <f t="shared" si="96"/>
        <v>2</v>
      </c>
      <c r="I576" s="34" t="str">
        <f t="shared" si="98"/>
        <v/>
      </c>
      <c r="J576" s="34" t="str">
        <f t="shared" si="98"/>
        <v/>
      </c>
      <c r="K576" s="34" t="str">
        <f t="shared" si="98"/>
        <v/>
      </c>
      <c r="L576" s="34" t="str">
        <f t="shared" si="98"/>
        <v/>
      </c>
      <c r="M576" s="34" t="str">
        <f t="shared" si="98"/>
        <v/>
      </c>
      <c r="N576" s="34" t="str">
        <f t="shared" si="98"/>
        <v/>
      </c>
      <c r="O576" s="34" t="str">
        <f t="shared" si="98"/>
        <v/>
      </c>
      <c r="P576" s="34">
        <f t="shared" si="98"/>
        <v>84</v>
      </c>
      <c r="Q576" s="34">
        <f t="shared" si="98"/>
        <v>96</v>
      </c>
      <c r="R576" s="34">
        <f t="shared" si="98"/>
        <v>108</v>
      </c>
      <c r="S576" s="35">
        <f t="shared" si="97"/>
        <v>84</v>
      </c>
    </row>
    <row r="577" spans="2:19" hidden="1" outlineLevel="1">
      <c r="B577" s="14" t="s">
        <v>39</v>
      </c>
      <c r="C577" s="15" t="s">
        <v>66</v>
      </c>
      <c r="D577" s="52">
        <v>2031</v>
      </c>
      <c r="E577" s="34">
        <v>2</v>
      </c>
      <c r="F577" s="38">
        <f t="shared" si="94"/>
        <v>18955.499692633253</v>
      </c>
      <c r="G577" s="34">
        <f t="shared" si="95"/>
        <v>16</v>
      </c>
      <c r="H577" s="34">
        <f t="shared" si="96"/>
        <v>2</v>
      </c>
      <c r="I577" s="34" t="str">
        <f t="shared" si="98"/>
        <v/>
      </c>
      <c r="J577" s="34" t="str">
        <f t="shared" si="98"/>
        <v/>
      </c>
      <c r="K577" s="34" t="str">
        <f t="shared" si="98"/>
        <v/>
      </c>
      <c r="L577" s="34" t="str">
        <f t="shared" si="98"/>
        <v/>
      </c>
      <c r="M577" s="34" t="str">
        <f t="shared" si="98"/>
        <v/>
      </c>
      <c r="N577" s="34" t="str">
        <f t="shared" si="98"/>
        <v/>
      </c>
      <c r="O577" s="34" t="str">
        <f t="shared" si="98"/>
        <v/>
      </c>
      <c r="P577" s="34">
        <f t="shared" si="98"/>
        <v>84</v>
      </c>
      <c r="Q577" s="34">
        <f t="shared" si="98"/>
        <v>95</v>
      </c>
      <c r="R577" s="34">
        <f t="shared" si="98"/>
        <v>107</v>
      </c>
      <c r="S577" s="35">
        <f t="shared" si="97"/>
        <v>84</v>
      </c>
    </row>
    <row r="578" spans="2:19" hidden="1" outlineLevel="1">
      <c r="B578" s="14" t="s">
        <v>39</v>
      </c>
      <c r="C578" s="15" t="s">
        <v>66</v>
      </c>
      <c r="D578" s="52">
        <v>2031</v>
      </c>
      <c r="E578" s="34">
        <v>3</v>
      </c>
      <c r="F578" s="38">
        <f t="shared" si="94"/>
        <v>18955.499692633253</v>
      </c>
      <c r="G578" s="34">
        <f t="shared" si="95"/>
        <v>16</v>
      </c>
      <c r="H578" s="34">
        <f t="shared" si="96"/>
        <v>2</v>
      </c>
      <c r="I578" s="34" t="str">
        <f t="shared" si="98"/>
        <v/>
      </c>
      <c r="J578" s="34" t="str">
        <f t="shared" si="98"/>
        <v/>
      </c>
      <c r="K578" s="34" t="str">
        <f t="shared" si="98"/>
        <v/>
      </c>
      <c r="L578" s="34" t="str">
        <f t="shared" si="98"/>
        <v/>
      </c>
      <c r="M578" s="34" t="str">
        <f t="shared" si="98"/>
        <v/>
      </c>
      <c r="N578" s="34" t="str">
        <f t="shared" si="98"/>
        <v/>
      </c>
      <c r="O578" s="34" t="str">
        <f t="shared" si="98"/>
        <v/>
      </c>
      <c r="P578" s="34">
        <f t="shared" si="98"/>
        <v>84</v>
      </c>
      <c r="Q578" s="34">
        <f t="shared" si="98"/>
        <v>94</v>
      </c>
      <c r="R578" s="34">
        <f t="shared" si="98"/>
        <v>106</v>
      </c>
      <c r="S578" s="35">
        <f t="shared" si="97"/>
        <v>84</v>
      </c>
    </row>
    <row r="579" spans="2:19" hidden="1" outlineLevel="1">
      <c r="B579" s="14" t="s">
        <v>39</v>
      </c>
      <c r="C579" s="15" t="s">
        <v>66</v>
      </c>
      <c r="D579" s="52">
        <v>2031</v>
      </c>
      <c r="E579" s="34">
        <v>4</v>
      </c>
      <c r="F579" s="38">
        <f t="shared" si="94"/>
        <v>18955.499692633253</v>
      </c>
      <c r="G579" s="34">
        <f t="shared" si="95"/>
        <v>16</v>
      </c>
      <c r="H579" s="34">
        <f t="shared" si="96"/>
        <v>2</v>
      </c>
      <c r="I579" s="34" t="str">
        <f t="shared" si="98"/>
        <v/>
      </c>
      <c r="J579" s="34" t="str">
        <f t="shared" si="98"/>
        <v/>
      </c>
      <c r="K579" s="34" t="str">
        <f t="shared" si="98"/>
        <v/>
      </c>
      <c r="L579" s="34" t="str">
        <f t="shared" si="98"/>
        <v/>
      </c>
      <c r="M579" s="34" t="str">
        <f t="shared" si="98"/>
        <v/>
      </c>
      <c r="N579" s="34" t="str">
        <f t="shared" si="98"/>
        <v/>
      </c>
      <c r="O579" s="34" t="str">
        <f t="shared" si="98"/>
        <v/>
      </c>
      <c r="P579" s="34">
        <f t="shared" si="98"/>
        <v>84</v>
      </c>
      <c r="Q579" s="34">
        <f t="shared" si="98"/>
        <v>93</v>
      </c>
      <c r="R579" s="34">
        <f t="shared" si="98"/>
        <v>105</v>
      </c>
      <c r="S579" s="35">
        <f t="shared" si="97"/>
        <v>84</v>
      </c>
    </row>
    <row r="580" spans="2:19" hidden="1" outlineLevel="1">
      <c r="B580" s="14" t="s">
        <v>39</v>
      </c>
      <c r="C580" s="15" t="s">
        <v>66</v>
      </c>
      <c r="D580" s="52">
        <v>2031</v>
      </c>
      <c r="E580" s="34">
        <v>5</v>
      </c>
      <c r="F580" s="38">
        <f t="shared" si="94"/>
        <v>18955.499692633253</v>
      </c>
      <c r="G580" s="34">
        <f t="shared" si="95"/>
        <v>16</v>
      </c>
      <c r="H580" s="34">
        <f t="shared" si="96"/>
        <v>2</v>
      </c>
      <c r="I580" s="34" t="str">
        <f t="shared" ref="I580:R589" si="99">IF($D580&lt;$Z$18,"",IF(MAX($G580,INDEX($C$65:$F$108,$D580+I$119-2026,$H580))&lt;=12*I$119-$E580+12,MAX($G580,12*I$119-$E580+1,INDEX($C$65:$F$108,$D580+I$119-2026,$H580)),""))</f>
        <v/>
      </c>
      <c r="J580" s="34" t="str">
        <f t="shared" si="99"/>
        <v/>
      </c>
      <c r="K580" s="34" t="str">
        <f t="shared" si="99"/>
        <v/>
      </c>
      <c r="L580" s="34" t="str">
        <f t="shared" si="99"/>
        <v/>
      </c>
      <c r="M580" s="34" t="str">
        <f t="shared" si="99"/>
        <v/>
      </c>
      <c r="N580" s="34" t="str">
        <f t="shared" si="99"/>
        <v/>
      </c>
      <c r="O580" s="34" t="str">
        <f t="shared" si="99"/>
        <v/>
      </c>
      <c r="P580" s="34">
        <f t="shared" si="99"/>
        <v>84</v>
      </c>
      <c r="Q580" s="34">
        <f t="shared" si="99"/>
        <v>92</v>
      </c>
      <c r="R580" s="34">
        <f t="shared" si="99"/>
        <v>104</v>
      </c>
      <c r="S580" s="35">
        <f t="shared" si="97"/>
        <v>84</v>
      </c>
    </row>
    <row r="581" spans="2:19" hidden="1" outlineLevel="1">
      <c r="B581" s="14" t="s">
        <v>39</v>
      </c>
      <c r="C581" s="15" t="s">
        <v>66</v>
      </c>
      <c r="D581" s="52">
        <v>2031</v>
      </c>
      <c r="E581" s="34">
        <v>6</v>
      </c>
      <c r="F581" s="38">
        <f t="shared" si="94"/>
        <v>18955.499692633253</v>
      </c>
      <c r="G581" s="34">
        <f t="shared" si="95"/>
        <v>16</v>
      </c>
      <c r="H581" s="34">
        <f t="shared" si="96"/>
        <v>2</v>
      </c>
      <c r="I581" s="34" t="str">
        <f t="shared" si="99"/>
        <v/>
      </c>
      <c r="J581" s="34" t="str">
        <f t="shared" si="99"/>
        <v/>
      </c>
      <c r="K581" s="34" t="str">
        <f t="shared" si="99"/>
        <v/>
      </c>
      <c r="L581" s="34" t="str">
        <f t="shared" si="99"/>
        <v/>
      </c>
      <c r="M581" s="34" t="str">
        <f t="shared" si="99"/>
        <v/>
      </c>
      <c r="N581" s="34" t="str">
        <f t="shared" si="99"/>
        <v/>
      </c>
      <c r="O581" s="34" t="str">
        <f t="shared" si="99"/>
        <v/>
      </c>
      <c r="P581" s="34">
        <f t="shared" si="99"/>
        <v>84</v>
      </c>
      <c r="Q581" s="34">
        <f t="shared" si="99"/>
        <v>91</v>
      </c>
      <c r="R581" s="34">
        <f t="shared" si="99"/>
        <v>103</v>
      </c>
      <c r="S581" s="35">
        <f t="shared" si="97"/>
        <v>84</v>
      </c>
    </row>
    <row r="582" spans="2:19" hidden="1" outlineLevel="1">
      <c r="B582" s="14" t="s">
        <v>39</v>
      </c>
      <c r="C582" s="15" t="s">
        <v>66</v>
      </c>
      <c r="D582" s="52">
        <v>2031</v>
      </c>
      <c r="E582" s="34">
        <v>7</v>
      </c>
      <c r="F582" s="38">
        <f t="shared" si="94"/>
        <v>18955.499692633253</v>
      </c>
      <c r="G582" s="34">
        <f t="shared" si="95"/>
        <v>16</v>
      </c>
      <c r="H582" s="34">
        <f t="shared" si="96"/>
        <v>2</v>
      </c>
      <c r="I582" s="34" t="str">
        <f t="shared" si="99"/>
        <v/>
      </c>
      <c r="J582" s="34" t="str">
        <f t="shared" si="99"/>
        <v/>
      </c>
      <c r="K582" s="34" t="str">
        <f t="shared" si="99"/>
        <v/>
      </c>
      <c r="L582" s="34" t="str">
        <f t="shared" si="99"/>
        <v/>
      </c>
      <c r="M582" s="34" t="str">
        <f t="shared" si="99"/>
        <v/>
      </c>
      <c r="N582" s="34" t="str">
        <f t="shared" si="99"/>
        <v/>
      </c>
      <c r="O582" s="34" t="str">
        <f t="shared" si="99"/>
        <v/>
      </c>
      <c r="P582" s="34">
        <f t="shared" si="99"/>
        <v>84</v>
      </c>
      <c r="Q582" s="34">
        <f t="shared" si="99"/>
        <v>90</v>
      </c>
      <c r="R582" s="34">
        <f t="shared" si="99"/>
        <v>102</v>
      </c>
      <c r="S582" s="35">
        <f t="shared" si="97"/>
        <v>84</v>
      </c>
    </row>
    <row r="583" spans="2:19" hidden="1" outlineLevel="1">
      <c r="B583" s="14" t="s">
        <v>39</v>
      </c>
      <c r="C583" s="15" t="s">
        <v>66</v>
      </c>
      <c r="D583" s="52">
        <v>2031</v>
      </c>
      <c r="E583" s="34">
        <v>8</v>
      </c>
      <c r="F583" s="38">
        <f t="shared" si="94"/>
        <v>18955.499692633253</v>
      </c>
      <c r="G583" s="34">
        <f t="shared" si="95"/>
        <v>16</v>
      </c>
      <c r="H583" s="34">
        <f t="shared" si="96"/>
        <v>2</v>
      </c>
      <c r="I583" s="34" t="str">
        <f t="shared" si="99"/>
        <v/>
      </c>
      <c r="J583" s="34" t="str">
        <f t="shared" si="99"/>
        <v/>
      </c>
      <c r="K583" s="34" t="str">
        <f t="shared" si="99"/>
        <v/>
      </c>
      <c r="L583" s="34" t="str">
        <f t="shared" si="99"/>
        <v/>
      </c>
      <c r="M583" s="34" t="str">
        <f t="shared" si="99"/>
        <v/>
      </c>
      <c r="N583" s="34" t="str">
        <f t="shared" si="99"/>
        <v/>
      </c>
      <c r="O583" s="34" t="str">
        <f t="shared" si="99"/>
        <v/>
      </c>
      <c r="P583" s="34">
        <f t="shared" si="99"/>
        <v>84</v>
      </c>
      <c r="Q583" s="34">
        <f t="shared" si="99"/>
        <v>89</v>
      </c>
      <c r="R583" s="34">
        <f t="shared" si="99"/>
        <v>101</v>
      </c>
      <c r="S583" s="35">
        <f t="shared" si="97"/>
        <v>84</v>
      </c>
    </row>
    <row r="584" spans="2:19" hidden="1" outlineLevel="1">
      <c r="B584" s="14" t="s">
        <v>39</v>
      </c>
      <c r="C584" s="15" t="s">
        <v>66</v>
      </c>
      <c r="D584" s="52">
        <v>2031</v>
      </c>
      <c r="E584" s="34">
        <v>9</v>
      </c>
      <c r="F584" s="38">
        <f t="shared" si="94"/>
        <v>18955.499692633253</v>
      </c>
      <c r="G584" s="34">
        <f t="shared" si="95"/>
        <v>16</v>
      </c>
      <c r="H584" s="34">
        <f t="shared" si="96"/>
        <v>2</v>
      </c>
      <c r="I584" s="34" t="str">
        <f t="shared" si="99"/>
        <v/>
      </c>
      <c r="J584" s="34" t="str">
        <f t="shared" si="99"/>
        <v/>
      </c>
      <c r="K584" s="34" t="str">
        <f t="shared" si="99"/>
        <v/>
      </c>
      <c r="L584" s="34" t="str">
        <f t="shared" si="99"/>
        <v/>
      </c>
      <c r="M584" s="34" t="str">
        <f t="shared" si="99"/>
        <v/>
      </c>
      <c r="N584" s="34" t="str">
        <f t="shared" si="99"/>
        <v/>
      </c>
      <c r="O584" s="34" t="str">
        <f t="shared" si="99"/>
        <v/>
      </c>
      <c r="P584" s="34">
        <f t="shared" si="99"/>
        <v>84</v>
      </c>
      <c r="Q584" s="34">
        <f t="shared" si="99"/>
        <v>88</v>
      </c>
      <c r="R584" s="34">
        <f t="shared" si="99"/>
        <v>100</v>
      </c>
      <c r="S584" s="35">
        <f t="shared" si="97"/>
        <v>84</v>
      </c>
    </row>
    <row r="585" spans="2:19" hidden="1" outlineLevel="1">
      <c r="B585" s="14" t="s">
        <v>39</v>
      </c>
      <c r="C585" s="15" t="s">
        <v>66</v>
      </c>
      <c r="D585" s="52">
        <v>2031</v>
      </c>
      <c r="E585" s="34">
        <v>10</v>
      </c>
      <c r="F585" s="38">
        <f t="shared" si="94"/>
        <v>18955.499692633253</v>
      </c>
      <c r="G585" s="34">
        <f t="shared" si="95"/>
        <v>16</v>
      </c>
      <c r="H585" s="34">
        <f t="shared" si="96"/>
        <v>2</v>
      </c>
      <c r="I585" s="34" t="str">
        <f t="shared" si="99"/>
        <v/>
      </c>
      <c r="J585" s="34" t="str">
        <f t="shared" si="99"/>
        <v/>
      </c>
      <c r="K585" s="34" t="str">
        <f t="shared" si="99"/>
        <v/>
      </c>
      <c r="L585" s="34" t="str">
        <f t="shared" si="99"/>
        <v/>
      </c>
      <c r="M585" s="34" t="str">
        <f t="shared" si="99"/>
        <v/>
      </c>
      <c r="N585" s="34" t="str">
        <f t="shared" si="99"/>
        <v/>
      </c>
      <c r="O585" s="34" t="str">
        <f t="shared" si="99"/>
        <v/>
      </c>
      <c r="P585" s="34">
        <f t="shared" si="99"/>
        <v>84</v>
      </c>
      <c r="Q585" s="34">
        <f t="shared" si="99"/>
        <v>87</v>
      </c>
      <c r="R585" s="34">
        <f t="shared" si="99"/>
        <v>99</v>
      </c>
      <c r="S585" s="35">
        <f t="shared" si="97"/>
        <v>84</v>
      </c>
    </row>
    <row r="586" spans="2:19" hidden="1" outlineLevel="1">
      <c r="B586" s="14" t="s">
        <v>39</v>
      </c>
      <c r="C586" s="15" t="s">
        <v>66</v>
      </c>
      <c r="D586" s="52">
        <v>2031</v>
      </c>
      <c r="E586" s="34">
        <v>11</v>
      </c>
      <c r="F586" s="38">
        <f t="shared" si="94"/>
        <v>18955.499692633253</v>
      </c>
      <c r="G586" s="34">
        <f t="shared" si="95"/>
        <v>16</v>
      </c>
      <c r="H586" s="34">
        <f t="shared" si="96"/>
        <v>2</v>
      </c>
      <c r="I586" s="34" t="str">
        <f t="shared" si="99"/>
        <v/>
      </c>
      <c r="J586" s="34" t="str">
        <f t="shared" si="99"/>
        <v/>
      </c>
      <c r="K586" s="34" t="str">
        <f t="shared" si="99"/>
        <v/>
      </c>
      <c r="L586" s="34" t="str">
        <f t="shared" si="99"/>
        <v/>
      </c>
      <c r="M586" s="34" t="str">
        <f t="shared" si="99"/>
        <v/>
      </c>
      <c r="N586" s="34" t="str">
        <f t="shared" si="99"/>
        <v/>
      </c>
      <c r="O586" s="34" t="str">
        <f t="shared" si="99"/>
        <v/>
      </c>
      <c r="P586" s="34">
        <f t="shared" si="99"/>
        <v>84</v>
      </c>
      <c r="Q586" s="34">
        <f t="shared" si="99"/>
        <v>86</v>
      </c>
      <c r="R586" s="34">
        <f t="shared" si="99"/>
        <v>98</v>
      </c>
      <c r="S586" s="35">
        <f t="shared" si="97"/>
        <v>84</v>
      </c>
    </row>
    <row r="587" spans="2:19" hidden="1" outlineLevel="1">
      <c r="B587" s="14" t="s">
        <v>39</v>
      </c>
      <c r="C587" s="15" t="s">
        <v>66</v>
      </c>
      <c r="D587" s="52">
        <v>2031</v>
      </c>
      <c r="E587" s="34">
        <v>12</v>
      </c>
      <c r="F587" s="38">
        <f t="shared" si="94"/>
        <v>18955.499692633253</v>
      </c>
      <c r="G587" s="34">
        <f t="shared" si="95"/>
        <v>16</v>
      </c>
      <c r="H587" s="34">
        <f t="shared" si="96"/>
        <v>2</v>
      </c>
      <c r="I587" s="34" t="str">
        <f t="shared" si="99"/>
        <v/>
      </c>
      <c r="J587" s="34" t="str">
        <f t="shared" si="99"/>
        <v/>
      </c>
      <c r="K587" s="34" t="str">
        <f t="shared" si="99"/>
        <v/>
      </c>
      <c r="L587" s="34" t="str">
        <f t="shared" si="99"/>
        <v/>
      </c>
      <c r="M587" s="34" t="str">
        <f t="shared" si="99"/>
        <v/>
      </c>
      <c r="N587" s="34" t="str">
        <f t="shared" si="99"/>
        <v/>
      </c>
      <c r="O587" s="34" t="str">
        <f t="shared" si="99"/>
        <v/>
      </c>
      <c r="P587" s="34">
        <f t="shared" si="99"/>
        <v>84</v>
      </c>
      <c r="Q587" s="34">
        <f t="shared" si="99"/>
        <v>85</v>
      </c>
      <c r="R587" s="34">
        <f t="shared" si="99"/>
        <v>97</v>
      </c>
      <c r="S587" s="35">
        <f t="shared" si="97"/>
        <v>84</v>
      </c>
    </row>
    <row r="588" spans="2:19" hidden="1" outlineLevel="1">
      <c r="B588" s="14" t="s">
        <v>39</v>
      </c>
      <c r="C588" s="15" t="s">
        <v>66</v>
      </c>
      <c r="D588" s="52">
        <v>2032</v>
      </c>
      <c r="E588" s="34">
        <v>1</v>
      </c>
      <c r="F588" s="38">
        <f t="shared" si="94"/>
        <v>19589.072685865794</v>
      </c>
      <c r="G588" s="34">
        <f t="shared" si="95"/>
        <v>16</v>
      </c>
      <c r="H588" s="34">
        <f t="shared" si="96"/>
        <v>2</v>
      </c>
      <c r="I588" s="34" t="str">
        <f t="shared" si="99"/>
        <v/>
      </c>
      <c r="J588" s="34" t="str">
        <f t="shared" si="99"/>
        <v/>
      </c>
      <c r="K588" s="34" t="str">
        <f t="shared" si="99"/>
        <v/>
      </c>
      <c r="L588" s="34" t="str">
        <f t="shared" si="99"/>
        <v/>
      </c>
      <c r="M588" s="34" t="str">
        <f t="shared" si="99"/>
        <v/>
      </c>
      <c r="N588" s="34" t="str">
        <f t="shared" si="99"/>
        <v/>
      </c>
      <c r="O588" s="34" t="str">
        <f t="shared" si="99"/>
        <v/>
      </c>
      <c r="P588" s="34">
        <f t="shared" si="99"/>
        <v>84</v>
      </c>
      <c r="Q588" s="34">
        <f t="shared" si="99"/>
        <v>96</v>
      </c>
      <c r="R588" s="34">
        <f t="shared" si="99"/>
        <v>108</v>
      </c>
      <c r="S588" s="35">
        <f t="shared" si="97"/>
        <v>84</v>
      </c>
    </row>
    <row r="589" spans="2:19" hidden="1" outlineLevel="1">
      <c r="B589" s="14" t="s">
        <v>39</v>
      </c>
      <c r="C589" s="15" t="s">
        <v>66</v>
      </c>
      <c r="D589" s="52">
        <v>2032</v>
      </c>
      <c r="E589" s="34">
        <v>2</v>
      </c>
      <c r="F589" s="38">
        <f t="shared" si="94"/>
        <v>19589.072685865794</v>
      </c>
      <c r="G589" s="34">
        <f t="shared" si="95"/>
        <v>16</v>
      </c>
      <c r="H589" s="34">
        <f t="shared" si="96"/>
        <v>2</v>
      </c>
      <c r="I589" s="34" t="str">
        <f t="shared" si="99"/>
        <v/>
      </c>
      <c r="J589" s="34" t="str">
        <f t="shared" si="99"/>
        <v/>
      </c>
      <c r="K589" s="34" t="str">
        <f t="shared" si="99"/>
        <v/>
      </c>
      <c r="L589" s="34" t="str">
        <f t="shared" si="99"/>
        <v/>
      </c>
      <c r="M589" s="34" t="str">
        <f t="shared" si="99"/>
        <v/>
      </c>
      <c r="N589" s="34" t="str">
        <f t="shared" si="99"/>
        <v/>
      </c>
      <c r="O589" s="34" t="str">
        <f t="shared" si="99"/>
        <v/>
      </c>
      <c r="P589" s="34">
        <f t="shared" si="99"/>
        <v>84</v>
      </c>
      <c r="Q589" s="34">
        <f t="shared" si="99"/>
        <v>95</v>
      </c>
      <c r="R589" s="34">
        <f t="shared" si="99"/>
        <v>107</v>
      </c>
      <c r="S589" s="35">
        <f t="shared" si="97"/>
        <v>84</v>
      </c>
    </row>
    <row r="590" spans="2:19" hidden="1" outlineLevel="1">
      <c r="B590" s="14" t="s">
        <v>39</v>
      </c>
      <c r="C590" s="15" t="s">
        <v>66</v>
      </c>
      <c r="D590" s="52">
        <v>2032</v>
      </c>
      <c r="E590" s="34">
        <v>3</v>
      </c>
      <c r="F590" s="38">
        <f t="shared" si="94"/>
        <v>19589.072685865794</v>
      </c>
      <c r="G590" s="34">
        <f t="shared" si="95"/>
        <v>16</v>
      </c>
      <c r="H590" s="34">
        <f t="shared" si="96"/>
        <v>2</v>
      </c>
      <c r="I590" s="34" t="str">
        <f t="shared" ref="I590:R599" si="100">IF($D590&lt;$Z$18,"",IF(MAX($G590,INDEX($C$65:$F$108,$D590+I$119-2026,$H590))&lt;=12*I$119-$E590+12,MAX($G590,12*I$119-$E590+1,INDEX($C$65:$F$108,$D590+I$119-2026,$H590)),""))</f>
        <v/>
      </c>
      <c r="J590" s="34" t="str">
        <f t="shared" si="100"/>
        <v/>
      </c>
      <c r="K590" s="34" t="str">
        <f t="shared" si="100"/>
        <v/>
      </c>
      <c r="L590" s="34" t="str">
        <f t="shared" si="100"/>
        <v/>
      </c>
      <c r="M590" s="34" t="str">
        <f t="shared" si="100"/>
        <v/>
      </c>
      <c r="N590" s="34" t="str">
        <f t="shared" si="100"/>
        <v/>
      </c>
      <c r="O590" s="34" t="str">
        <f t="shared" si="100"/>
        <v/>
      </c>
      <c r="P590" s="34">
        <f t="shared" si="100"/>
        <v>84</v>
      </c>
      <c r="Q590" s="34">
        <f t="shared" si="100"/>
        <v>94</v>
      </c>
      <c r="R590" s="34">
        <f t="shared" si="100"/>
        <v>106</v>
      </c>
      <c r="S590" s="35">
        <f t="shared" si="97"/>
        <v>84</v>
      </c>
    </row>
    <row r="591" spans="2:19" hidden="1" outlineLevel="1">
      <c r="B591" s="14" t="s">
        <v>39</v>
      </c>
      <c r="C591" s="15" t="s">
        <v>66</v>
      </c>
      <c r="D591" s="52">
        <v>2032</v>
      </c>
      <c r="E591" s="34">
        <v>4</v>
      </c>
      <c r="F591" s="38">
        <f t="shared" si="94"/>
        <v>19589.072685865794</v>
      </c>
      <c r="G591" s="34">
        <f t="shared" si="95"/>
        <v>16</v>
      </c>
      <c r="H591" s="34">
        <f t="shared" si="96"/>
        <v>2</v>
      </c>
      <c r="I591" s="34" t="str">
        <f t="shared" si="100"/>
        <v/>
      </c>
      <c r="J591" s="34" t="str">
        <f t="shared" si="100"/>
        <v/>
      </c>
      <c r="K591" s="34" t="str">
        <f t="shared" si="100"/>
        <v/>
      </c>
      <c r="L591" s="34" t="str">
        <f t="shared" si="100"/>
        <v/>
      </c>
      <c r="M591" s="34" t="str">
        <f t="shared" si="100"/>
        <v/>
      </c>
      <c r="N591" s="34" t="str">
        <f t="shared" si="100"/>
        <v/>
      </c>
      <c r="O591" s="34" t="str">
        <f t="shared" si="100"/>
        <v/>
      </c>
      <c r="P591" s="34">
        <f t="shared" si="100"/>
        <v>84</v>
      </c>
      <c r="Q591" s="34">
        <f t="shared" si="100"/>
        <v>93</v>
      </c>
      <c r="R591" s="34">
        <f t="shared" si="100"/>
        <v>105</v>
      </c>
      <c r="S591" s="35">
        <f t="shared" si="97"/>
        <v>84</v>
      </c>
    </row>
    <row r="592" spans="2:19" hidden="1" outlineLevel="1">
      <c r="B592" s="14" t="s">
        <v>39</v>
      </c>
      <c r="C592" s="15" t="s">
        <v>66</v>
      </c>
      <c r="D592" s="52">
        <v>2032</v>
      </c>
      <c r="E592" s="34">
        <v>5</v>
      </c>
      <c r="F592" s="38">
        <f t="shared" si="94"/>
        <v>19589.072685865794</v>
      </c>
      <c r="G592" s="34">
        <f t="shared" si="95"/>
        <v>16</v>
      </c>
      <c r="H592" s="34">
        <f t="shared" si="96"/>
        <v>2</v>
      </c>
      <c r="I592" s="34" t="str">
        <f t="shared" si="100"/>
        <v/>
      </c>
      <c r="J592" s="34" t="str">
        <f t="shared" si="100"/>
        <v/>
      </c>
      <c r="K592" s="34" t="str">
        <f t="shared" si="100"/>
        <v/>
      </c>
      <c r="L592" s="34" t="str">
        <f t="shared" si="100"/>
        <v/>
      </c>
      <c r="M592" s="34" t="str">
        <f t="shared" si="100"/>
        <v/>
      </c>
      <c r="N592" s="34" t="str">
        <f t="shared" si="100"/>
        <v/>
      </c>
      <c r="O592" s="34" t="str">
        <f t="shared" si="100"/>
        <v/>
      </c>
      <c r="P592" s="34">
        <f t="shared" si="100"/>
        <v>84</v>
      </c>
      <c r="Q592" s="34">
        <f t="shared" si="100"/>
        <v>92</v>
      </c>
      <c r="R592" s="34">
        <f t="shared" si="100"/>
        <v>104</v>
      </c>
      <c r="S592" s="35">
        <f t="shared" si="97"/>
        <v>84</v>
      </c>
    </row>
    <row r="593" spans="2:19" hidden="1" outlineLevel="1">
      <c r="B593" s="14" t="s">
        <v>39</v>
      </c>
      <c r="C593" s="15" t="s">
        <v>66</v>
      </c>
      <c r="D593" s="52">
        <v>2032</v>
      </c>
      <c r="E593" s="34">
        <v>6</v>
      </c>
      <c r="F593" s="38">
        <f t="shared" si="94"/>
        <v>19589.072685865794</v>
      </c>
      <c r="G593" s="34">
        <f t="shared" si="95"/>
        <v>16</v>
      </c>
      <c r="H593" s="34">
        <f t="shared" si="96"/>
        <v>2</v>
      </c>
      <c r="I593" s="34" t="str">
        <f t="shared" si="100"/>
        <v/>
      </c>
      <c r="J593" s="34" t="str">
        <f t="shared" si="100"/>
        <v/>
      </c>
      <c r="K593" s="34" t="str">
        <f t="shared" si="100"/>
        <v/>
      </c>
      <c r="L593" s="34" t="str">
        <f t="shared" si="100"/>
        <v/>
      </c>
      <c r="M593" s="34" t="str">
        <f t="shared" si="100"/>
        <v/>
      </c>
      <c r="N593" s="34" t="str">
        <f t="shared" si="100"/>
        <v/>
      </c>
      <c r="O593" s="34" t="str">
        <f t="shared" si="100"/>
        <v/>
      </c>
      <c r="P593" s="34">
        <f t="shared" si="100"/>
        <v>84</v>
      </c>
      <c r="Q593" s="34">
        <f t="shared" si="100"/>
        <v>91</v>
      </c>
      <c r="R593" s="34">
        <f t="shared" si="100"/>
        <v>103</v>
      </c>
      <c r="S593" s="35">
        <f t="shared" si="97"/>
        <v>84</v>
      </c>
    </row>
    <row r="594" spans="2:19" hidden="1" outlineLevel="1">
      <c r="B594" s="14" t="s">
        <v>39</v>
      </c>
      <c r="C594" s="15" t="s">
        <v>66</v>
      </c>
      <c r="D594" s="52">
        <v>2032</v>
      </c>
      <c r="E594" s="34">
        <v>7</v>
      </c>
      <c r="F594" s="38">
        <f t="shared" si="94"/>
        <v>19589.072685865794</v>
      </c>
      <c r="G594" s="34">
        <f t="shared" si="95"/>
        <v>16</v>
      </c>
      <c r="H594" s="34">
        <f t="shared" si="96"/>
        <v>2</v>
      </c>
      <c r="I594" s="34" t="str">
        <f t="shared" si="100"/>
        <v/>
      </c>
      <c r="J594" s="34" t="str">
        <f t="shared" si="100"/>
        <v/>
      </c>
      <c r="K594" s="34" t="str">
        <f t="shared" si="100"/>
        <v/>
      </c>
      <c r="L594" s="34" t="str">
        <f t="shared" si="100"/>
        <v/>
      </c>
      <c r="M594" s="34" t="str">
        <f t="shared" si="100"/>
        <v/>
      </c>
      <c r="N594" s="34" t="str">
        <f t="shared" si="100"/>
        <v/>
      </c>
      <c r="O594" s="34" t="str">
        <f t="shared" si="100"/>
        <v/>
      </c>
      <c r="P594" s="34">
        <f t="shared" si="100"/>
        <v>84</v>
      </c>
      <c r="Q594" s="34">
        <f t="shared" si="100"/>
        <v>90</v>
      </c>
      <c r="R594" s="34">
        <f t="shared" si="100"/>
        <v>102</v>
      </c>
      <c r="S594" s="35">
        <f t="shared" si="97"/>
        <v>84</v>
      </c>
    </row>
    <row r="595" spans="2:19" hidden="1" outlineLevel="1">
      <c r="B595" s="14" t="s">
        <v>39</v>
      </c>
      <c r="C595" s="15" t="s">
        <v>66</v>
      </c>
      <c r="D595" s="52">
        <v>2032</v>
      </c>
      <c r="E595" s="34">
        <v>8</v>
      </c>
      <c r="F595" s="38">
        <f t="shared" si="94"/>
        <v>19589.072685865794</v>
      </c>
      <c r="G595" s="34">
        <f t="shared" si="95"/>
        <v>16</v>
      </c>
      <c r="H595" s="34">
        <f t="shared" si="96"/>
        <v>2</v>
      </c>
      <c r="I595" s="34" t="str">
        <f t="shared" si="100"/>
        <v/>
      </c>
      <c r="J595" s="34" t="str">
        <f t="shared" si="100"/>
        <v/>
      </c>
      <c r="K595" s="34" t="str">
        <f t="shared" si="100"/>
        <v/>
      </c>
      <c r="L595" s="34" t="str">
        <f t="shared" si="100"/>
        <v/>
      </c>
      <c r="M595" s="34" t="str">
        <f t="shared" si="100"/>
        <v/>
      </c>
      <c r="N595" s="34" t="str">
        <f t="shared" si="100"/>
        <v/>
      </c>
      <c r="O595" s="34" t="str">
        <f t="shared" si="100"/>
        <v/>
      </c>
      <c r="P595" s="34">
        <f t="shared" si="100"/>
        <v>84</v>
      </c>
      <c r="Q595" s="34">
        <f t="shared" si="100"/>
        <v>89</v>
      </c>
      <c r="R595" s="34">
        <f t="shared" si="100"/>
        <v>101</v>
      </c>
      <c r="S595" s="35">
        <f t="shared" si="97"/>
        <v>84</v>
      </c>
    </row>
    <row r="596" spans="2:19" hidden="1" outlineLevel="1">
      <c r="B596" s="14" t="s">
        <v>39</v>
      </c>
      <c r="C596" s="15" t="s">
        <v>66</v>
      </c>
      <c r="D596" s="52">
        <v>2032</v>
      </c>
      <c r="E596" s="34">
        <v>9</v>
      </c>
      <c r="F596" s="38">
        <f t="shared" si="94"/>
        <v>19589.072685865794</v>
      </c>
      <c r="G596" s="34">
        <f t="shared" si="95"/>
        <v>16</v>
      </c>
      <c r="H596" s="34">
        <f t="shared" si="96"/>
        <v>2</v>
      </c>
      <c r="I596" s="34" t="str">
        <f t="shared" si="100"/>
        <v/>
      </c>
      <c r="J596" s="34" t="str">
        <f t="shared" si="100"/>
        <v/>
      </c>
      <c r="K596" s="34" t="str">
        <f t="shared" si="100"/>
        <v/>
      </c>
      <c r="L596" s="34" t="str">
        <f t="shared" si="100"/>
        <v/>
      </c>
      <c r="M596" s="34" t="str">
        <f t="shared" si="100"/>
        <v/>
      </c>
      <c r="N596" s="34" t="str">
        <f t="shared" si="100"/>
        <v/>
      </c>
      <c r="O596" s="34" t="str">
        <f t="shared" si="100"/>
        <v/>
      </c>
      <c r="P596" s="34">
        <f t="shared" si="100"/>
        <v>84</v>
      </c>
      <c r="Q596" s="34">
        <f t="shared" si="100"/>
        <v>88</v>
      </c>
      <c r="R596" s="34">
        <f t="shared" si="100"/>
        <v>100</v>
      </c>
      <c r="S596" s="35">
        <f t="shared" si="97"/>
        <v>84</v>
      </c>
    </row>
    <row r="597" spans="2:19" hidden="1" outlineLevel="1">
      <c r="B597" s="14" t="s">
        <v>39</v>
      </c>
      <c r="C597" s="15" t="s">
        <v>66</v>
      </c>
      <c r="D597" s="52">
        <v>2032</v>
      </c>
      <c r="E597" s="34">
        <v>10</v>
      </c>
      <c r="F597" s="38">
        <f t="shared" si="94"/>
        <v>19589.072685865794</v>
      </c>
      <c r="G597" s="34">
        <f t="shared" si="95"/>
        <v>16</v>
      </c>
      <c r="H597" s="34">
        <f t="shared" si="96"/>
        <v>2</v>
      </c>
      <c r="I597" s="34" t="str">
        <f t="shared" si="100"/>
        <v/>
      </c>
      <c r="J597" s="34" t="str">
        <f t="shared" si="100"/>
        <v/>
      </c>
      <c r="K597" s="34" t="str">
        <f t="shared" si="100"/>
        <v/>
      </c>
      <c r="L597" s="34" t="str">
        <f t="shared" si="100"/>
        <v/>
      </c>
      <c r="M597" s="34" t="str">
        <f t="shared" si="100"/>
        <v/>
      </c>
      <c r="N597" s="34" t="str">
        <f t="shared" si="100"/>
        <v/>
      </c>
      <c r="O597" s="34" t="str">
        <f t="shared" si="100"/>
        <v/>
      </c>
      <c r="P597" s="34">
        <f t="shared" si="100"/>
        <v>84</v>
      </c>
      <c r="Q597" s="34">
        <f t="shared" si="100"/>
        <v>87</v>
      </c>
      <c r="R597" s="34">
        <f t="shared" si="100"/>
        <v>99</v>
      </c>
      <c r="S597" s="35">
        <f t="shared" si="97"/>
        <v>84</v>
      </c>
    </row>
    <row r="598" spans="2:19" hidden="1" outlineLevel="1">
      <c r="B598" s="14" t="s">
        <v>39</v>
      </c>
      <c r="C598" s="15" t="s">
        <v>66</v>
      </c>
      <c r="D598" s="52">
        <v>2032</v>
      </c>
      <c r="E598" s="34">
        <v>11</v>
      </c>
      <c r="F598" s="38">
        <f t="shared" si="94"/>
        <v>19589.072685865794</v>
      </c>
      <c r="G598" s="34">
        <f t="shared" si="95"/>
        <v>16</v>
      </c>
      <c r="H598" s="34">
        <f t="shared" si="96"/>
        <v>2</v>
      </c>
      <c r="I598" s="34" t="str">
        <f t="shared" si="100"/>
        <v/>
      </c>
      <c r="J598" s="34" t="str">
        <f t="shared" si="100"/>
        <v/>
      </c>
      <c r="K598" s="34" t="str">
        <f t="shared" si="100"/>
        <v/>
      </c>
      <c r="L598" s="34" t="str">
        <f t="shared" si="100"/>
        <v/>
      </c>
      <c r="M598" s="34" t="str">
        <f t="shared" si="100"/>
        <v/>
      </c>
      <c r="N598" s="34" t="str">
        <f t="shared" si="100"/>
        <v/>
      </c>
      <c r="O598" s="34" t="str">
        <f t="shared" si="100"/>
        <v/>
      </c>
      <c r="P598" s="34">
        <f t="shared" si="100"/>
        <v>84</v>
      </c>
      <c r="Q598" s="34">
        <f t="shared" si="100"/>
        <v>86</v>
      </c>
      <c r="R598" s="34">
        <f t="shared" si="100"/>
        <v>98</v>
      </c>
      <c r="S598" s="35">
        <f t="shared" si="97"/>
        <v>84</v>
      </c>
    </row>
    <row r="599" spans="2:19" hidden="1" outlineLevel="1">
      <c r="B599" s="14" t="s">
        <v>39</v>
      </c>
      <c r="C599" s="15" t="s">
        <v>66</v>
      </c>
      <c r="D599" s="52">
        <v>2032</v>
      </c>
      <c r="E599" s="34">
        <v>12</v>
      </c>
      <c r="F599" s="38">
        <f t="shared" si="94"/>
        <v>19589.072685865794</v>
      </c>
      <c r="G599" s="34">
        <f t="shared" si="95"/>
        <v>16</v>
      </c>
      <c r="H599" s="34">
        <f t="shared" si="96"/>
        <v>2</v>
      </c>
      <c r="I599" s="34" t="str">
        <f t="shared" si="100"/>
        <v/>
      </c>
      <c r="J599" s="34" t="str">
        <f t="shared" si="100"/>
        <v/>
      </c>
      <c r="K599" s="34" t="str">
        <f t="shared" si="100"/>
        <v/>
      </c>
      <c r="L599" s="34" t="str">
        <f t="shared" si="100"/>
        <v/>
      </c>
      <c r="M599" s="34" t="str">
        <f t="shared" si="100"/>
        <v/>
      </c>
      <c r="N599" s="34" t="str">
        <f t="shared" si="100"/>
        <v/>
      </c>
      <c r="O599" s="34" t="str">
        <f t="shared" si="100"/>
        <v/>
      </c>
      <c r="P599" s="34">
        <f t="shared" si="100"/>
        <v>84</v>
      </c>
      <c r="Q599" s="34">
        <f t="shared" si="100"/>
        <v>85</v>
      </c>
      <c r="R599" s="34">
        <f t="shared" si="100"/>
        <v>97</v>
      </c>
      <c r="S599" s="35">
        <f t="shared" si="97"/>
        <v>84</v>
      </c>
    </row>
    <row r="600" spans="2:19" hidden="1" outlineLevel="1">
      <c r="B600" s="14" t="s">
        <v>39</v>
      </c>
      <c r="C600" s="15" t="s">
        <v>66</v>
      </c>
      <c r="D600" s="52">
        <v>2033</v>
      </c>
      <c r="E600" s="34">
        <v>1</v>
      </c>
      <c r="F600" s="38">
        <f t="shared" si="94"/>
        <v>20253.92113287653</v>
      </c>
      <c r="G600" s="34">
        <f t="shared" si="95"/>
        <v>16</v>
      </c>
      <c r="H600" s="34">
        <f t="shared" si="96"/>
        <v>2</v>
      </c>
      <c r="I600" s="34" t="str">
        <f t="shared" ref="I600:R609" si="101">IF($D600&lt;$Z$18,"",IF(MAX($G600,INDEX($C$65:$F$108,$D600+I$119-2026,$H600))&lt;=12*I$119-$E600+12,MAX($G600,12*I$119-$E600+1,INDEX($C$65:$F$108,$D600+I$119-2026,$H600)),""))</f>
        <v/>
      </c>
      <c r="J600" s="34" t="str">
        <f t="shared" si="101"/>
        <v/>
      </c>
      <c r="K600" s="34" t="str">
        <f t="shared" si="101"/>
        <v/>
      </c>
      <c r="L600" s="34" t="str">
        <f t="shared" si="101"/>
        <v/>
      </c>
      <c r="M600" s="34" t="str">
        <f t="shared" si="101"/>
        <v/>
      </c>
      <c r="N600" s="34" t="str">
        <f t="shared" si="101"/>
        <v/>
      </c>
      <c r="O600" s="34" t="str">
        <f t="shared" si="101"/>
        <v/>
      </c>
      <c r="P600" s="34">
        <f t="shared" si="101"/>
        <v>84</v>
      </c>
      <c r="Q600" s="34">
        <f t="shared" si="101"/>
        <v>96</v>
      </c>
      <c r="R600" s="34">
        <f t="shared" si="101"/>
        <v>108</v>
      </c>
      <c r="S600" s="35">
        <f t="shared" si="97"/>
        <v>84</v>
      </c>
    </row>
    <row r="601" spans="2:19" hidden="1" outlineLevel="1">
      <c r="B601" s="14" t="s">
        <v>39</v>
      </c>
      <c r="C601" s="15" t="s">
        <v>66</v>
      </c>
      <c r="D601" s="52">
        <v>2033</v>
      </c>
      <c r="E601" s="34">
        <v>2</v>
      </c>
      <c r="F601" s="38">
        <f t="shared" si="94"/>
        <v>20253.92113287653</v>
      </c>
      <c r="G601" s="34">
        <f t="shared" si="95"/>
        <v>16</v>
      </c>
      <c r="H601" s="34">
        <f t="shared" si="96"/>
        <v>2</v>
      </c>
      <c r="I601" s="34" t="str">
        <f t="shared" si="101"/>
        <v/>
      </c>
      <c r="J601" s="34" t="str">
        <f t="shared" si="101"/>
        <v/>
      </c>
      <c r="K601" s="34" t="str">
        <f t="shared" si="101"/>
        <v/>
      </c>
      <c r="L601" s="34" t="str">
        <f t="shared" si="101"/>
        <v/>
      </c>
      <c r="M601" s="34" t="str">
        <f t="shared" si="101"/>
        <v/>
      </c>
      <c r="N601" s="34" t="str">
        <f t="shared" si="101"/>
        <v/>
      </c>
      <c r="O601" s="34" t="str">
        <f t="shared" si="101"/>
        <v/>
      </c>
      <c r="P601" s="34">
        <f t="shared" si="101"/>
        <v>84</v>
      </c>
      <c r="Q601" s="34">
        <f t="shared" si="101"/>
        <v>95</v>
      </c>
      <c r="R601" s="34">
        <f t="shared" si="101"/>
        <v>107</v>
      </c>
      <c r="S601" s="35">
        <f t="shared" si="97"/>
        <v>84</v>
      </c>
    </row>
    <row r="602" spans="2:19" hidden="1" outlineLevel="1">
      <c r="B602" s="14" t="s">
        <v>39</v>
      </c>
      <c r="C602" s="15" t="s">
        <v>66</v>
      </c>
      <c r="D602" s="52">
        <v>2033</v>
      </c>
      <c r="E602" s="34">
        <v>3</v>
      </c>
      <c r="F602" s="38">
        <f t="shared" si="94"/>
        <v>20253.92113287653</v>
      </c>
      <c r="G602" s="34">
        <f t="shared" si="95"/>
        <v>16</v>
      </c>
      <c r="H602" s="34">
        <f t="shared" si="96"/>
        <v>2</v>
      </c>
      <c r="I602" s="34" t="str">
        <f t="shared" si="101"/>
        <v/>
      </c>
      <c r="J602" s="34" t="str">
        <f t="shared" si="101"/>
        <v/>
      </c>
      <c r="K602" s="34" t="str">
        <f t="shared" si="101"/>
        <v/>
      </c>
      <c r="L602" s="34" t="str">
        <f t="shared" si="101"/>
        <v/>
      </c>
      <c r="M602" s="34" t="str">
        <f t="shared" si="101"/>
        <v/>
      </c>
      <c r="N602" s="34" t="str">
        <f t="shared" si="101"/>
        <v/>
      </c>
      <c r="O602" s="34" t="str">
        <f t="shared" si="101"/>
        <v/>
      </c>
      <c r="P602" s="34">
        <f t="shared" si="101"/>
        <v>84</v>
      </c>
      <c r="Q602" s="34">
        <f t="shared" si="101"/>
        <v>94</v>
      </c>
      <c r="R602" s="34">
        <f t="shared" si="101"/>
        <v>106</v>
      </c>
      <c r="S602" s="35">
        <f t="shared" si="97"/>
        <v>84</v>
      </c>
    </row>
    <row r="603" spans="2:19" hidden="1" outlineLevel="1">
      <c r="B603" s="14" t="s">
        <v>39</v>
      </c>
      <c r="C603" s="15" t="s">
        <v>66</v>
      </c>
      <c r="D603" s="52">
        <v>2033</v>
      </c>
      <c r="E603" s="34">
        <v>4</v>
      </c>
      <c r="F603" s="38">
        <f t="shared" si="94"/>
        <v>20253.92113287653</v>
      </c>
      <c r="G603" s="34">
        <f t="shared" si="95"/>
        <v>16</v>
      </c>
      <c r="H603" s="34">
        <f t="shared" si="96"/>
        <v>2</v>
      </c>
      <c r="I603" s="34" t="str">
        <f t="shared" si="101"/>
        <v/>
      </c>
      <c r="J603" s="34" t="str">
        <f t="shared" si="101"/>
        <v/>
      </c>
      <c r="K603" s="34" t="str">
        <f t="shared" si="101"/>
        <v/>
      </c>
      <c r="L603" s="34" t="str">
        <f t="shared" si="101"/>
        <v/>
      </c>
      <c r="M603" s="34" t="str">
        <f t="shared" si="101"/>
        <v/>
      </c>
      <c r="N603" s="34" t="str">
        <f t="shared" si="101"/>
        <v/>
      </c>
      <c r="O603" s="34" t="str">
        <f t="shared" si="101"/>
        <v/>
      </c>
      <c r="P603" s="34">
        <f t="shared" si="101"/>
        <v>84</v>
      </c>
      <c r="Q603" s="34">
        <f t="shared" si="101"/>
        <v>93</v>
      </c>
      <c r="R603" s="34">
        <f t="shared" si="101"/>
        <v>105</v>
      </c>
      <c r="S603" s="35">
        <f t="shared" si="97"/>
        <v>84</v>
      </c>
    </row>
    <row r="604" spans="2:19" hidden="1" outlineLevel="1">
      <c r="B604" s="14" t="s">
        <v>39</v>
      </c>
      <c r="C604" s="15" t="s">
        <v>66</v>
      </c>
      <c r="D604" s="52">
        <v>2033</v>
      </c>
      <c r="E604" s="34">
        <v>5</v>
      </c>
      <c r="F604" s="38">
        <f t="shared" si="94"/>
        <v>20253.92113287653</v>
      </c>
      <c r="G604" s="34">
        <f t="shared" si="95"/>
        <v>16</v>
      </c>
      <c r="H604" s="34">
        <f t="shared" si="96"/>
        <v>2</v>
      </c>
      <c r="I604" s="34" t="str">
        <f t="shared" si="101"/>
        <v/>
      </c>
      <c r="J604" s="34" t="str">
        <f t="shared" si="101"/>
        <v/>
      </c>
      <c r="K604" s="34" t="str">
        <f t="shared" si="101"/>
        <v/>
      </c>
      <c r="L604" s="34" t="str">
        <f t="shared" si="101"/>
        <v/>
      </c>
      <c r="M604" s="34" t="str">
        <f t="shared" si="101"/>
        <v/>
      </c>
      <c r="N604" s="34" t="str">
        <f t="shared" si="101"/>
        <v/>
      </c>
      <c r="O604" s="34" t="str">
        <f t="shared" si="101"/>
        <v/>
      </c>
      <c r="P604" s="34">
        <f t="shared" si="101"/>
        <v>84</v>
      </c>
      <c r="Q604" s="34">
        <f t="shared" si="101"/>
        <v>92</v>
      </c>
      <c r="R604" s="34">
        <f t="shared" si="101"/>
        <v>104</v>
      </c>
      <c r="S604" s="35">
        <f t="shared" si="97"/>
        <v>84</v>
      </c>
    </row>
    <row r="605" spans="2:19" hidden="1" outlineLevel="1">
      <c r="B605" s="14" t="s">
        <v>39</v>
      </c>
      <c r="C605" s="15" t="s">
        <v>66</v>
      </c>
      <c r="D605" s="52">
        <v>2033</v>
      </c>
      <c r="E605" s="34">
        <v>6</v>
      </c>
      <c r="F605" s="38">
        <f t="shared" si="94"/>
        <v>20253.92113287653</v>
      </c>
      <c r="G605" s="34">
        <f t="shared" si="95"/>
        <v>16</v>
      </c>
      <c r="H605" s="34">
        <f t="shared" si="96"/>
        <v>2</v>
      </c>
      <c r="I605" s="34" t="str">
        <f t="shared" si="101"/>
        <v/>
      </c>
      <c r="J605" s="34" t="str">
        <f t="shared" si="101"/>
        <v/>
      </c>
      <c r="K605" s="34" t="str">
        <f t="shared" si="101"/>
        <v/>
      </c>
      <c r="L605" s="34" t="str">
        <f t="shared" si="101"/>
        <v/>
      </c>
      <c r="M605" s="34" t="str">
        <f t="shared" si="101"/>
        <v/>
      </c>
      <c r="N605" s="34" t="str">
        <f t="shared" si="101"/>
        <v/>
      </c>
      <c r="O605" s="34" t="str">
        <f t="shared" si="101"/>
        <v/>
      </c>
      <c r="P605" s="34">
        <f t="shared" si="101"/>
        <v>84</v>
      </c>
      <c r="Q605" s="34">
        <f t="shared" si="101"/>
        <v>91</v>
      </c>
      <c r="R605" s="34">
        <f t="shared" si="101"/>
        <v>103</v>
      </c>
      <c r="S605" s="35">
        <f t="shared" si="97"/>
        <v>84</v>
      </c>
    </row>
    <row r="606" spans="2:19" hidden="1" outlineLevel="1">
      <c r="B606" s="14" t="s">
        <v>39</v>
      </c>
      <c r="C606" s="15" t="s">
        <v>66</v>
      </c>
      <c r="D606" s="52">
        <v>2033</v>
      </c>
      <c r="E606" s="34">
        <v>7</v>
      </c>
      <c r="F606" s="38">
        <f t="shared" si="94"/>
        <v>20253.92113287653</v>
      </c>
      <c r="G606" s="34">
        <f t="shared" si="95"/>
        <v>16</v>
      </c>
      <c r="H606" s="34">
        <f t="shared" si="96"/>
        <v>2</v>
      </c>
      <c r="I606" s="34" t="str">
        <f t="shared" si="101"/>
        <v/>
      </c>
      <c r="J606" s="34" t="str">
        <f t="shared" si="101"/>
        <v/>
      </c>
      <c r="K606" s="34" t="str">
        <f t="shared" si="101"/>
        <v/>
      </c>
      <c r="L606" s="34" t="str">
        <f t="shared" si="101"/>
        <v/>
      </c>
      <c r="M606" s="34" t="str">
        <f t="shared" si="101"/>
        <v/>
      </c>
      <c r="N606" s="34" t="str">
        <f t="shared" si="101"/>
        <v/>
      </c>
      <c r="O606" s="34" t="str">
        <f t="shared" si="101"/>
        <v/>
      </c>
      <c r="P606" s="34">
        <f t="shared" si="101"/>
        <v>84</v>
      </c>
      <c r="Q606" s="34">
        <f t="shared" si="101"/>
        <v>90</v>
      </c>
      <c r="R606" s="34">
        <f t="shared" si="101"/>
        <v>102</v>
      </c>
      <c r="S606" s="35">
        <f t="shared" si="97"/>
        <v>84</v>
      </c>
    </row>
    <row r="607" spans="2:19" hidden="1" outlineLevel="1">
      <c r="B607" s="14" t="s">
        <v>39</v>
      </c>
      <c r="C607" s="15" t="s">
        <v>66</v>
      </c>
      <c r="D607" s="52">
        <v>2033</v>
      </c>
      <c r="E607" s="34">
        <v>8</v>
      </c>
      <c r="F607" s="38">
        <f t="shared" si="94"/>
        <v>20253.92113287653</v>
      </c>
      <c r="G607" s="34">
        <f t="shared" si="95"/>
        <v>16</v>
      </c>
      <c r="H607" s="34">
        <f t="shared" si="96"/>
        <v>2</v>
      </c>
      <c r="I607" s="34" t="str">
        <f t="shared" si="101"/>
        <v/>
      </c>
      <c r="J607" s="34" t="str">
        <f t="shared" si="101"/>
        <v/>
      </c>
      <c r="K607" s="34" t="str">
        <f t="shared" si="101"/>
        <v/>
      </c>
      <c r="L607" s="34" t="str">
        <f t="shared" si="101"/>
        <v/>
      </c>
      <c r="M607" s="34" t="str">
        <f t="shared" si="101"/>
        <v/>
      </c>
      <c r="N607" s="34" t="str">
        <f t="shared" si="101"/>
        <v/>
      </c>
      <c r="O607" s="34" t="str">
        <f t="shared" si="101"/>
        <v/>
      </c>
      <c r="P607" s="34">
        <f t="shared" si="101"/>
        <v>84</v>
      </c>
      <c r="Q607" s="34">
        <f t="shared" si="101"/>
        <v>89</v>
      </c>
      <c r="R607" s="34">
        <f t="shared" si="101"/>
        <v>101</v>
      </c>
      <c r="S607" s="35">
        <f t="shared" si="97"/>
        <v>84</v>
      </c>
    </row>
    <row r="608" spans="2:19" hidden="1" outlineLevel="1">
      <c r="B608" s="14" t="s">
        <v>39</v>
      </c>
      <c r="C608" s="15" t="s">
        <v>66</v>
      </c>
      <c r="D608" s="52">
        <v>2033</v>
      </c>
      <c r="E608" s="34">
        <v>9</v>
      </c>
      <c r="F608" s="38">
        <f t="shared" si="94"/>
        <v>20253.92113287653</v>
      </c>
      <c r="G608" s="34">
        <f t="shared" si="95"/>
        <v>16</v>
      </c>
      <c r="H608" s="34">
        <f t="shared" si="96"/>
        <v>2</v>
      </c>
      <c r="I608" s="34" t="str">
        <f t="shared" si="101"/>
        <v/>
      </c>
      <c r="J608" s="34" t="str">
        <f t="shared" si="101"/>
        <v/>
      </c>
      <c r="K608" s="34" t="str">
        <f t="shared" si="101"/>
        <v/>
      </c>
      <c r="L608" s="34" t="str">
        <f t="shared" si="101"/>
        <v/>
      </c>
      <c r="M608" s="34" t="str">
        <f t="shared" si="101"/>
        <v/>
      </c>
      <c r="N608" s="34" t="str">
        <f t="shared" si="101"/>
        <v/>
      </c>
      <c r="O608" s="34" t="str">
        <f t="shared" si="101"/>
        <v/>
      </c>
      <c r="P608" s="34">
        <f t="shared" si="101"/>
        <v>84</v>
      </c>
      <c r="Q608" s="34">
        <f t="shared" si="101"/>
        <v>88</v>
      </c>
      <c r="R608" s="34">
        <f t="shared" si="101"/>
        <v>100</v>
      </c>
      <c r="S608" s="35">
        <f t="shared" si="97"/>
        <v>84</v>
      </c>
    </row>
    <row r="609" spans="2:19" hidden="1" outlineLevel="1">
      <c r="B609" s="14" t="s">
        <v>39</v>
      </c>
      <c r="C609" s="15" t="s">
        <v>66</v>
      </c>
      <c r="D609" s="52">
        <v>2033</v>
      </c>
      <c r="E609" s="34">
        <v>10</v>
      </c>
      <c r="F609" s="38">
        <f t="shared" si="94"/>
        <v>20253.92113287653</v>
      </c>
      <c r="G609" s="34">
        <f t="shared" si="95"/>
        <v>16</v>
      </c>
      <c r="H609" s="34">
        <f t="shared" si="96"/>
        <v>2</v>
      </c>
      <c r="I609" s="34" t="str">
        <f t="shared" si="101"/>
        <v/>
      </c>
      <c r="J609" s="34" t="str">
        <f t="shared" si="101"/>
        <v/>
      </c>
      <c r="K609" s="34" t="str">
        <f t="shared" si="101"/>
        <v/>
      </c>
      <c r="L609" s="34" t="str">
        <f t="shared" si="101"/>
        <v/>
      </c>
      <c r="M609" s="34" t="str">
        <f t="shared" si="101"/>
        <v/>
      </c>
      <c r="N609" s="34" t="str">
        <f t="shared" si="101"/>
        <v/>
      </c>
      <c r="O609" s="34" t="str">
        <f t="shared" si="101"/>
        <v/>
      </c>
      <c r="P609" s="34">
        <f t="shared" si="101"/>
        <v>84</v>
      </c>
      <c r="Q609" s="34">
        <f t="shared" si="101"/>
        <v>87</v>
      </c>
      <c r="R609" s="34">
        <f t="shared" si="101"/>
        <v>99</v>
      </c>
      <c r="S609" s="35">
        <f t="shared" si="97"/>
        <v>84</v>
      </c>
    </row>
    <row r="610" spans="2:19" hidden="1" outlineLevel="1">
      <c r="B610" s="14" t="s">
        <v>39</v>
      </c>
      <c r="C610" s="15" t="s">
        <v>66</v>
      </c>
      <c r="D610" s="52">
        <v>2033</v>
      </c>
      <c r="E610" s="34">
        <v>11</v>
      </c>
      <c r="F610" s="38">
        <f t="shared" si="94"/>
        <v>20253.92113287653</v>
      </c>
      <c r="G610" s="34">
        <f t="shared" si="95"/>
        <v>16</v>
      </c>
      <c r="H610" s="34">
        <f t="shared" si="96"/>
        <v>2</v>
      </c>
      <c r="I610" s="34" t="str">
        <f t="shared" ref="I610:R619" si="102">IF($D610&lt;$Z$18,"",IF(MAX($G610,INDEX($C$65:$F$108,$D610+I$119-2026,$H610))&lt;=12*I$119-$E610+12,MAX($G610,12*I$119-$E610+1,INDEX($C$65:$F$108,$D610+I$119-2026,$H610)),""))</f>
        <v/>
      </c>
      <c r="J610" s="34" t="str">
        <f t="shared" si="102"/>
        <v/>
      </c>
      <c r="K610" s="34" t="str">
        <f t="shared" si="102"/>
        <v/>
      </c>
      <c r="L610" s="34" t="str">
        <f t="shared" si="102"/>
        <v/>
      </c>
      <c r="M610" s="34" t="str">
        <f t="shared" si="102"/>
        <v/>
      </c>
      <c r="N610" s="34" t="str">
        <f t="shared" si="102"/>
        <v/>
      </c>
      <c r="O610" s="34" t="str">
        <f t="shared" si="102"/>
        <v/>
      </c>
      <c r="P610" s="34">
        <f t="shared" si="102"/>
        <v>84</v>
      </c>
      <c r="Q610" s="34">
        <f t="shared" si="102"/>
        <v>86</v>
      </c>
      <c r="R610" s="34">
        <f t="shared" si="102"/>
        <v>98</v>
      </c>
      <c r="S610" s="35">
        <f t="shared" si="97"/>
        <v>84</v>
      </c>
    </row>
    <row r="611" spans="2:19" hidden="1" outlineLevel="1">
      <c r="B611" s="14" t="s">
        <v>39</v>
      </c>
      <c r="C611" s="15" t="s">
        <v>66</v>
      </c>
      <c r="D611" s="52">
        <v>2033</v>
      </c>
      <c r="E611" s="34">
        <v>12</v>
      </c>
      <c r="F611" s="38">
        <f t="shared" si="94"/>
        <v>20253.92113287653</v>
      </c>
      <c r="G611" s="34">
        <f t="shared" si="95"/>
        <v>16</v>
      </c>
      <c r="H611" s="34">
        <f t="shared" si="96"/>
        <v>2</v>
      </c>
      <c r="I611" s="34" t="str">
        <f t="shared" si="102"/>
        <v/>
      </c>
      <c r="J611" s="34" t="str">
        <f t="shared" si="102"/>
        <v/>
      </c>
      <c r="K611" s="34" t="str">
        <f t="shared" si="102"/>
        <v/>
      </c>
      <c r="L611" s="34" t="str">
        <f t="shared" si="102"/>
        <v/>
      </c>
      <c r="M611" s="34" t="str">
        <f t="shared" si="102"/>
        <v/>
      </c>
      <c r="N611" s="34" t="str">
        <f t="shared" si="102"/>
        <v/>
      </c>
      <c r="O611" s="34" t="str">
        <f t="shared" si="102"/>
        <v/>
      </c>
      <c r="P611" s="34">
        <f t="shared" si="102"/>
        <v>84</v>
      </c>
      <c r="Q611" s="34">
        <f t="shared" si="102"/>
        <v>85</v>
      </c>
      <c r="R611" s="34">
        <f t="shared" si="102"/>
        <v>97</v>
      </c>
      <c r="S611" s="35">
        <f t="shared" si="97"/>
        <v>84</v>
      </c>
    </row>
    <row r="612" spans="2:19" hidden="1" outlineLevel="1">
      <c r="B612" s="14" t="s">
        <v>39</v>
      </c>
      <c r="C612" s="15" t="s">
        <v>66</v>
      </c>
      <c r="D612" s="52">
        <v>2034</v>
      </c>
      <c r="E612" s="34">
        <v>1</v>
      </c>
      <c r="F612" s="38">
        <f t="shared" si="94"/>
        <v>20849.566266993184</v>
      </c>
      <c r="G612" s="34">
        <f t="shared" si="95"/>
        <v>16</v>
      </c>
      <c r="H612" s="34">
        <f t="shared" si="96"/>
        <v>2</v>
      </c>
      <c r="I612" s="34" t="str">
        <f t="shared" si="102"/>
        <v/>
      </c>
      <c r="J612" s="34" t="str">
        <f t="shared" si="102"/>
        <v/>
      </c>
      <c r="K612" s="34" t="str">
        <f t="shared" si="102"/>
        <v/>
      </c>
      <c r="L612" s="34" t="str">
        <f t="shared" si="102"/>
        <v/>
      </c>
      <c r="M612" s="34" t="str">
        <f t="shared" si="102"/>
        <v/>
      </c>
      <c r="N612" s="34" t="str">
        <f t="shared" si="102"/>
        <v/>
      </c>
      <c r="O612" s="34" t="str">
        <f t="shared" si="102"/>
        <v/>
      </c>
      <c r="P612" s="34">
        <f t="shared" si="102"/>
        <v>84</v>
      </c>
      <c r="Q612" s="34">
        <f t="shared" si="102"/>
        <v>96</v>
      </c>
      <c r="R612" s="34">
        <f t="shared" si="102"/>
        <v>108</v>
      </c>
      <c r="S612" s="35">
        <f t="shared" si="97"/>
        <v>84</v>
      </c>
    </row>
    <row r="613" spans="2:19" hidden="1" outlineLevel="1">
      <c r="B613" s="14" t="s">
        <v>39</v>
      </c>
      <c r="C613" s="15" t="s">
        <v>66</v>
      </c>
      <c r="D613" s="52">
        <v>2034</v>
      </c>
      <c r="E613" s="34">
        <v>2</v>
      </c>
      <c r="F613" s="38">
        <f t="shared" si="94"/>
        <v>20849.566266993184</v>
      </c>
      <c r="G613" s="34">
        <f t="shared" si="95"/>
        <v>16</v>
      </c>
      <c r="H613" s="34">
        <f t="shared" si="96"/>
        <v>2</v>
      </c>
      <c r="I613" s="34" t="str">
        <f t="shared" si="102"/>
        <v/>
      </c>
      <c r="J613" s="34" t="str">
        <f t="shared" si="102"/>
        <v/>
      </c>
      <c r="K613" s="34" t="str">
        <f t="shared" si="102"/>
        <v/>
      </c>
      <c r="L613" s="34" t="str">
        <f t="shared" si="102"/>
        <v/>
      </c>
      <c r="M613" s="34" t="str">
        <f t="shared" si="102"/>
        <v/>
      </c>
      <c r="N613" s="34" t="str">
        <f t="shared" si="102"/>
        <v/>
      </c>
      <c r="O613" s="34" t="str">
        <f t="shared" si="102"/>
        <v/>
      </c>
      <c r="P613" s="34">
        <f t="shared" si="102"/>
        <v>84</v>
      </c>
      <c r="Q613" s="34">
        <f t="shared" si="102"/>
        <v>95</v>
      </c>
      <c r="R613" s="34">
        <f t="shared" si="102"/>
        <v>107</v>
      </c>
      <c r="S613" s="35">
        <f t="shared" si="97"/>
        <v>84</v>
      </c>
    </row>
    <row r="614" spans="2:19" hidden="1" outlineLevel="1">
      <c r="B614" s="14" t="s">
        <v>39</v>
      </c>
      <c r="C614" s="15" t="s">
        <v>66</v>
      </c>
      <c r="D614" s="52">
        <v>2034</v>
      </c>
      <c r="E614" s="34">
        <v>3</v>
      </c>
      <c r="F614" s="38">
        <f t="shared" si="94"/>
        <v>20849.566266993184</v>
      </c>
      <c r="G614" s="34">
        <f t="shared" si="95"/>
        <v>16</v>
      </c>
      <c r="H614" s="34">
        <f t="shared" si="96"/>
        <v>2</v>
      </c>
      <c r="I614" s="34" t="str">
        <f t="shared" si="102"/>
        <v/>
      </c>
      <c r="J614" s="34" t="str">
        <f t="shared" si="102"/>
        <v/>
      </c>
      <c r="K614" s="34" t="str">
        <f t="shared" si="102"/>
        <v/>
      </c>
      <c r="L614" s="34" t="str">
        <f t="shared" si="102"/>
        <v/>
      </c>
      <c r="M614" s="34" t="str">
        <f t="shared" si="102"/>
        <v/>
      </c>
      <c r="N614" s="34" t="str">
        <f t="shared" si="102"/>
        <v/>
      </c>
      <c r="O614" s="34" t="str">
        <f t="shared" si="102"/>
        <v/>
      </c>
      <c r="P614" s="34">
        <f t="shared" si="102"/>
        <v>84</v>
      </c>
      <c r="Q614" s="34">
        <f t="shared" si="102"/>
        <v>94</v>
      </c>
      <c r="R614" s="34">
        <f t="shared" si="102"/>
        <v>106</v>
      </c>
      <c r="S614" s="35">
        <f t="shared" si="97"/>
        <v>84</v>
      </c>
    </row>
    <row r="615" spans="2:19" hidden="1" outlineLevel="1">
      <c r="B615" s="14" t="s">
        <v>39</v>
      </c>
      <c r="C615" s="15" t="s">
        <v>66</v>
      </c>
      <c r="D615" s="52">
        <v>2034</v>
      </c>
      <c r="E615" s="34">
        <v>4</v>
      </c>
      <c r="F615" s="38">
        <f t="shared" si="94"/>
        <v>20849.566266993184</v>
      </c>
      <c r="G615" s="34">
        <f t="shared" si="95"/>
        <v>16</v>
      </c>
      <c r="H615" s="34">
        <f t="shared" si="96"/>
        <v>2</v>
      </c>
      <c r="I615" s="34" t="str">
        <f t="shared" si="102"/>
        <v/>
      </c>
      <c r="J615" s="34" t="str">
        <f t="shared" si="102"/>
        <v/>
      </c>
      <c r="K615" s="34" t="str">
        <f t="shared" si="102"/>
        <v/>
      </c>
      <c r="L615" s="34" t="str">
        <f t="shared" si="102"/>
        <v/>
      </c>
      <c r="M615" s="34" t="str">
        <f t="shared" si="102"/>
        <v/>
      </c>
      <c r="N615" s="34" t="str">
        <f t="shared" si="102"/>
        <v/>
      </c>
      <c r="O615" s="34" t="str">
        <f t="shared" si="102"/>
        <v/>
      </c>
      <c r="P615" s="34">
        <f t="shared" si="102"/>
        <v>84</v>
      </c>
      <c r="Q615" s="34">
        <f t="shared" si="102"/>
        <v>93</v>
      </c>
      <c r="R615" s="34">
        <f t="shared" si="102"/>
        <v>105</v>
      </c>
      <c r="S615" s="35">
        <f t="shared" si="97"/>
        <v>84</v>
      </c>
    </row>
    <row r="616" spans="2:19" hidden="1" outlineLevel="1">
      <c r="B616" s="14" t="s">
        <v>39</v>
      </c>
      <c r="C616" s="15" t="s">
        <v>66</v>
      </c>
      <c r="D616" s="52">
        <v>2034</v>
      </c>
      <c r="E616" s="34">
        <v>5</v>
      </c>
      <c r="F616" s="38">
        <f t="shared" si="94"/>
        <v>20849.566266993184</v>
      </c>
      <c r="G616" s="34">
        <f t="shared" si="95"/>
        <v>16</v>
      </c>
      <c r="H616" s="34">
        <f t="shared" si="96"/>
        <v>2</v>
      </c>
      <c r="I616" s="34" t="str">
        <f t="shared" si="102"/>
        <v/>
      </c>
      <c r="J616" s="34" t="str">
        <f t="shared" si="102"/>
        <v/>
      </c>
      <c r="K616" s="34" t="str">
        <f t="shared" si="102"/>
        <v/>
      </c>
      <c r="L616" s="34" t="str">
        <f t="shared" si="102"/>
        <v/>
      </c>
      <c r="M616" s="34" t="str">
        <f t="shared" si="102"/>
        <v/>
      </c>
      <c r="N616" s="34" t="str">
        <f t="shared" si="102"/>
        <v/>
      </c>
      <c r="O616" s="34" t="str">
        <f t="shared" si="102"/>
        <v/>
      </c>
      <c r="P616" s="34">
        <f t="shared" si="102"/>
        <v>84</v>
      </c>
      <c r="Q616" s="34">
        <f t="shared" si="102"/>
        <v>92</v>
      </c>
      <c r="R616" s="34">
        <f t="shared" si="102"/>
        <v>104</v>
      </c>
      <c r="S616" s="35">
        <f t="shared" si="97"/>
        <v>84</v>
      </c>
    </row>
    <row r="617" spans="2:19" hidden="1" outlineLevel="1">
      <c r="B617" s="14" t="s">
        <v>39</v>
      </c>
      <c r="C617" s="15" t="s">
        <v>66</v>
      </c>
      <c r="D617" s="52">
        <v>2034</v>
      </c>
      <c r="E617" s="34">
        <v>6</v>
      </c>
      <c r="F617" s="38">
        <f t="shared" si="94"/>
        <v>20849.566266993184</v>
      </c>
      <c r="G617" s="34">
        <f t="shared" si="95"/>
        <v>16</v>
      </c>
      <c r="H617" s="34">
        <f t="shared" si="96"/>
        <v>2</v>
      </c>
      <c r="I617" s="34" t="str">
        <f t="shared" si="102"/>
        <v/>
      </c>
      <c r="J617" s="34" t="str">
        <f t="shared" si="102"/>
        <v/>
      </c>
      <c r="K617" s="34" t="str">
        <f t="shared" si="102"/>
        <v/>
      </c>
      <c r="L617" s="34" t="str">
        <f t="shared" si="102"/>
        <v/>
      </c>
      <c r="M617" s="34" t="str">
        <f t="shared" si="102"/>
        <v/>
      </c>
      <c r="N617" s="34" t="str">
        <f t="shared" si="102"/>
        <v/>
      </c>
      <c r="O617" s="34" t="str">
        <f t="shared" si="102"/>
        <v/>
      </c>
      <c r="P617" s="34">
        <f t="shared" si="102"/>
        <v>84</v>
      </c>
      <c r="Q617" s="34">
        <f t="shared" si="102"/>
        <v>91</v>
      </c>
      <c r="R617" s="34">
        <f t="shared" si="102"/>
        <v>103</v>
      </c>
      <c r="S617" s="35">
        <f t="shared" si="97"/>
        <v>84</v>
      </c>
    </row>
    <row r="618" spans="2:19" hidden="1" outlineLevel="1">
      <c r="B618" s="14" t="s">
        <v>39</v>
      </c>
      <c r="C618" s="15" t="s">
        <v>66</v>
      </c>
      <c r="D618" s="52">
        <v>2034</v>
      </c>
      <c r="E618" s="34">
        <v>7</v>
      </c>
      <c r="F618" s="38">
        <f t="shared" si="94"/>
        <v>20849.566266993184</v>
      </c>
      <c r="G618" s="34">
        <f t="shared" si="95"/>
        <v>16</v>
      </c>
      <c r="H618" s="34">
        <f t="shared" si="96"/>
        <v>2</v>
      </c>
      <c r="I618" s="34" t="str">
        <f t="shared" si="102"/>
        <v/>
      </c>
      <c r="J618" s="34" t="str">
        <f t="shared" si="102"/>
        <v/>
      </c>
      <c r="K618" s="34" t="str">
        <f t="shared" si="102"/>
        <v/>
      </c>
      <c r="L618" s="34" t="str">
        <f t="shared" si="102"/>
        <v/>
      </c>
      <c r="M618" s="34" t="str">
        <f t="shared" si="102"/>
        <v/>
      </c>
      <c r="N618" s="34" t="str">
        <f t="shared" si="102"/>
        <v/>
      </c>
      <c r="O618" s="34" t="str">
        <f t="shared" si="102"/>
        <v/>
      </c>
      <c r="P618" s="34">
        <f t="shared" si="102"/>
        <v>84</v>
      </c>
      <c r="Q618" s="34">
        <f t="shared" si="102"/>
        <v>90</v>
      </c>
      <c r="R618" s="34">
        <f t="shared" si="102"/>
        <v>102</v>
      </c>
      <c r="S618" s="35">
        <f t="shared" si="97"/>
        <v>84</v>
      </c>
    </row>
    <row r="619" spans="2:19" hidden="1" outlineLevel="1">
      <c r="B619" s="14" t="s">
        <v>39</v>
      </c>
      <c r="C619" s="15" t="s">
        <v>66</v>
      </c>
      <c r="D619" s="52">
        <v>2034</v>
      </c>
      <c r="E619" s="34">
        <v>8</v>
      </c>
      <c r="F619" s="38">
        <f t="shared" si="94"/>
        <v>20849.566266993184</v>
      </c>
      <c r="G619" s="34">
        <f t="shared" si="95"/>
        <v>16</v>
      </c>
      <c r="H619" s="34">
        <f t="shared" si="96"/>
        <v>2</v>
      </c>
      <c r="I619" s="34" t="str">
        <f t="shared" si="102"/>
        <v/>
      </c>
      <c r="J619" s="34" t="str">
        <f t="shared" si="102"/>
        <v/>
      </c>
      <c r="K619" s="34" t="str">
        <f t="shared" si="102"/>
        <v/>
      </c>
      <c r="L619" s="34" t="str">
        <f t="shared" si="102"/>
        <v/>
      </c>
      <c r="M619" s="34" t="str">
        <f t="shared" si="102"/>
        <v/>
      </c>
      <c r="N619" s="34" t="str">
        <f t="shared" si="102"/>
        <v/>
      </c>
      <c r="O619" s="34" t="str">
        <f t="shared" si="102"/>
        <v/>
      </c>
      <c r="P619" s="34">
        <f t="shared" si="102"/>
        <v>84</v>
      </c>
      <c r="Q619" s="34">
        <f t="shared" si="102"/>
        <v>89</v>
      </c>
      <c r="R619" s="34">
        <f t="shared" si="102"/>
        <v>101</v>
      </c>
      <c r="S619" s="35">
        <f t="shared" si="97"/>
        <v>84</v>
      </c>
    </row>
    <row r="620" spans="2:19" hidden="1" outlineLevel="1">
      <c r="B620" s="14" t="s">
        <v>39</v>
      </c>
      <c r="C620" s="15" t="s">
        <v>66</v>
      </c>
      <c r="D620" s="52">
        <v>2034</v>
      </c>
      <c r="E620" s="34">
        <v>9</v>
      </c>
      <c r="F620" s="38">
        <f t="shared" si="94"/>
        <v>20849.566266993184</v>
      </c>
      <c r="G620" s="34">
        <f t="shared" si="95"/>
        <v>16</v>
      </c>
      <c r="H620" s="34">
        <f t="shared" si="96"/>
        <v>2</v>
      </c>
      <c r="I620" s="34" t="str">
        <f t="shared" ref="I620:R629" si="103">IF($D620&lt;$Z$18,"",IF(MAX($G620,INDEX($C$65:$F$108,$D620+I$119-2026,$H620))&lt;=12*I$119-$E620+12,MAX($G620,12*I$119-$E620+1,INDEX($C$65:$F$108,$D620+I$119-2026,$H620)),""))</f>
        <v/>
      </c>
      <c r="J620" s="34" t="str">
        <f t="shared" si="103"/>
        <v/>
      </c>
      <c r="K620" s="34" t="str">
        <f t="shared" si="103"/>
        <v/>
      </c>
      <c r="L620" s="34" t="str">
        <f t="shared" si="103"/>
        <v/>
      </c>
      <c r="M620" s="34" t="str">
        <f t="shared" si="103"/>
        <v/>
      </c>
      <c r="N620" s="34" t="str">
        <f t="shared" si="103"/>
        <v/>
      </c>
      <c r="O620" s="34" t="str">
        <f t="shared" si="103"/>
        <v/>
      </c>
      <c r="P620" s="34">
        <f t="shared" si="103"/>
        <v>84</v>
      </c>
      <c r="Q620" s="34">
        <f t="shared" si="103"/>
        <v>88</v>
      </c>
      <c r="R620" s="34">
        <f t="shared" si="103"/>
        <v>100</v>
      </c>
      <c r="S620" s="35">
        <f t="shared" si="97"/>
        <v>84</v>
      </c>
    </row>
    <row r="621" spans="2:19" hidden="1" outlineLevel="1">
      <c r="B621" s="14" t="s">
        <v>39</v>
      </c>
      <c r="C621" s="15" t="s">
        <v>66</v>
      </c>
      <c r="D621" s="52">
        <v>2034</v>
      </c>
      <c r="E621" s="34">
        <v>10</v>
      </c>
      <c r="F621" s="38">
        <f t="shared" si="94"/>
        <v>20849.566266993184</v>
      </c>
      <c r="G621" s="34">
        <f t="shared" si="95"/>
        <v>16</v>
      </c>
      <c r="H621" s="34">
        <f t="shared" si="96"/>
        <v>2</v>
      </c>
      <c r="I621" s="34" t="str">
        <f t="shared" si="103"/>
        <v/>
      </c>
      <c r="J621" s="34" t="str">
        <f t="shared" si="103"/>
        <v/>
      </c>
      <c r="K621" s="34" t="str">
        <f t="shared" si="103"/>
        <v/>
      </c>
      <c r="L621" s="34" t="str">
        <f t="shared" si="103"/>
        <v/>
      </c>
      <c r="M621" s="34" t="str">
        <f t="shared" si="103"/>
        <v/>
      </c>
      <c r="N621" s="34" t="str">
        <f t="shared" si="103"/>
        <v/>
      </c>
      <c r="O621" s="34" t="str">
        <f t="shared" si="103"/>
        <v/>
      </c>
      <c r="P621" s="34">
        <f t="shared" si="103"/>
        <v>84</v>
      </c>
      <c r="Q621" s="34">
        <f t="shared" si="103"/>
        <v>87</v>
      </c>
      <c r="R621" s="34">
        <f t="shared" si="103"/>
        <v>99</v>
      </c>
      <c r="S621" s="35">
        <f t="shared" si="97"/>
        <v>84</v>
      </c>
    </row>
    <row r="622" spans="2:19" hidden="1" outlineLevel="1">
      <c r="B622" s="14" t="s">
        <v>39</v>
      </c>
      <c r="C622" s="15" t="s">
        <v>66</v>
      </c>
      <c r="D622" s="52">
        <v>2034</v>
      </c>
      <c r="E622" s="34">
        <v>11</v>
      </c>
      <c r="F622" s="38">
        <f t="shared" si="94"/>
        <v>20849.566266993184</v>
      </c>
      <c r="G622" s="34">
        <f t="shared" si="95"/>
        <v>16</v>
      </c>
      <c r="H622" s="34">
        <f t="shared" si="96"/>
        <v>2</v>
      </c>
      <c r="I622" s="34" t="str">
        <f t="shared" si="103"/>
        <v/>
      </c>
      <c r="J622" s="34" t="str">
        <f t="shared" si="103"/>
        <v/>
      </c>
      <c r="K622" s="34" t="str">
        <f t="shared" si="103"/>
        <v/>
      </c>
      <c r="L622" s="34" t="str">
        <f t="shared" si="103"/>
        <v/>
      </c>
      <c r="M622" s="34" t="str">
        <f t="shared" si="103"/>
        <v/>
      </c>
      <c r="N622" s="34" t="str">
        <f t="shared" si="103"/>
        <v/>
      </c>
      <c r="O622" s="34" t="str">
        <f t="shared" si="103"/>
        <v/>
      </c>
      <c r="P622" s="34">
        <f t="shared" si="103"/>
        <v>84</v>
      </c>
      <c r="Q622" s="34">
        <f t="shared" si="103"/>
        <v>86</v>
      </c>
      <c r="R622" s="34">
        <f t="shared" si="103"/>
        <v>98</v>
      </c>
      <c r="S622" s="35">
        <f t="shared" si="97"/>
        <v>84</v>
      </c>
    </row>
    <row r="623" spans="2:19" hidden="1" outlineLevel="1">
      <c r="B623" s="14" t="s">
        <v>39</v>
      </c>
      <c r="C623" s="15" t="s">
        <v>66</v>
      </c>
      <c r="D623" s="52">
        <v>2034</v>
      </c>
      <c r="E623" s="34">
        <v>12</v>
      </c>
      <c r="F623" s="38">
        <f t="shared" si="94"/>
        <v>20849.566266993184</v>
      </c>
      <c r="G623" s="34">
        <f t="shared" si="95"/>
        <v>16</v>
      </c>
      <c r="H623" s="34">
        <f t="shared" si="96"/>
        <v>2</v>
      </c>
      <c r="I623" s="34" t="str">
        <f t="shared" si="103"/>
        <v/>
      </c>
      <c r="J623" s="34" t="str">
        <f t="shared" si="103"/>
        <v/>
      </c>
      <c r="K623" s="34" t="str">
        <f t="shared" si="103"/>
        <v/>
      </c>
      <c r="L623" s="34" t="str">
        <f t="shared" si="103"/>
        <v/>
      </c>
      <c r="M623" s="34" t="str">
        <f t="shared" si="103"/>
        <v/>
      </c>
      <c r="N623" s="34" t="str">
        <f t="shared" si="103"/>
        <v/>
      </c>
      <c r="O623" s="34" t="str">
        <f t="shared" si="103"/>
        <v/>
      </c>
      <c r="P623" s="34">
        <f t="shared" si="103"/>
        <v>84</v>
      </c>
      <c r="Q623" s="34">
        <f t="shared" si="103"/>
        <v>85</v>
      </c>
      <c r="R623" s="34">
        <f t="shared" si="103"/>
        <v>97</v>
      </c>
      <c r="S623" s="35">
        <f t="shared" si="97"/>
        <v>84</v>
      </c>
    </row>
    <row r="624" spans="2:19" hidden="1" outlineLevel="1">
      <c r="B624" s="14" t="s">
        <v>39</v>
      </c>
      <c r="C624" s="15" t="s">
        <v>66</v>
      </c>
      <c r="D624" s="52">
        <v>2035</v>
      </c>
      <c r="E624" s="34">
        <v>1</v>
      </c>
      <c r="F624" s="38">
        <f t="shared" si="94"/>
        <v>21304.282350507976</v>
      </c>
      <c r="G624" s="34">
        <f t="shared" si="95"/>
        <v>16</v>
      </c>
      <c r="H624" s="34">
        <f t="shared" si="96"/>
        <v>2</v>
      </c>
      <c r="I624" s="34" t="str">
        <f t="shared" si="103"/>
        <v/>
      </c>
      <c r="J624" s="34" t="str">
        <f t="shared" si="103"/>
        <v/>
      </c>
      <c r="K624" s="34" t="str">
        <f t="shared" si="103"/>
        <v/>
      </c>
      <c r="L624" s="34" t="str">
        <f t="shared" si="103"/>
        <v/>
      </c>
      <c r="M624" s="34" t="str">
        <f t="shared" si="103"/>
        <v/>
      </c>
      <c r="N624" s="34" t="str">
        <f t="shared" si="103"/>
        <v/>
      </c>
      <c r="O624" s="34" t="str">
        <f t="shared" si="103"/>
        <v/>
      </c>
      <c r="P624" s="34">
        <f t="shared" si="103"/>
        <v>84</v>
      </c>
      <c r="Q624" s="34">
        <f t="shared" si="103"/>
        <v>96</v>
      </c>
      <c r="R624" s="34">
        <f t="shared" si="103"/>
        <v>108</v>
      </c>
      <c r="S624" s="35">
        <f t="shared" si="97"/>
        <v>84</v>
      </c>
    </row>
    <row r="625" spans="2:19" hidden="1" outlineLevel="1">
      <c r="B625" s="14" t="s">
        <v>39</v>
      </c>
      <c r="C625" s="15" t="s">
        <v>66</v>
      </c>
      <c r="D625" s="52">
        <v>2035</v>
      </c>
      <c r="E625" s="34">
        <v>2</v>
      </c>
      <c r="F625" s="38">
        <f t="shared" si="94"/>
        <v>21304.282350507976</v>
      </c>
      <c r="G625" s="34">
        <f t="shared" si="95"/>
        <v>16</v>
      </c>
      <c r="H625" s="34">
        <f t="shared" si="96"/>
        <v>2</v>
      </c>
      <c r="I625" s="34" t="str">
        <f t="shared" si="103"/>
        <v/>
      </c>
      <c r="J625" s="34" t="str">
        <f t="shared" si="103"/>
        <v/>
      </c>
      <c r="K625" s="34" t="str">
        <f t="shared" si="103"/>
        <v/>
      </c>
      <c r="L625" s="34" t="str">
        <f t="shared" si="103"/>
        <v/>
      </c>
      <c r="M625" s="34" t="str">
        <f t="shared" si="103"/>
        <v/>
      </c>
      <c r="N625" s="34" t="str">
        <f t="shared" si="103"/>
        <v/>
      </c>
      <c r="O625" s="34" t="str">
        <f t="shared" si="103"/>
        <v/>
      </c>
      <c r="P625" s="34">
        <f t="shared" si="103"/>
        <v>84</v>
      </c>
      <c r="Q625" s="34">
        <f t="shared" si="103"/>
        <v>95</v>
      </c>
      <c r="R625" s="34">
        <f t="shared" si="103"/>
        <v>107</v>
      </c>
      <c r="S625" s="35">
        <f t="shared" si="97"/>
        <v>84</v>
      </c>
    </row>
    <row r="626" spans="2:19" hidden="1" outlineLevel="1">
      <c r="B626" s="14" t="s">
        <v>39</v>
      </c>
      <c r="C626" s="15" t="s">
        <v>66</v>
      </c>
      <c r="D626" s="52">
        <v>2035</v>
      </c>
      <c r="E626" s="34">
        <v>3</v>
      </c>
      <c r="F626" s="38">
        <f t="shared" si="94"/>
        <v>21304.282350507976</v>
      </c>
      <c r="G626" s="34">
        <f t="shared" si="95"/>
        <v>16</v>
      </c>
      <c r="H626" s="34">
        <f t="shared" si="96"/>
        <v>2</v>
      </c>
      <c r="I626" s="34" t="str">
        <f t="shared" si="103"/>
        <v/>
      </c>
      <c r="J626" s="34" t="str">
        <f t="shared" si="103"/>
        <v/>
      </c>
      <c r="K626" s="34" t="str">
        <f t="shared" si="103"/>
        <v/>
      </c>
      <c r="L626" s="34" t="str">
        <f t="shared" si="103"/>
        <v/>
      </c>
      <c r="M626" s="34" t="str">
        <f t="shared" si="103"/>
        <v/>
      </c>
      <c r="N626" s="34" t="str">
        <f t="shared" si="103"/>
        <v/>
      </c>
      <c r="O626" s="34" t="str">
        <f t="shared" si="103"/>
        <v/>
      </c>
      <c r="P626" s="34">
        <f t="shared" si="103"/>
        <v>84</v>
      </c>
      <c r="Q626" s="34">
        <f t="shared" si="103"/>
        <v>94</v>
      </c>
      <c r="R626" s="34">
        <f t="shared" si="103"/>
        <v>106</v>
      </c>
      <c r="S626" s="35">
        <f t="shared" si="97"/>
        <v>84</v>
      </c>
    </row>
    <row r="627" spans="2:19" hidden="1" outlineLevel="1">
      <c r="B627" s="14" t="s">
        <v>39</v>
      </c>
      <c r="C627" s="15" t="s">
        <v>66</v>
      </c>
      <c r="D627" s="52">
        <v>2035</v>
      </c>
      <c r="E627" s="34">
        <v>4</v>
      </c>
      <c r="F627" s="38">
        <f t="shared" si="94"/>
        <v>21304.282350507976</v>
      </c>
      <c r="G627" s="34">
        <f t="shared" si="95"/>
        <v>16</v>
      </c>
      <c r="H627" s="34">
        <f t="shared" si="96"/>
        <v>2</v>
      </c>
      <c r="I627" s="34" t="str">
        <f t="shared" si="103"/>
        <v/>
      </c>
      <c r="J627" s="34" t="str">
        <f t="shared" si="103"/>
        <v/>
      </c>
      <c r="K627" s="34" t="str">
        <f t="shared" si="103"/>
        <v/>
      </c>
      <c r="L627" s="34" t="str">
        <f t="shared" si="103"/>
        <v/>
      </c>
      <c r="M627" s="34" t="str">
        <f t="shared" si="103"/>
        <v/>
      </c>
      <c r="N627" s="34" t="str">
        <f t="shared" si="103"/>
        <v/>
      </c>
      <c r="O627" s="34" t="str">
        <f t="shared" si="103"/>
        <v/>
      </c>
      <c r="P627" s="34">
        <f t="shared" si="103"/>
        <v>84</v>
      </c>
      <c r="Q627" s="34">
        <f t="shared" si="103"/>
        <v>93</v>
      </c>
      <c r="R627" s="34">
        <f t="shared" si="103"/>
        <v>105</v>
      </c>
      <c r="S627" s="35">
        <f t="shared" si="97"/>
        <v>84</v>
      </c>
    </row>
    <row r="628" spans="2:19" hidden="1" outlineLevel="1">
      <c r="B628" s="14" t="s">
        <v>39</v>
      </c>
      <c r="C628" s="15" t="s">
        <v>66</v>
      </c>
      <c r="D628" s="52">
        <v>2035</v>
      </c>
      <c r="E628" s="34">
        <v>5</v>
      </c>
      <c r="F628" s="38">
        <f t="shared" si="94"/>
        <v>21304.282350507976</v>
      </c>
      <c r="G628" s="34">
        <f t="shared" si="95"/>
        <v>16</v>
      </c>
      <c r="H628" s="34">
        <f t="shared" si="96"/>
        <v>2</v>
      </c>
      <c r="I628" s="34" t="str">
        <f t="shared" si="103"/>
        <v/>
      </c>
      <c r="J628" s="34" t="str">
        <f t="shared" si="103"/>
        <v/>
      </c>
      <c r="K628" s="34" t="str">
        <f t="shared" si="103"/>
        <v/>
      </c>
      <c r="L628" s="34" t="str">
        <f t="shared" si="103"/>
        <v/>
      </c>
      <c r="M628" s="34" t="str">
        <f t="shared" si="103"/>
        <v/>
      </c>
      <c r="N628" s="34" t="str">
        <f t="shared" si="103"/>
        <v/>
      </c>
      <c r="O628" s="34" t="str">
        <f t="shared" si="103"/>
        <v/>
      </c>
      <c r="P628" s="34">
        <f t="shared" si="103"/>
        <v>84</v>
      </c>
      <c r="Q628" s="34">
        <f t="shared" si="103"/>
        <v>92</v>
      </c>
      <c r="R628" s="34">
        <f t="shared" si="103"/>
        <v>104</v>
      </c>
      <c r="S628" s="35">
        <f t="shared" si="97"/>
        <v>84</v>
      </c>
    </row>
    <row r="629" spans="2:19" hidden="1" outlineLevel="1">
      <c r="B629" s="14" t="s">
        <v>39</v>
      </c>
      <c r="C629" s="15" t="s">
        <v>66</v>
      </c>
      <c r="D629" s="52">
        <v>2035</v>
      </c>
      <c r="E629" s="34">
        <v>6</v>
      </c>
      <c r="F629" s="38">
        <f t="shared" si="94"/>
        <v>21304.282350507976</v>
      </c>
      <c r="G629" s="34">
        <f t="shared" si="95"/>
        <v>16</v>
      </c>
      <c r="H629" s="34">
        <f t="shared" si="96"/>
        <v>2</v>
      </c>
      <c r="I629" s="34" t="str">
        <f t="shared" si="103"/>
        <v/>
      </c>
      <c r="J629" s="34" t="str">
        <f t="shared" si="103"/>
        <v/>
      </c>
      <c r="K629" s="34" t="str">
        <f t="shared" si="103"/>
        <v/>
      </c>
      <c r="L629" s="34" t="str">
        <f t="shared" si="103"/>
        <v/>
      </c>
      <c r="M629" s="34" t="str">
        <f t="shared" si="103"/>
        <v/>
      </c>
      <c r="N629" s="34" t="str">
        <f t="shared" si="103"/>
        <v/>
      </c>
      <c r="O629" s="34" t="str">
        <f t="shared" si="103"/>
        <v/>
      </c>
      <c r="P629" s="34">
        <f t="shared" si="103"/>
        <v>84</v>
      </c>
      <c r="Q629" s="34">
        <f t="shared" si="103"/>
        <v>91</v>
      </c>
      <c r="R629" s="34">
        <f t="shared" si="103"/>
        <v>103</v>
      </c>
      <c r="S629" s="35">
        <f t="shared" si="97"/>
        <v>84</v>
      </c>
    </row>
    <row r="630" spans="2:19" hidden="1" outlineLevel="1">
      <c r="B630" s="14" t="s">
        <v>39</v>
      </c>
      <c r="C630" s="15" t="s">
        <v>66</v>
      </c>
      <c r="D630" s="52">
        <v>2035</v>
      </c>
      <c r="E630" s="34">
        <v>7</v>
      </c>
      <c r="F630" s="38">
        <f t="shared" si="94"/>
        <v>21304.282350507976</v>
      </c>
      <c r="G630" s="34">
        <f t="shared" si="95"/>
        <v>16</v>
      </c>
      <c r="H630" s="34">
        <f t="shared" si="96"/>
        <v>2</v>
      </c>
      <c r="I630" s="34" t="str">
        <f t="shared" ref="I630:R639" si="104">IF($D630&lt;$Z$18,"",IF(MAX($G630,INDEX($C$65:$F$108,$D630+I$119-2026,$H630))&lt;=12*I$119-$E630+12,MAX($G630,12*I$119-$E630+1,INDEX($C$65:$F$108,$D630+I$119-2026,$H630)),""))</f>
        <v/>
      </c>
      <c r="J630" s="34" t="str">
        <f t="shared" si="104"/>
        <v/>
      </c>
      <c r="K630" s="34" t="str">
        <f t="shared" si="104"/>
        <v/>
      </c>
      <c r="L630" s="34" t="str">
        <f t="shared" si="104"/>
        <v/>
      </c>
      <c r="M630" s="34" t="str">
        <f t="shared" si="104"/>
        <v/>
      </c>
      <c r="N630" s="34" t="str">
        <f t="shared" si="104"/>
        <v/>
      </c>
      <c r="O630" s="34" t="str">
        <f t="shared" si="104"/>
        <v/>
      </c>
      <c r="P630" s="34">
        <f t="shared" si="104"/>
        <v>84</v>
      </c>
      <c r="Q630" s="34">
        <f t="shared" si="104"/>
        <v>90</v>
      </c>
      <c r="R630" s="34">
        <f t="shared" si="104"/>
        <v>102</v>
      </c>
      <c r="S630" s="35">
        <f t="shared" si="97"/>
        <v>84</v>
      </c>
    </row>
    <row r="631" spans="2:19" hidden="1" outlineLevel="1">
      <c r="B631" s="14" t="s">
        <v>39</v>
      </c>
      <c r="C631" s="15" t="s">
        <v>66</v>
      </c>
      <c r="D631" s="52">
        <v>2035</v>
      </c>
      <c r="E631" s="34">
        <v>8</v>
      </c>
      <c r="F631" s="38">
        <f t="shared" si="94"/>
        <v>21304.282350507976</v>
      </c>
      <c r="G631" s="34">
        <f t="shared" si="95"/>
        <v>16</v>
      </c>
      <c r="H631" s="34">
        <f t="shared" si="96"/>
        <v>2</v>
      </c>
      <c r="I631" s="34" t="str">
        <f t="shared" si="104"/>
        <v/>
      </c>
      <c r="J631" s="34" t="str">
        <f t="shared" si="104"/>
        <v/>
      </c>
      <c r="K631" s="34" t="str">
        <f t="shared" si="104"/>
        <v/>
      </c>
      <c r="L631" s="34" t="str">
        <f t="shared" si="104"/>
        <v/>
      </c>
      <c r="M631" s="34" t="str">
        <f t="shared" si="104"/>
        <v/>
      </c>
      <c r="N631" s="34" t="str">
        <f t="shared" si="104"/>
        <v/>
      </c>
      <c r="O631" s="34" t="str">
        <f t="shared" si="104"/>
        <v/>
      </c>
      <c r="P631" s="34">
        <f t="shared" si="104"/>
        <v>84</v>
      </c>
      <c r="Q631" s="34">
        <f t="shared" si="104"/>
        <v>89</v>
      </c>
      <c r="R631" s="34">
        <f t="shared" si="104"/>
        <v>101</v>
      </c>
      <c r="S631" s="35">
        <f t="shared" si="97"/>
        <v>84</v>
      </c>
    </row>
    <row r="632" spans="2:19" hidden="1" outlineLevel="1">
      <c r="B632" s="14" t="s">
        <v>39</v>
      </c>
      <c r="C632" s="15" t="s">
        <v>66</v>
      </c>
      <c r="D632" s="52">
        <v>2035</v>
      </c>
      <c r="E632" s="34">
        <v>9</v>
      </c>
      <c r="F632" s="38">
        <f t="shared" ref="F632:F695" si="105">IF($C632="Homens",INDEX($C$5:$C$55,MATCH($D632,$B$5:$B$55,0)),INDEX($F$5:$F$55,MATCH($D632,$B$5:$B$55,0)))/12</f>
        <v>21304.282350507976</v>
      </c>
      <c r="G632" s="34">
        <f t="shared" ref="G632:G695" si="106">IF($C632="Homens",$Z$17,$AA$17)</f>
        <v>16</v>
      </c>
      <c r="H632" s="34">
        <f t="shared" ref="H632:H695" si="107">1+2*($B632="Com Transição")+($C632="Mulheres")</f>
        <v>2</v>
      </c>
      <c r="I632" s="34" t="str">
        <f t="shared" si="104"/>
        <v/>
      </c>
      <c r="J632" s="34" t="str">
        <f t="shared" si="104"/>
        <v/>
      </c>
      <c r="K632" s="34" t="str">
        <f t="shared" si="104"/>
        <v/>
      </c>
      <c r="L632" s="34" t="str">
        <f t="shared" si="104"/>
        <v/>
      </c>
      <c r="M632" s="34" t="str">
        <f t="shared" si="104"/>
        <v/>
      </c>
      <c r="N632" s="34" t="str">
        <f t="shared" si="104"/>
        <v/>
      </c>
      <c r="O632" s="34" t="str">
        <f t="shared" si="104"/>
        <v/>
      </c>
      <c r="P632" s="34">
        <f t="shared" si="104"/>
        <v>84</v>
      </c>
      <c r="Q632" s="34">
        <f t="shared" si="104"/>
        <v>88</v>
      </c>
      <c r="R632" s="34">
        <f t="shared" si="104"/>
        <v>100</v>
      </c>
      <c r="S632" s="35">
        <f t="shared" ref="S632:S695" si="108">IF($D632&lt;$Z$18,$G632,MIN(I632:R632))</f>
        <v>84</v>
      </c>
    </row>
    <row r="633" spans="2:19" hidden="1" outlineLevel="1">
      <c r="B633" s="14" t="s">
        <v>39</v>
      </c>
      <c r="C633" s="15" t="s">
        <v>66</v>
      </c>
      <c r="D633" s="52">
        <v>2035</v>
      </c>
      <c r="E633" s="34">
        <v>10</v>
      </c>
      <c r="F633" s="38">
        <f t="shared" si="105"/>
        <v>21304.282350507976</v>
      </c>
      <c r="G633" s="34">
        <f t="shared" si="106"/>
        <v>16</v>
      </c>
      <c r="H633" s="34">
        <f t="shared" si="107"/>
        <v>2</v>
      </c>
      <c r="I633" s="34" t="str">
        <f t="shared" si="104"/>
        <v/>
      </c>
      <c r="J633" s="34" t="str">
        <f t="shared" si="104"/>
        <v/>
      </c>
      <c r="K633" s="34" t="str">
        <f t="shared" si="104"/>
        <v/>
      </c>
      <c r="L633" s="34" t="str">
        <f t="shared" si="104"/>
        <v/>
      </c>
      <c r="M633" s="34" t="str">
        <f t="shared" si="104"/>
        <v/>
      </c>
      <c r="N633" s="34" t="str">
        <f t="shared" si="104"/>
        <v/>
      </c>
      <c r="O633" s="34" t="str">
        <f t="shared" si="104"/>
        <v/>
      </c>
      <c r="P633" s="34">
        <f t="shared" si="104"/>
        <v>84</v>
      </c>
      <c r="Q633" s="34">
        <f t="shared" si="104"/>
        <v>87</v>
      </c>
      <c r="R633" s="34">
        <f t="shared" si="104"/>
        <v>99</v>
      </c>
      <c r="S633" s="35">
        <f t="shared" si="108"/>
        <v>84</v>
      </c>
    </row>
    <row r="634" spans="2:19" hidden="1" outlineLevel="1">
      <c r="B634" s="14" t="s">
        <v>39</v>
      </c>
      <c r="C634" s="15" t="s">
        <v>66</v>
      </c>
      <c r="D634" s="52">
        <v>2035</v>
      </c>
      <c r="E634" s="34">
        <v>11</v>
      </c>
      <c r="F634" s="38">
        <f t="shared" si="105"/>
        <v>21304.282350507976</v>
      </c>
      <c r="G634" s="34">
        <f t="shared" si="106"/>
        <v>16</v>
      </c>
      <c r="H634" s="34">
        <f t="shared" si="107"/>
        <v>2</v>
      </c>
      <c r="I634" s="34" t="str">
        <f t="shared" si="104"/>
        <v/>
      </c>
      <c r="J634" s="34" t="str">
        <f t="shared" si="104"/>
        <v/>
      </c>
      <c r="K634" s="34" t="str">
        <f t="shared" si="104"/>
        <v/>
      </c>
      <c r="L634" s="34" t="str">
        <f t="shared" si="104"/>
        <v/>
      </c>
      <c r="M634" s="34" t="str">
        <f t="shared" si="104"/>
        <v/>
      </c>
      <c r="N634" s="34" t="str">
        <f t="shared" si="104"/>
        <v/>
      </c>
      <c r="O634" s="34" t="str">
        <f t="shared" si="104"/>
        <v/>
      </c>
      <c r="P634" s="34">
        <f t="shared" si="104"/>
        <v>84</v>
      </c>
      <c r="Q634" s="34">
        <f t="shared" si="104"/>
        <v>86</v>
      </c>
      <c r="R634" s="34">
        <f t="shared" si="104"/>
        <v>98</v>
      </c>
      <c r="S634" s="35">
        <f t="shared" si="108"/>
        <v>84</v>
      </c>
    </row>
    <row r="635" spans="2:19" hidden="1" outlineLevel="1">
      <c r="B635" s="14" t="s">
        <v>39</v>
      </c>
      <c r="C635" s="15" t="s">
        <v>66</v>
      </c>
      <c r="D635" s="52">
        <v>2035</v>
      </c>
      <c r="E635" s="34">
        <v>12</v>
      </c>
      <c r="F635" s="38">
        <f t="shared" si="105"/>
        <v>21304.282350507976</v>
      </c>
      <c r="G635" s="34">
        <f t="shared" si="106"/>
        <v>16</v>
      </c>
      <c r="H635" s="34">
        <f t="shared" si="107"/>
        <v>2</v>
      </c>
      <c r="I635" s="34" t="str">
        <f t="shared" si="104"/>
        <v/>
      </c>
      <c r="J635" s="34" t="str">
        <f t="shared" si="104"/>
        <v/>
      </c>
      <c r="K635" s="34" t="str">
        <f t="shared" si="104"/>
        <v/>
      </c>
      <c r="L635" s="34" t="str">
        <f t="shared" si="104"/>
        <v/>
      </c>
      <c r="M635" s="34" t="str">
        <f t="shared" si="104"/>
        <v/>
      </c>
      <c r="N635" s="34" t="str">
        <f t="shared" si="104"/>
        <v/>
      </c>
      <c r="O635" s="34" t="str">
        <f t="shared" si="104"/>
        <v/>
      </c>
      <c r="P635" s="34">
        <f t="shared" si="104"/>
        <v>84</v>
      </c>
      <c r="Q635" s="34">
        <f t="shared" si="104"/>
        <v>85</v>
      </c>
      <c r="R635" s="34">
        <f t="shared" si="104"/>
        <v>97</v>
      </c>
      <c r="S635" s="35">
        <f t="shared" si="108"/>
        <v>84</v>
      </c>
    </row>
    <row r="636" spans="2:19" hidden="1" outlineLevel="1">
      <c r="B636" s="14" t="s">
        <v>39</v>
      </c>
      <c r="C636" s="15" t="s">
        <v>66</v>
      </c>
      <c r="D636" s="52">
        <v>2036</v>
      </c>
      <c r="E636" s="34">
        <v>1</v>
      </c>
      <c r="F636" s="38">
        <f t="shared" si="105"/>
        <v>21550.25144374057</v>
      </c>
      <c r="G636" s="34">
        <f t="shared" si="106"/>
        <v>16</v>
      </c>
      <c r="H636" s="34">
        <f t="shared" si="107"/>
        <v>2</v>
      </c>
      <c r="I636" s="34" t="str">
        <f t="shared" si="104"/>
        <v/>
      </c>
      <c r="J636" s="34" t="str">
        <f t="shared" si="104"/>
        <v/>
      </c>
      <c r="K636" s="34" t="str">
        <f t="shared" si="104"/>
        <v/>
      </c>
      <c r="L636" s="34" t="str">
        <f t="shared" si="104"/>
        <v/>
      </c>
      <c r="M636" s="34" t="str">
        <f t="shared" si="104"/>
        <v/>
      </c>
      <c r="N636" s="34" t="str">
        <f t="shared" si="104"/>
        <v/>
      </c>
      <c r="O636" s="34" t="str">
        <f t="shared" si="104"/>
        <v/>
      </c>
      <c r="P636" s="34">
        <f t="shared" si="104"/>
        <v>84</v>
      </c>
      <c r="Q636" s="34">
        <f t="shared" si="104"/>
        <v>96</v>
      </c>
      <c r="R636" s="34">
        <f t="shared" si="104"/>
        <v>108</v>
      </c>
      <c r="S636" s="35">
        <f t="shared" si="108"/>
        <v>84</v>
      </c>
    </row>
    <row r="637" spans="2:19" hidden="1" outlineLevel="1">
      <c r="B637" s="14" t="s">
        <v>39</v>
      </c>
      <c r="C637" s="15" t="s">
        <v>66</v>
      </c>
      <c r="D637" s="52">
        <v>2036</v>
      </c>
      <c r="E637" s="34">
        <v>2</v>
      </c>
      <c r="F637" s="38">
        <f t="shared" si="105"/>
        <v>21550.25144374057</v>
      </c>
      <c r="G637" s="34">
        <f t="shared" si="106"/>
        <v>16</v>
      </c>
      <c r="H637" s="34">
        <f t="shared" si="107"/>
        <v>2</v>
      </c>
      <c r="I637" s="34" t="str">
        <f t="shared" si="104"/>
        <v/>
      </c>
      <c r="J637" s="34" t="str">
        <f t="shared" si="104"/>
        <v/>
      </c>
      <c r="K637" s="34" t="str">
        <f t="shared" si="104"/>
        <v/>
      </c>
      <c r="L637" s="34" t="str">
        <f t="shared" si="104"/>
        <v/>
      </c>
      <c r="M637" s="34" t="str">
        <f t="shared" si="104"/>
        <v/>
      </c>
      <c r="N637" s="34" t="str">
        <f t="shared" si="104"/>
        <v/>
      </c>
      <c r="O637" s="34" t="str">
        <f t="shared" si="104"/>
        <v/>
      </c>
      <c r="P637" s="34">
        <f t="shared" si="104"/>
        <v>84</v>
      </c>
      <c r="Q637" s="34">
        <f t="shared" si="104"/>
        <v>95</v>
      </c>
      <c r="R637" s="34">
        <f t="shared" si="104"/>
        <v>107</v>
      </c>
      <c r="S637" s="35">
        <f t="shared" si="108"/>
        <v>84</v>
      </c>
    </row>
    <row r="638" spans="2:19" hidden="1" outlineLevel="1">
      <c r="B638" s="14" t="s">
        <v>39</v>
      </c>
      <c r="C638" s="15" t="s">
        <v>66</v>
      </c>
      <c r="D638" s="52">
        <v>2036</v>
      </c>
      <c r="E638" s="34">
        <v>3</v>
      </c>
      <c r="F638" s="38">
        <f t="shared" si="105"/>
        <v>21550.25144374057</v>
      </c>
      <c r="G638" s="34">
        <f t="shared" si="106"/>
        <v>16</v>
      </c>
      <c r="H638" s="34">
        <f t="shared" si="107"/>
        <v>2</v>
      </c>
      <c r="I638" s="34" t="str">
        <f t="shared" si="104"/>
        <v/>
      </c>
      <c r="J638" s="34" t="str">
        <f t="shared" si="104"/>
        <v/>
      </c>
      <c r="K638" s="34" t="str">
        <f t="shared" si="104"/>
        <v/>
      </c>
      <c r="L638" s="34" t="str">
        <f t="shared" si="104"/>
        <v/>
      </c>
      <c r="M638" s="34" t="str">
        <f t="shared" si="104"/>
        <v/>
      </c>
      <c r="N638" s="34" t="str">
        <f t="shared" si="104"/>
        <v/>
      </c>
      <c r="O638" s="34" t="str">
        <f t="shared" si="104"/>
        <v/>
      </c>
      <c r="P638" s="34">
        <f t="shared" si="104"/>
        <v>84</v>
      </c>
      <c r="Q638" s="34">
        <f t="shared" si="104"/>
        <v>94</v>
      </c>
      <c r="R638" s="34">
        <f t="shared" si="104"/>
        <v>106</v>
      </c>
      <c r="S638" s="35">
        <f t="shared" si="108"/>
        <v>84</v>
      </c>
    </row>
    <row r="639" spans="2:19" hidden="1" outlineLevel="1">
      <c r="B639" s="14" t="s">
        <v>39</v>
      </c>
      <c r="C639" s="15" t="s">
        <v>66</v>
      </c>
      <c r="D639" s="52">
        <v>2036</v>
      </c>
      <c r="E639" s="34">
        <v>4</v>
      </c>
      <c r="F639" s="38">
        <f t="shared" si="105"/>
        <v>21550.25144374057</v>
      </c>
      <c r="G639" s="34">
        <f t="shared" si="106"/>
        <v>16</v>
      </c>
      <c r="H639" s="34">
        <f t="shared" si="107"/>
        <v>2</v>
      </c>
      <c r="I639" s="34" t="str">
        <f t="shared" si="104"/>
        <v/>
      </c>
      <c r="J639" s="34" t="str">
        <f t="shared" si="104"/>
        <v/>
      </c>
      <c r="K639" s="34" t="str">
        <f t="shared" si="104"/>
        <v/>
      </c>
      <c r="L639" s="34" t="str">
        <f t="shared" si="104"/>
        <v/>
      </c>
      <c r="M639" s="34" t="str">
        <f t="shared" si="104"/>
        <v/>
      </c>
      <c r="N639" s="34" t="str">
        <f t="shared" si="104"/>
        <v/>
      </c>
      <c r="O639" s="34" t="str">
        <f t="shared" si="104"/>
        <v/>
      </c>
      <c r="P639" s="34">
        <f t="shared" si="104"/>
        <v>84</v>
      </c>
      <c r="Q639" s="34">
        <f t="shared" si="104"/>
        <v>93</v>
      </c>
      <c r="R639" s="34">
        <f t="shared" si="104"/>
        <v>105</v>
      </c>
      <c r="S639" s="35">
        <f t="shared" si="108"/>
        <v>84</v>
      </c>
    </row>
    <row r="640" spans="2:19" hidden="1" outlineLevel="1">
      <c r="B640" s="14" t="s">
        <v>39</v>
      </c>
      <c r="C640" s="15" t="s">
        <v>66</v>
      </c>
      <c r="D640" s="52">
        <v>2036</v>
      </c>
      <c r="E640" s="34">
        <v>5</v>
      </c>
      <c r="F640" s="38">
        <f t="shared" si="105"/>
        <v>21550.25144374057</v>
      </c>
      <c r="G640" s="34">
        <f t="shared" si="106"/>
        <v>16</v>
      </c>
      <c r="H640" s="34">
        <f t="shared" si="107"/>
        <v>2</v>
      </c>
      <c r="I640" s="34" t="str">
        <f t="shared" ref="I640:R649" si="109">IF($D640&lt;$Z$18,"",IF(MAX($G640,INDEX($C$65:$F$108,$D640+I$119-2026,$H640))&lt;=12*I$119-$E640+12,MAX($G640,12*I$119-$E640+1,INDEX($C$65:$F$108,$D640+I$119-2026,$H640)),""))</f>
        <v/>
      </c>
      <c r="J640" s="34" t="str">
        <f t="shared" si="109"/>
        <v/>
      </c>
      <c r="K640" s="34" t="str">
        <f t="shared" si="109"/>
        <v/>
      </c>
      <c r="L640" s="34" t="str">
        <f t="shared" si="109"/>
        <v/>
      </c>
      <c r="M640" s="34" t="str">
        <f t="shared" si="109"/>
        <v/>
      </c>
      <c r="N640" s="34" t="str">
        <f t="shared" si="109"/>
        <v/>
      </c>
      <c r="O640" s="34" t="str">
        <f t="shared" si="109"/>
        <v/>
      </c>
      <c r="P640" s="34">
        <f t="shared" si="109"/>
        <v>84</v>
      </c>
      <c r="Q640" s="34">
        <f t="shared" si="109"/>
        <v>92</v>
      </c>
      <c r="R640" s="34">
        <f t="shared" si="109"/>
        <v>104</v>
      </c>
      <c r="S640" s="35">
        <f t="shared" si="108"/>
        <v>84</v>
      </c>
    </row>
    <row r="641" spans="2:19" hidden="1" outlineLevel="1">
      <c r="B641" s="14" t="s">
        <v>39</v>
      </c>
      <c r="C641" s="15" t="s">
        <v>66</v>
      </c>
      <c r="D641" s="52">
        <v>2036</v>
      </c>
      <c r="E641" s="34">
        <v>6</v>
      </c>
      <c r="F641" s="38">
        <f t="shared" si="105"/>
        <v>21550.25144374057</v>
      </c>
      <c r="G641" s="34">
        <f t="shared" si="106"/>
        <v>16</v>
      </c>
      <c r="H641" s="34">
        <f t="shared" si="107"/>
        <v>2</v>
      </c>
      <c r="I641" s="34" t="str">
        <f t="shared" si="109"/>
        <v/>
      </c>
      <c r="J641" s="34" t="str">
        <f t="shared" si="109"/>
        <v/>
      </c>
      <c r="K641" s="34" t="str">
        <f t="shared" si="109"/>
        <v/>
      </c>
      <c r="L641" s="34" t="str">
        <f t="shared" si="109"/>
        <v/>
      </c>
      <c r="M641" s="34" t="str">
        <f t="shared" si="109"/>
        <v/>
      </c>
      <c r="N641" s="34" t="str">
        <f t="shared" si="109"/>
        <v/>
      </c>
      <c r="O641" s="34" t="str">
        <f t="shared" si="109"/>
        <v/>
      </c>
      <c r="P641" s="34">
        <f t="shared" si="109"/>
        <v>84</v>
      </c>
      <c r="Q641" s="34">
        <f t="shared" si="109"/>
        <v>91</v>
      </c>
      <c r="R641" s="34">
        <f t="shared" si="109"/>
        <v>103</v>
      </c>
      <c r="S641" s="35">
        <f t="shared" si="108"/>
        <v>84</v>
      </c>
    </row>
    <row r="642" spans="2:19" hidden="1" outlineLevel="1">
      <c r="B642" s="14" t="s">
        <v>39</v>
      </c>
      <c r="C642" s="15" t="s">
        <v>66</v>
      </c>
      <c r="D642" s="52">
        <v>2036</v>
      </c>
      <c r="E642" s="34">
        <v>7</v>
      </c>
      <c r="F642" s="38">
        <f t="shared" si="105"/>
        <v>21550.25144374057</v>
      </c>
      <c r="G642" s="34">
        <f t="shared" si="106"/>
        <v>16</v>
      </c>
      <c r="H642" s="34">
        <f t="shared" si="107"/>
        <v>2</v>
      </c>
      <c r="I642" s="34" t="str">
        <f t="shared" si="109"/>
        <v/>
      </c>
      <c r="J642" s="34" t="str">
        <f t="shared" si="109"/>
        <v/>
      </c>
      <c r="K642" s="34" t="str">
        <f t="shared" si="109"/>
        <v/>
      </c>
      <c r="L642" s="34" t="str">
        <f t="shared" si="109"/>
        <v/>
      </c>
      <c r="M642" s="34" t="str">
        <f t="shared" si="109"/>
        <v/>
      </c>
      <c r="N642" s="34" t="str">
        <f t="shared" si="109"/>
        <v/>
      </c>
      <c r="O642" s="34" t="str">
        <f t="shared" si="109"/>
        <v/>
      </c>
      <c r="P642" s="34">
        <f t="shared" si="109"/>
        <v>84</v>
      </c>
      <c r="Q642" s="34">
        <f t="shared" si="109"/>
        <v>90</v>
      </c>
      <c r="R642" s="34">
        <f t="shared" si="109"/>
        <v>102</v>
      </c>
      <c r="S642" s="35">
        <f t="shared" si="108"/>
        <v>84</v>
      </c>
    </row>
    <row r="643" spans="2:19" hidden="1" outlineLevel="1">
      <c r="B643" s="14" t="s">
        <v>39</v>
      </c>
      <c r="C643" s="15" t="s">
        <v>66</v>
      </c>
      <c r="D643" s="52">
        <v>2036</v>
      </c>
      <c r="E643" s="34">
        <v>8</v>
      </c>
      <c r="F643" s="38">
        <f t="shared" si="105"/>
        <v>21550.25144374057</v>
      </c>
      <c r="G643" s="34">
        <f t="shared" si="106"/>
        <v>16</v>
      </c>
      <c r="H643" s="34">
        <f t="shared" si="107"/>
        <v>2</v>
      </c>
      <c r="I643" s="34" t="str">
        <f t="shared" si="109"/>
        <v/>
      </c>
      <c r="J643" s="34" t="str">
        <f t="shared" si="109"/>
        <v/>
      </c>
      <c r="K643" s="34" t="str">
        <f t="shared" si="109"/>
        <v/>
      </c>
      <c r="L643" s="34" t="str">
        <f t="shared" si="109"/>
        <v/>
      </c>
      <c r="M643" s="34" t="str">
        <f t="shared" si="109"/>
        <v/>
      </c>
      <c r="N643" s="34" t="str">
        <f t="shared" si="109"/>
        <v/>
      </c>
      <c r="O643" s="34" t="str">
        <f t="shared" si="109"/>
        <v/>
      </c>
      <c r="P643" s="34">
        <f t="shared" si="109"/>
        <v>84</v>
      </c>
      <c r="Q643" s="34">
        <f t="shared" si="109"/>
        <v>89</v>
      </c>
      <c r="R643" s="34">
        <f t="shared" si="109"/>
        <v>101</v>
      </c>
      <c r="S643" s="35">
        <f t="shared" si="108"/>
        <v>84</v>
      </c>
    </row>
    <row r="644" spans="2:19" hidden="1" outlineLevel="1">
      <c r="B644" s="14" t="s">
        <v>39</v>
      </c>
      <c r="C644" s="15" t="s">
        <v>66</v>
      </c>
      <c r="D644" s="52">
        <v>2036</v>
      </c>
      <c r="E644" s="34">
        <v>9</v>
      </c>
      <c r="F644" s="38">
        <f t="shared" si="105"/>
        <v>21550.25144374057</v>
      </c>
      <c r="G644" s="34">
        <f t="shared" si="106"/>
        <v>16</v>
      </c>
      <c r="H644" s="34">
        <f t="shared" si="107"/>
        <v>2</v>
      </c>
      <c r="I644" s="34" t="str">
        <f t="shared" si="109"/>
        <v/>
      </c>
      <c r="J644" s="34" t="str">
        <f t="shared" si="109"/>
        <v/>
      </c>
      <c r="K644" s="34" t="str">
        <f t="shared" si="109"/>
        <v/>
      </c>
      <c r="L644" s="34" t="str">
        <f t="shared" si="109"/>
        <v/>
      </c>
      <c r="M644" s="34" t="str">
        <f t="shared" si="109"/>
        <v/>
      </c>
      <c r="N644" s="34" t="str">
        <f t="shared" si="109"/>
        <v/>
      </c>
      <c r="O644" s="34" t="str">
        <f t="shared" si="109"/>
        <v/>
      </c>
      <c r="P644" s="34">
        <f t="shared" si="109"/>
        <v>84</v>
      </c>
      <c r="Q644" s="34">
        <f t="shared" si="109"/>
        <v>88</v>
      </c>
      <c r="R644" s="34">
        <f t="shared" si="109"/>
        <v>100</v>
      </c>
      <c r="S644" s="35">
        <f t="shared" si="108"/>
        <v>84</v>
      </c>
    </row>
    <row r="645" spans="2:19" hidden="1" outlineLevel="1">
      <c r="B645" s="14" t="s">
        <v>39</v>
      </c>
      <c r="C645" s="15" t="s">
        <v>66</v>
      </c>
      <c r="D645" s="52">
        <v>2036</v>
      </c>
      <c r="E645" s="34">
        <v>10</v>
      </c>
      <c r="F645" s="38">
        <f t="shared" si="105"/>
        <v>21550.25144374057</v>
      </c>
      <c r="G645" s="34">
        <f t="shared" si="106"/>
        <v>16</v>
      </c>
      <c r="H645" s="34">
        <f t="shared" si="107"/>
        <v>2</v>
      </c>
      <c r="I645" s="34" t="str">
        <f t="shared" si="109"/>
        <v/>
      </c>
      <c r="J645" s="34" t="str">
        <f t="shared" si="109"/>
        <v/>
      </c>
      <c r="K645" s="34" t="str">
        <f t="shared" si="109"/>
        <v/>
      </c>
      <c r="L645" s="34" t="str">
        <f t="shared" si="109"/>
        <v/>
      </c>
      <c r="M645" s="34" t="str">
        <f t="shared" si="109"/>
        <v/>
      </c>
      <c r="N645" s="34" t="str">
        <f t="shared" si="109"/>
        <v/>
      </c>
      <c r="O645" s="34" t="str">
        <f t="shared" si="109"/>
        <v/>
      </c>
      <c r="P645" s="34">
        <f t="shared" si="109"/>
        <v>84</v>
      </c>
      <c r="Q645" s="34">
        <f t="shared" si="109"/>
        <v>87</v>
      </c>
      <c r="R645" s="34">
        <f t="shared" si="109"/>
        <v>99</v>
      </c>
      <c r="S645" s="35">
        <f t="shared" si="108"/>
        <v>84</v>
      </c>
    </row>
    <row r="646" spans="2:19" hidden="1" outlineLevel="1">
      <c r="B646" s="14" t="s">
        <v>39</v>
      </c>
      <c r="C646" s="15" t="s">
        <v>66</v>
      </c>
      <c r="D646" s="52">
        <v>2036</v>
      </c>
      <c r="E646" s="34">
        <v>11</v>
      </c>
      <c r="F646" s="38">
        <f t="shared" si="105"/>
        <v>21550.25144374057</v>
      </c>
      <c r="G646" s="34">
        <f t="shared" si="106"/>
        <v>16</v>
      </c>
      <c r="H646" s="34">
        <f t="shared" si="107"/>
        <v>2</v>
      </c>
      <c r="I646" s="34" t="str">
        <f t="shared" si="109"/>
        <v/>
      </c>
      <c r="J646" s="34" t="str">
        <f t="shared" si="109"/>
        <v/>
      </c>
      <c r="K646" s="34" t="str">
        <f t="shared" si="109"/>
        <v/>
      </c>
      <c r="L646" s="34" t="str">
        <f t="shared" si="109"/>
        <v/>
      </c>
      <c r="M646" s="34" t="str">
        <f t="shared" si="109"/>
        <v/>
      </c>
      <c r="N646" s="34" t="str">
        <f t="shared" si="109"/>
        <v/>
      </c>
      <c r="O646" s="34" t="str">
        <f t="shared" si="109"/>
        <v/>
      </c>
      <c r="P646" s="34">
        <f t="shared" si="109"/>
        <v>84</v>
      </c>
      <c r="Q646" s="34">
        <f t="shared" si="109"/>
        <v>86</v>
      </c>
      <c r="R646" s="34">
        <f t="shared" si="109"/>
        <v>98</v>
      </c>
      <c r="S646" s="35">
        <f t="shared" si="108"/>
        <v>84</v>
      </c>
    </row>
    <row r="647" spans="2:19" hidden="1" outlineLevel="1">
      <c r="B647" s="14" t="s">
        <v>39</v>
      </c>
      <c r="C647" s="15" t="s">
        <v>66</v>
      </c>
      <c r="D647" s="52">
        <v>2036</v>
      </c>
      <c r="E647" s="34">
        <v>12</v>
      </c>
      <c r="F647" s="38">
        <f t="shared" si="105"/>
        <v>21550.25144374057</v>
      </c>
      <c r="G647" s="34">
        <f t="shared" si="106"/>
        <v>16</v>
      </c>
      <c r="H647" s="34">
        <f t="shared" si="107"/>
        <v>2</v>
      </c>
      <c r="I647" s="34" t="str">
        <f t="shared" si="109"/>
        <v/>
      </c>
      <c r="J647" s="34" t="str">
        <f t="shared" si="109"/>
        <v/>
      </c>
      <c r="K647" s="34" t="str">
        <f t="shared" si="109"/>
        <v/>
      </c>
      <c r="L647" s="34" t="str">
        <f t="shared" si="109"/>
        <v/>
      </c>
      <c r="M647" s="34" t="str">
        <f t="shared" si="109"/>
        <v/>
      </c>
      <c r="N647" s="34" t="str">
        <f t="shared" si="109"/>
        <v/>
      </c>
      <c r="O647" s="34" t="str">
        <f t="shared" si="109"/>
        <v/>
      </c>
      <c r="P647" s="34">
        <f t="shared" si="109"/>
        <v>84</v>
      </c>
      <c r="Q647" s="34">
        <f t="shared" si="109"/>
        <v>85</v>
      </c>
      <c r="R647" s="34">
        <f t="shared" si="109"/>
        <v>97</v>
      </c>
      <c r="S647" s="35">
        <f t="shared" si="108"/>
        <v>84</v>
      </c>
    </row>
    <row r="648" spans="2:19" hidden="1" outlineLevel="1">
      <c r="B648" s="14" t="s">
        <v>39</v>
      </c>
      <c r="C648" s="15" t="s">
        <v>66</v>
      </c>
      <c r="D648" s="52">
        <v>2037</v>
      </c>
      <c r="E648" s="34">
        <v>1</v>
      </c>
      <c r="F648" s="38">
        <f t="shared" si="105"/>
        <v>21629.622873241184</v>
      </c>
      <c r="G648" s="34">
        <f t="shared" si="106"/>
        <v>16</v>
      </c>
      <c r="H648" s="34">
        <f t="shared" si="107"/>
        <v>2</v>
      </c>
      <c r="I648" s="34" t="str">
        <f t="shared" si="109"/>
        <v/>
      </c>
      <c r="J648" s="34" t="str">
        <f t="shared" si="109"/>
        <v/>
      </c>
      <c r="K648" s="34" t="str">
        <f t="shared" si="109"/>
        <v/>
      </c>
      <c r="L648" s="34" t="str">
        <f t="shared" si="109"/>
        <v/>
      </c>
      <c r="M648" s="34" t="str">
        <f t="shared" si="109"/>
        <v/>
      </c>
      <c r="N648" s="34" t="str">
        <f t="shared" si="109"/>
        <v/>
      </c>
      <c r="O648" s="34" t="str">
        <f t="shared" si="109"/>
        <v/>
      </c>
      <c r="P648" s="34">
        <f t="shared" si="109"/>
        <v>84</v>
      </c>
      <c r="Q648" s="34">
        <f t="shared" si="109"/>
        <v>96</v>
      </c>
      <c r="R648" s="34">
        <f t="shared" si="109"/>
        <v>108</v>
      </c>
      <c r="S648" s="35">
        <f t="shared" si="108"/>
        <v>84</v>
      </c>
    </row>
    <row r="649" spans="2:19" hidden="1" outlineLevel="1">
      <c r="B649" s="14" t="s">
        <v>39</v>
      </c>
      <c r="C649" s="15" t="s">
        <v>66</v>
      </c>
      <c r="D649" s="52">
        <v>2037</v>
      </c>
      <c r="E649" s="34">
        <v>2</v>
      </c>
      <c r="F649" s="38">
        <f t="shared" si="105"/>
        <v>21629.622873241184</v>
      </c>
      <c r="G649" s="34">
        <f t="shared" si="106"/>
        <v>16</v>
      </c>
      <c r="H649" s="34">
        <f t="shared" si="107"/>
        <v>2</v>
      </c>
      <c r="I649" s="34" t="str">
        <f t="shared" si="109"/>
        <v/>
      </c>
      <c r="J649" s="34" t="str">
        <f t="shared" si="109"/>
        <v/>
      </c>
      <c r="K649" s="34" t="str">
        <f t="shared" si="109"/>
        <v/>
      </c>
      <c r="L649" s="34" t="str">
        <f t="shared" si="109"/>
        <v/>
      </c>
      <c r="M649" s="34" t="str">
        <f t="shared" si="109"/>
        <v/>
      </c>
      <c r="N649" s="34" t="str">
        <f t="shared" si="109"/>
        <v/>
      </c>
      <c r="O649" s="34" t="str">
        <f t="shared" si="109"/>
        <v/>
      </c>
      <c r="P649" s="34">
        <f t="shared" si="109"/>
        <v>84</v>
      </c>
      <c r="Q649" s="34">
        <f t="shared" si="109"/>
        <v>95</v>
      </c>
      <c r="R649" s="34">
        <f t="shared" si="109"/>
        <v>107</v>
      </c>
      <c r="S649" s="35">
        <f t="shared" si="108"/>
        <v>84</v>
      </c>
    </row>
    <row r="650" spans="2:19" hidden="1" outlineLevel="1">
      <c r="B650" s="14" t="s">
        <v>39</v>
      </c>
      <c r="C650" s="15" t="s">
        <v>66</v>
      </c>
      <c r="D650" s="52">
        <v>2037</v>
      </c>
      <c r="E650" s="34">
        <v>3</v>
      </c>
      <c r="F650" s="38">
        <f t="shared" si="105"/>
        <v>21629.622873241184</v>
      </c>
      <c r="G650" s="34">
        <f t="shared" si="106"/>
        <v>16</v>
      </c>
      <c r="H650" s="34">
        <f t="shared" si="107"/>
        <v>2</v>
      </c>
      <c r="I650" s="34" t="str">
        <f t="shared" ref="I650:R659" si="110">IF($D650&lt;$Z$18,"",IF(MAX($G650,INDEX($C$65:$F$108,$D650+I$119-2026,$H650))&lt;=12*I$119-$E650+12,MAX($G650,12*I$119-$E650+1,INDEX($C$65:$F$108,$D650+I$119-2026,$H650)),""))</f>
        <v/>
      </c>
      <c r="J650" s="34" t="str">
        <f t="shared" si="110"/>
        <v/>
      </c>
      <c r="K650" s="34" t="str">
        <f t="shared" si="110"/>
        <v/>
      </c>
      <c r="L650" s="34" t="str">
        <f t="shared" si="110"/>
        <v/>
      </c>
      <c r="M650" s="34" t="str">
        <f t="shared" si="110"/>
        <v/>
      </c>
      <c r="N650" s="34" t="str">
        <f t="shared" si="110"/>
        <v/>
      </c>
      <c r="O650" s="34" t="str">
        <f t="shared" si="110"/>
        <v/>
      </c>
      <c r="P650" s="34">
        <f t="shared" si="110"/>
        <v>84</v>
      </c>
      <c r="Q650" s="34">
        <f t="shared" si="110"/>
        <v>94</v>
      </c>
      <c r="R650" s="34">
        <f t="shared" si="110"/>
        <v>106</v>
      </c>
      <c r="S650" s="35">
        <f t="shared" si="108"/>
        <v>84</v>
      </c>
    </row>
    <row r="651" spans="2:19" hidden="1" outlineLevel="1">
      <c r="B651" s="14" t="s">
        <v>39</v>
      </c>
      <c r="C651" s="15" t="s">
        <v>66</v>
      </c>
      <c r="D651" s="52">
        <v>2037</v>
      </c>
      <c r="E651" s="34">
        <v>4</v>
      </c>
      <c r="F651" s="38">
        <f t="shared" si="105"/>
        <v>21629.622873241184</v>
      </c>
      <c r="G651" s="34">
        <f t="shared" si="106"/>
        <v>16</v>
      </c>
      <c r="H651" s="34">
        <f t="shared" si="107"/>
        <v>2</v>
      </c>
      <c r="I651" s="34" t="str">
        <f t="shared" si="110"/>
        <v/>
      </c>
      <c r="J651" s="34" t="str">
        <f t="shared" si="110"/>
        <v/>
      </c>
      <c r="K651" s="34" t="str">
        <f t="shared" si="110"/>
        <v/>
      </c>
      <c r="L651" s="34" t="str">
        <f t="shared" si="110"/>
        <v/>
      </c>
      <c r="M651" s="34" t="str">
        <f t="shared" si="110"/>
        <v/>
      </c>
      <c r="N651" s="34" t="str">
        <f t="shared" si="110"/>
        <v/>
      </c>
      <c r="O651" s="34" t="str">
        <f t="shared" si="110"/>
        <v/>
      </c>
      <c r="P651" s="34">
        <f t="shared" si="110"/>
        <v>84</v>
      </c>
      <c r="Q651" s="34">
        <f t="shared" si="110"/>
        <v>93</v>
      </c>
      <c r="R651" s="34">
        <f t="shared" si="110"/>
        <v>105</v>
      </c>
      <c r="S651" s="35">
        <f t="shared" si="108"/>
        <v>84</v>
      </c>
    </row>
    <row r="652" spans="2:19" hidden="1" outlineLevel="1">
      <c r="B652" s="14" t="s">
        <v>39</v>
      </c>
      <c r="C652" s="15" t="s">
        <v>66</v>
      </c>
      <c r="D652" s="52">
        <v>2037</v>
      </c>
      <c r="E652" s="34">
        <v>5</v>
      </c>
      <c r="F652" s="38">
        <f t="shared" si="105"/>
        <v>21629.622873241184</v>
      </c>
      <c r="G652" s="34">
        <f t="shared" si="106"/>
        <v>16</v>
      </c>
      <c r="H652" s="34">
        <f t="shared" si="107"/>
        <v>2</v>
      </c>
      <c r="I652" s="34" t="str">
        <f t="shared" si="110"/>
        <v/>
      </c>
      <c r="J652" s="34" t="str">
        <f t="shared" si="110"/>
        <v/>
      </c>
      <c r="K652" s="34" t="str">
        <f t="shared" si="110"/>
        <v/>
      </c>
      <c r="L652" s="34" t="str">
        <f t="shared" si="110"/>
        <v/>
      </c>
      <c r="M652" s="34" t="str">
        <f t="shared" si="110"/>
        <v/>
      </c>
      <c r="N652" s="34" t="str">
        <f t="shared" si="110"/>
        <v/>
      </c>
      <c r="O652" s="34" t="str">
        <f t="shared" si="110"/>
        <v/>
      </c>
      <c r="P652" s="34">
        <f t="shared" si="110"/>
        <v>84</v>
      </c>
      <c r="Q652" s="34">
        <f t="shared" si="110"/>
        <v>92</v>
      </c>
      <c r="R652" s="34">
        <f t="shared" si="110"/>
        <v>104</v>
      </c>
      <c r="S652" s="35">
        <f t="shared" si="108"/>
        <v>84</v>
      </c>
    </row>
    <row r="653" spans="2:19" hidden="1" outlineLevel="1">
      <c r="B653" s="14" t="s">
        <v>39</v>
      </c>
      <c r="C653" s="15" t="s">
        <v>66</v>
      </c>
      <c r="D653" s="52">
        <v>2037</v>
      </c>
      <c r="E653" s="34">
        <v>6</v>
      </c>
      <c r="F653" s="38">
        <f t="shared" si="105"/>
        <v>21629.622873241184</v>
      </c>
      <c r="G653" s="34">
        <f t="shared" si="106"/>
        <v>16</v>
      </c>
      <c r="H653" s="34">
        <f t="shared" si="107"/>
        <v>2</v>
      </c>
      <c r="I653" s="34" t="str">
        <f t="shared" si="110"/>
        <v/>
      </c>
      <c r="J653" s="34" t="str">
        <f t="shared" si="110"/>
        <v/>
      </c>
      <c r="K653" s="34" t="str">
        <f t="shared" si="110"/>
        <v/>
      </c>
      <c r="L653" s="34" t="str">
        <f t="shared" si="110"/>
        <v/>
      </c>
      <c r="M653" s="34" t="str">
        <f t="shared" si="110"/>
        <v/>
      </c>
      <c r="N653" s="34" t="str">
        <f t="shared" si="110"/>
        <v/>
      </c>
      <c r="O653" s="34" t="str">
        <f t="shared" si="110"/>
        <v/>
      </c>
      <c r="P653" s="34">
        <f t="shared" si="110"/>
        <v>84</v>
      </c>
      <c r="Q653" s="34">
        <f t="shared" si="110"/>
        <v>91</v>
      </c>
      <c r="R653" s="34">
        <f t="shared" si="110"/>
        <v>103</v>
      </c>
      <c r="S653" s="35">
        <f t="shared" si="108"/>
        <v>84</v>
      </c>
    </row>
    <row r="654" spans="2:19" hidden="1" outlineLevel="1">
      <c r="B654" s="14" t="s">
        <v>39</v>
      </c>
      <c r="C654" s="15" t="s">
        <v>66</v>
      </c>
      <c r="D654" s="52">
        <v>2037</v>
      </c>
      <c r="E654" s="34">
        <v>7</v>
      </c>
      <c r="F654" s="38">
        <f t="shared" si="105"/>
        <v>21629.622873241184</v>
      </c>
      <c r="G654" s="34">
        <f t="shared" si="106"/>
        <v>16</v>
      </c>
      <c r="H654" s="34">
        <f t="shared" si="107"/>
        <v>2</v>
      </c>
      <c r="I654" s="34" t="str">
        <f t="shared" si="110"/>
        <v/>
      </c>
      <c r="J654" s="34" t="str">
        <f t="shared" si="110"/>
        <v/>
      </c>
      <c r="K654" s="34" t="str">
        <f t="shared" si="110"/>
        <v/>
      </c>
      <c r="L654" s="34" t="str">
        <f t="shared" si="110"/>
        <v/>
      </c>
      <c r="M654" s="34" t="str">
        <f t="shared" si="110"/>
        <v/>
      </c>
      <c r="N654" s="34" t="str">
        <f t="shared" si="110"/>
        <v/>
      </c>
      <c r="O654" s="34" t="str">
        <f t="shared" si="110"/>
        <v/>
      </c>
      <c r="P654" s="34">
        <f t="shared" si="110"/>
        <v>84</v>
      </c>
      <c r="Q654" s="34">
        <f t="shared" si="110"/>
        <v>90</v>
      </c>
      <c r="R654" s="34">
        <f t="shared" si="110"/>
        <v>102</v>
      </c>
      <c r="S654" s="35">
        <f t="shared" si="108"/>
        <v>84</v>
      </c>
    </row>
    <row r="655" spans="2:19" hidden="1" outlineLevel="1">
      <c r="B655" s="14" t="s">
        <v>39</v>
      </c>
      <c r="C655" s="15" t="s">
        <v>66</v>
      </c>
      <c r="D655" s="52">
        <v>2037</v>
      </c>
      <c r="E655" s="34">
        <v>8</v>
      </c>
      <c r="F655" s="38">
        <f t="shared" si="105"/>
        <v>21629.622873241184</v>
      </c>
      <c r="G655" s="34">
        <f t="shared" si="106"/>
        <v>16</v>
      </c>
      <c r="H655" s="34">
        <f t="shared" si="107"/>
        <v>2</v>
      </c>
      <c r="I655" s="34" t="str">
        <f t="shared" si="110"/>
        <v/>
      </c>
      <c r="J655" s="34" t="str">
        <f t="shared" si="110"/>
        <v/>
      </c>
      <c r="K655" s="34" t="str">
        <f t="shared" si="110"/>
        <v/>
      </c>
      <c r="L655" s="34" t="str">
        <f t="shared" si="110"/>
        <v/>
      </c>
      <c r="M655" s="34" t="str">
        <f t="shared" si="110"/>
        <v/>
      </c>
      <c r="N655" s="34" t="str">
        <f t="shared" si="110"/>
        <v/>
      </c>
      <c r="O655" s="34" t="str">
        <f t="shared" si="110"/>
        <v/>
      </c>
      <c r="P655" s="34">
        <f t="shared" si="110"/>
        <v>84</v>
      </c>
      <c r="Q655" s="34">
        <f t="shared" si="110"/>
        <v>89</v>
      </c>
      <c r="R655" s="34">
        <f t="shared" si="110"/>
        <v>101</v>
      </c>
      <c r="S655" s="35">
        <f t="shared" si="108"/>
        <v>84</v>
      </c>
    </row>
    <row r="656" spans="2:19" hidden="1" outlineLevel="1">
      <c r="B656" s="14" t="s">
        <v>39</v>
      </c>
      <c r="C656" s="15" t="s">
        <v>66</v>
      </c>
      <c r="D656" s="52">
        <v>2037</v>
      </c>
      <c r="E656" s="34">
        <v>9</v>
      </c>
      <c r="F656" s="38">
        <f t="shared" si="105"/>
        <v>21629.622873241184</v>
      </c>
      <c r="G656" s="34">
        <f t="shared" si="106"/>
        <v>16</v>
      </c>
      <c r="H656" s="34">
        <f t="shared" si="107"/>
        <v>2</v>
      </c>
      <c r="I656" s="34" t="str">
        <f t="shared" si="110"/>
        <v/>
      </c>
      <c r="J656" s="34" t="str">
        <f t="shared" si="110"/>
        <v/>
      </c>
      <c r="K656" s="34" t="str">
        <f t="shared" si="110"/>
        <v/>
      </c>
      <c r="L656" s="34" t="str">
        <f t="shared" si="110"/>
        <v/>
      </c>
      <c r="M656" s="34" t="str">
        <f t="shared" si="110"/>
        <v/>
      </c>
      <c r="N656" s="34" t="str">
        <f t="shared" si="110"/>
        <v/>
      </c>
      <c r="O656" s="34" t="str">
        <f t="shared" si="110"/>
        <v/>
      </c>
      <c r="P656" s="34">
        <f t="shared" si="110"/>
        <v>84</v>
      </c>
      <c r="Q656" s="34">
        <f t="shared" si="110"/>
        <v>88</v>
      </c>
      <c r="R656" s="34">
        <f t="shared" si="110"/>
        <v>100</v>
      </c>
      <c r="S656" s="35">
        <f t="shared" si="108"/>
        <v>84</v>
      </c>
    </row>
    <row r="657" spans="2:19" hidden="1" outlineLevel="1">
      <c r="B657" s="14" t="s">
        <v>39</v>
      </c>
      <c r="C657" s="15" t="s">
        <v>66</v>
      </c>
      <c r="D657" s="52">
        <v>2037</v>
      </c>
      <c r="E657" s="34">
        <v>10</v>
      </c>
      <c r="F657" s="38">
        <f t="shared" si="105"/>
        <v>21629.622873241184</v>
      </c>
      <c r="G657" s="34">
        <f t="shared" si="106"/>
        <v>16</v>
      </c>
      <c r="H657" s="34">
        <f t="shared" si="107"/>
        <v>2</v>
      </c>
      <c r="I657" s="34" t="str">
        <f t="shared" si="110"/>
        <v/>
      </c>
      <c r="J657" s="34" t="str">
        <f t="shared" si="110"/>
        <v/>
      </c>
      <c r="K657" s="34" t="str">
        <f t="shared" si="110"/>
        <v/>
      </c>
      <c r="L657" s="34" t="str">
        <f t="shared" si="110"/>
        <v/>
      </c>
      <c r="M657" s="34" t="str">
        <f t="shared" si="110"/>
        <v/>
      </c>
      <c r="N657" s="34" t="str">
        <f t="shared" si="110"/>
        <v/>
      </c>
      <c r="O657" s="34" t="str">
        <f t="shared" si="110"/>
        <v/>
      </c>
      <c r="P657" s="34">
        <f t="shared" si="110"/>
        <v>84</v>
      </c>
      <c r="Q657" s="34">
        <f t="shared" si="110"/>
        <v>87</v>
      </c>
      <c r="R657" s="34">
        <f t="shared" si="110"/>
        <v>99</v>
      </c>
      <c r="S657" s="35">
        <f t="shared" si="108"/>
        <v>84</v>
      </c>
    </row>
    <row r="658" spans="2:19" hidden="1" outlineLevel="1">
      <c r="B658" s="14" t="s">
        <v>39</v>
      </c>
      <c r="C658" s="15" t="s">
        <v>66</v>
      </c>
      <c r="D658" s="52">
        <v>2037</v>
      </c>
      <c r="E658" s="34">
        <v>11</v>
      </c>
      <c r="F658" s="38">
        <f t="shared" si="105"/>
        <v>21629.622873241184</v>
      </c>
      <c r="G658" s="34">
        <f t="shared" si="106"/>
        <v>16</v>
      </c>
      <c r="H658" s="34">
        <f t="shared" si="107"/>
        <v>2</v>
      </c>
      <c r="I658" s="34" t="str">
        <f t="shared" si="110"/>
        <v/>
      </c>
      <c r="J658" s="34" t="str">
        <f t="shared" si="110"/>
        <v/>
      </c>
      <c r="K658" s="34" t="str">
        <f t="shared" si="110"/>
        <v/>
      </c>
      <c r="L658" s="34" t="str">
        <f t="shared" si="110"/>
        <v/>
      </c>
      <c r="M658" s="34" t="str">
        <f t="shared" si="110"/>
        <v/>
      </c>
      <c r="N658" s="34" t="str">
        <f t="shared" si="110"/>
        <v/>
      </c>
      <c r="O658" s="34" t="str">
        <f t="shared" si="110"/>
        <v/>
      </c>
      <c r="P658" s="34">
        <f t="shared" si="110"/>
        <v>84</v>
      </c>
      <c r="Q658" s="34">
        <f t="shared" si="110"/>
        <v>86</v>
      </c>
      <c r="R658" s="34">
        <f t="shared" si="110"/>
        <v>98</v>
      </c>
      <c r="S658" s="35">
        <f t="shared" si="108"/>
        <v>84</v>
      </c>
    </row>
    <row r="659" spans="2:19" hidden="1" outlineLevel="1">
      <c r="B659" s="14" t="s">
        <v>39</v>
      </c>
      <c r="C659" s="15" t="s">
        <v>66</v>
      </c>
      <c r="D659" s="52">
        <v>2037</v>
      </c>
      <c r="E659" s="34">
        <v>12</v>
      </c>
      <c r="F659" s="38">
        <f t="shared" si="105"/>
        <v>21629.622873241184</v>
      </c>
      <c r="G659" s="34">
        <f t="shared" si="106"/>
        <v>16</v>
      </c>
      <c r="H659" s="34">
        <f t="shared" si="107"/>
        <v>2</v>
      </c>
      <c r="I659" s="34" t="str">
        <f t="shared" si="110"/>
        <v/>
      </c>
      <c r="J659" s="34" t="str">
        <f t="shared" si="110"/>
        <v/>
      </c>
      <c r="K659" s="34" t="str">
        <f t="shared" si="110"/>
        <v/>
      </c>
      <c r="L659" s="34" t="str">
        <f t="shared" si="110"/>
        <v/>
      </c>
      <c r="M659" s="34" t="str">
        <f t="shared" si="110"/>
        <v/>
      </c>
      <c r="N659" s="34" t="str">
        <f t="shared" si="110"/>
        <v/>
      </c>
      <c r="O659" s="34" t="str">
        <f t="shared" si="110"/>
        <v/>
      </c>
      <c r="P659" s="34">
        <f t="shared" si="110"/>
        <v>84</v>
      </c>
      <c r="Q659" s="34">
        <f t="shared" si="110"/>
        <v>85</v>
      </c>
      <c r="R659" s="34">
        <f t="shared" si="110"/>
        <v>97</v>
      </c>
      <c r="S659" s="35">
        <f t="shared" si="108"/>
        <v>84</v>
      </c>
    </row>
    <row r="660" spans="2:19" hidden="1" outlineLevel="1">
      <c r="B660" s="14" t="s">
        <v>39</v>
      </c>
      <c r="C660" s="15" t="s">
        <v>66</v>
      </c>
      <c r="D660" s="52">
        <v>2038</v>
      </c>
      <c r="E660" s="34">
        <v>1</v>
      </c>
      <c r="F660" s="38">
        <f t="shared" si="105"/>
        <v>21667.001810895021</v>
      </c>
      <c r="G660" s="34">
        <f t="shared" si="106"/>
        <v>16</v>
      </c>
      <c r="H660" s="34">
        <f t="shared" si="107"/>
        <v>2</v>
      </c>
      <c r="I660" s="34" t="str">
        <f t="shared" ref="I660:R669" si="111">IF($D660&lt;$Z$18,"",IF(MAX($G660,INDEX($C$65:$F$108,$D660+I$119-2026,$H660))&lt;=12*I$119-$E660+12,MAX($G660,12*I$119-$E660+1,INDEX($C$65:$F$108,$D660+I$119-2026,$H660)),""))</f>
        <v/>
      </c>
      <c r="J660" s="34" t="str">
        <f t="shared" si="111"/>
        <v/>
      </c>
      <c r="K660" s="34" t="str">
        <f t="shared" si="111"/>
        <v/>
      </c>
      <c r="L660" s="34" t="str">
        <f t="shared" si="111"/>
        <v/>
      </c>
      <c r="M660" s="34" t="str">
        <f t="shared" si="111"/>
        <v/>
      </c>
      <c r="N660" s="34" t="str">
        <f t="shared" si="111"/>
        <v/>
      </c>
      <c r="O660" s="34" t="str">
        <f t="shared" si="111"/>
        <v/>
      </c>
      <c r="P660" s="34">
        <f t="shared" si="111"/>
        <v>84</v>
      </c>
      <c r="Q660" s="34">
        <f t="shared" si="111"/>
        <v>96</v>
      </c>
      <c r="R660" s="34">
        <f t="shared" si="111"/>
        <v>108</v>
      </c>
      <c r="S660" s="35">
        <f t="shared" si="108"/>
        <v>84</v>
      </c>
    </row>
    <row r="661" spans="2:19" hidden="1" outlineLevel="1">
      <c r="B661" s="14" t="s">
        <v>39</v>
      </c>
      <c r="C661" s="15" t="s">
        <v>66</v>
      </c>
      <c r="D661" s="52">
        <v>2038</v>
      </c>
      <c r="E661" s="34">
        <v>2</v>
      </c>
      <c r="F661" s="38">
        <f t="shared" si="105"/>
        <v>21667.001810895021</v>
      </c>
      <c r="G661" s="34">
        <f t="shared" si="106"/>
        <v>16</v>
      </c>
      <c r="H661" s="34">
        <f t="shared" si="107"/>
        <v>2</v>
      </c>
      <c r="I661" s="34" t="str">
        <f t="shared" si="111"/>
        <v/>
      </c>
      <c r="J661" s="34" t="str">
        <f t="shared" si="111"/>
        <v/>
      </c>
      <c r="K661" s="34" t="str">
        <f t="shared" si="111"/>
        <v/>
      </c>
      <c r="L661" s="34" t="str">
        <f t="shared" si="111"/>
        <v/>
      </c>
      <c r="M661" s="34" t="str">
        <f t="shared" si="111"/>
        <v/>
      </c>
      <c r="N661" s="34" t="str">
        <f t="shared" si="111"/>
        <v/>
      </c>
      <c r="O661" s="34" t="str">
        <f t="shared" si="111"/>
        <v/>
      </c>
      <c r="P661" s="34">
        <f t="shared" si="111"/>
        <v>84</v>
      </c>
      <c r="Q661" s="34">
        <f t="shared" si="111"/>
        <v>95</v>
      </c>
      <c r="R661" s="34">
        <f t="shared" si="111"/>
        <v>107</v>
      </c>
      <c r="S661" s="35">
        <f t="shared" si="108"/>
        <v>84</v>
      </c>
    </row>
    <row r="662" spans="2:19" hidden="1" outlineLevel="1">
      <c r="B662" s="14" t="s">
        <v>39</v>
      </c>
      <c r="C662" s="15" t="s">
        <v>66</v>
      </c>
      <c r="D662" s="52">
        <v>2038</v>
      </c>
      <c r="E662" s="34">
        <v>3</v>
      </c>
      <c r="F662" s="38">
        <f t="shared" si="105"/>
        <v>21667.001810895021</v>
      </c>
      <c r="G662" s="34">
        <f t="shared" si="106"/>
        <v>16</v>
      </c>
      <c r="H662" s="34">
        <f t="shared" si="107"/>
        <v>2</v>
      </c>
      <c r="I662" s="34" t="str">
        <f t="shared" si="111"/>
        <v/>
      </c>
      <c r="J662" s="34" t="str">
        <f t="shared" si="111"/>
        <v/>
      </c>
      <c r="K662" s="34" t="str">
        <f t="shared" si="111"/>
        <v/>
      </c>
      <c r="L662" s="34" t="str">
        <f t="shared" si="111"/>
        <v/>
      </c>
      <c r="M662" s="34" t="str">
        <f t="shared" si="111"/>
        <v/>
      </c>
      <c r="N662" s="34" t="str">
        <f t="shared" si="111"/>
        <v/>
      </c>
      <c r="O662" s="34" t="str">
        <f t="shared" si="111"/>
        <v/>
      </c>
      <c r="P662" s="34">
        <f t="shared" si="111"/>
        <v>84</v>
      </c>
      <c r="Q662" s="34">
        <f t="shared" si="111"/>
        <v>94</v>
      </c>
      <c r="R662" s="34">
        <f t="shared" si="111"/>
        <v>106</v>
      </c>
      <c r="S662" s="35">
        <f t="shared" si="108"/>
        <v>84</v>
      </c>
    </row>
    <row r="663" spans="2:19" hidden="1" outlineLevel="1">
      <c r="B663" s="14" t="s">
        <v>39</v>
      </c>
      <c r="C663" s="15" t="s">
        <v>66</v>
      </c>
      <c r="D663" s="52">
        <v>2038</v>
      </c>
      <c r="E663" s="34">
        <v>4</v>
      </c>
      <c r="F663" s="38">
        <f t="shared" si="105"/>
        <v>21667.001810895021</v>
      </c>
      <c r="G663" s="34">
        <f t="shared" si="106"/>
        <v>16</v>
      </c>
      <c r="H663" s="34">
        <f t="shared" si="107"/>
        <v>2</v>
      </c>
      <c r="I663" s="34" t="str">
        <f t="shared" si="111"/>
        <v/>
      </c>
      <c r="J663" s="34" t="str">
        <f t="shared" si="111"/>
        <v/>
      </c>
      <c r="K663" s="34" t="str">
        <f t="shared" si="111"/>
        <v/>
      </c>
      <c r="L663" s="34" t="str">
        <f t="shared" si="111"/>
        <v/>
      </c>
      <c r="M663" s="34" t="str">
        <f t="shared" si="111"/>
        <v/>
      </c>
      <c r="N663" s="34" t="str">
        <f t="shared" si="111"/>
        <v/>
      </c>
      <c r="O663" s="34" t="str">
        <f t="shared" si="111"/>
        <v/>
      </c>
      <c r="P663" s="34">
        <f t="shared" si="111"/>
        <v>84</v>
      </c>
      <c r="Q663" s="34">
        <f t="shared" si="111"/>
        <v>93</v>
      </c>
      <c r="R663" s="34">
        <f t="shared" si="111"/>
        <v>105</v>
      </c>
      <c r="S663" s="35">
        <f t="shared" si="108"/>
        <v>84</v>
      </c>
    </row>
    <row r="664" spans="2:19" hidden="1" outlineLevel="1">
      <c r="B664" s="14" t="s">
        <v>39</v>
      </c>
      <c r="C664" s="15" t="s">
        <v>66</v>
      </c>
      <c r="D664" s="52">
        <v>2038</v>
      </c>
      <c r="E664" s="34">
        <v>5</v>
      </c>
      <c r="F664" s="38">
        <f t="shared" si="105"/>
        <v>21667.001810895021</v>
      </c>
      <c r="G664" s="34">
        <f t="shared" si="106"/>
        <v>16</v>
      </c>
      <c r="H664" s="34">
        <f t="shared" si="107"/>
        <v>2</v>
      </c>
      <c r="I664" s="34" t="str">
        <f t="shared" si="111"/>
        <v/>
      </c>
      <c r="J664" s="34" t="str">
        <f t="shared" si="111"/>
        <v/>
      </c>
      <c r="K664" s="34" t="str">
        <f t="shared" si="111"/>
        <v/>
      </c>
      <c r="L664" s="34" t="str">
        <f t="shared" si="111"/>
        <v/>
      </c>
      <c r="M664" s="34" t="str">
        <f t="shared" si="111"/>
        <v/>
      </c>
      <c r="N664" s="34" t="str">
        <f t="shared" si="111"/>
        <v/>
      </c>
      <c r="O664" s="34" t="str">
        <f t="shared" si="111"/>
        <v/>
      </c>
      <c r="P664" s="34">
        <f t="shared" si="111"/>
        <v>84</v>
      </c>
      <c r="Q664" s="34">
        <f t="shared" si="111"/>
        <v>92</v>
      </c>
      <c r="R664" s="34">
        <f t="shared" si="111"/>
        <v>104</v>
      </c>
      <c r="S664" s="35">
        <f t="shared" si="108"/>
        <v>84</v>
      </c>
    </row>
    <row r="665" spans="2:19" hidden="1" outlineLevel="1">
      <c r="B665" s="14" t="s">
        <v>39</v>
      </c>
      <c r="C665" s="15" t="s">
        <v>66</v>
      </c>
      <c r="D665" s="52">
        <v>2038</v>
      </c>
      <c r="E665" s="34">
        <v>6</v>
      </c>
      <c r="F665" s="38">
        <f t="shared" si="105"/>
        <v>21667.001810895021</v>
      </c>
      <c r="G665" s="34">
        <f t="shared" si="106"/>
        <v>16</v>
      </c>
      <c r="H665" s="34">
        <f t="shared" si="107"/>
        <v>2</v>
      </c>
      <c r="I665" s="34" t="str">
        <f t="shared" si="111"/>
        <v/>
      </c>
      <c r="J665" s="34" t="str">
        <f t="shared" si="111"/>
        <v/>
      </c>
      <c r="K665" s="34" t="str">
        <f t="shared" si="111"/>
        <v/>
      </c>
      <c r="L665" s="34" t="str">
        <f t="shared" si="111"/>
        <v/>
      </c>
      <c r="M665" s="34" t="str">
        <f t="shared" si="111"/>
        <v/>
      </c>
      <c r="N665" s="34" t="str">
        <f t="shared" si="111"/>
        <v/>
      </c>
      <c r="O665" s="34" t="str">
        <f t="shared" si="111"/>
        <v/>
      </c>
      <c r="P665" s="34">
        <f t="shared" si="111"/>
        <v>84</v>
      </c>
      <c r="Q665" s="34">
        <f t="shared" si="111"/>
        <v>91</v>
      </c>
      <c r="R665" s="34">
        <f t="shared" si="111"/>
        <v>103</v>
      </c>
      <c r="S665" s="35">
        <f t="shared" si="108"/>
        <v>84</v>
      </c>
    </row>
    <row r="666" spans="2:19" hidden="1" outlineLevel="1">
      <c r="B666" s="14" t="s">
        <v>39</v>
      </c>
      <c r="C666" s="15" t="s">
        <v>66</v>
      </c>
      <c r="D666" s="52">
        <v>2038</v>
      </c>
      <c r="E666" s="34">
        <v>7</v>
      </c>
      <c r="F666" s="38">
        <f t="shared" si="105"/>
        <v>21667.001810895021</v>
      </c>
      <c r="G666" s="34">
        <f t="shared" si="106"/>
        <v>16</v>
      </c>
      <c r="H666" s="34">
        <f t="shared" si="107"/>
        <v>2</v>
      </c>
      <c r="I666" s="34" t="str">
        <f t="shared" si="111"/>
        <v/>
      </c>
      <c r="J666" s="34" t="str">
        <f t="shared" si="111"/>
        <v/>
      </c>
      <c r="K666" s="34" t="str">
        <f t="shared" si="111"/>
        <v/>
      </c>
      <c r="L666" s="34" t="str">
        <f t="shared" si="111"/>
        <v/>
      </c>
      <c r="M666" s="34" t="str">
        <f t="shared" si="111"/>
        <v/>
      </c>
      <c r="N666" s="34" t="str">
        <f t="shared" si="111"/>
        <v/>
      </c>
      <c r="O666" s="34" t="str">
        <f t="shared" si="111"/>
        <v/>
      </c>
      <c r="P666" s="34">
        <f t="shared" si="111"/>
        <v>84</v>
      </c>
      <c r="Q666" s="34">
        <f t="shared" si="111"/>
        <v>90</v>
      </c>
      <c r="R666" s="34">
        <f t="shared" si="111"/>
        <v>102</v>
      </c>
      <c r="S666" s="35">
        <f t="shared" si="108"/>
        <v>84</v>
      </c>
    </row>
    <row r="667" spans="2:19" hidden="1" outlineLevel="1">
      <c r="B667" s="14" t="s">
        <v>39</v>
      </c>
      <c r="C667" s="15" t="s">
        <v>66</v>
      </c>
      <c r="D667" s="52">
        <v>2038</v>
      </c>
      <c r="E667" s="34">
        <v>8</v>
      </c>
      <c r="F667" s="38">
        <f t="shared" si="105"/>
        <v>21667.001810895021</v>
      </c>
      <c r="G667" s="34">
        <f t="shared" si="106"/>
        <v>16</v>
      </c>
      <c r="H667" s="34">
        <f t="shared" si="107"/>
        <v>2</v>
      </c>
      <c r="I667" s="34" t="str">
        <f t="shared" si="111"/>
        <v/>
      </c>
      <c r="J667" s="34" t="str">
        <f t="shared" si="111"/>
        <v/>
      </c>
      <c r="K667" s="34" t="str">
        <f t="shared" si="111"/>
        <v/>
      </c>
      <c r="L667" s="34" t="str">
        <f t="shared" si="111"/>
        <v/>
      </c>
      <c r="M667" s="34" t="str">
        <f t="shared" si="111"/>
        <v/>
      </c>
      <c r="N667" s="34" t="str">
        <f t="shared" si="111"/>
        <v/>
      </c>
      <c r="O667" s="34" t="str">
        <f t="shared" si="111"/>
        <v/>
      </c>
      <c r="P667" s="34">
        <f t="shared" si="111"/>
        <v>84</v>
      </c>
      <c r="Q667" s="34">
        <f t="shared" si="111"/>
        <v>89</v>
      </c>
      <c r="R667" s="34">
        <f t="shared" si="111"/>
        <v>101</v>
      </c>
      <c r="S667" s="35">
        <f t="shared" si="108"/>
        <v>84</v>
      </c>
    </row>
    <row r="668" spans="2:19" hidden="1" outlineLevel="1">
      <c r="B668" s="14" t="s">
        <v>39</v>
      </c>
      <c r="C668" s="15" t="s">
        <v>66</v>
      </c>
      <c r="D668" s="52">
        <v>2038</v>
      </c>
      <c r="E668" s="34">
        <v>9</v>
      </c>
      <c r="F668" s="38">
        <f t="shared" si="105"/>
        <v>21667.001810895021</v>
      </c>
      <c r="G668" s="34">
        <f t="shared" si="106"/>
        <v>16</v>
      </c>
      <c r="H668" s="34">
        <f t="shared" si="107"/>
        <v>2</v>
      </c>
      <c r="I668" s="34" t="str">
        <f t="shared" si="111"/>
        <v/>
      </c>
      <c r="J668" s="34" t="str">
        <f t="shared" si="111"/>
        <v/>
      </c>
      <c r="K668" s="34" t="str">
        <f t="shared" si="111"/>
        <v/>
      </c>
      <c r="L668" s="34" t="str">
        <f t="shared" si="111"/>
        <v/>
      </c>
      <c r="M668" s="34" t="str">
        <f t="shared" si="111"/>
        <v/>
      </c>
      <c r="N668" s="34" t="str">
        <f t="shared" si="111"/>
        <v/>
      </c>
      <c r="O668" s="34" t="str">
        <f t="shared" si="111"/>
        <v/>
      </c>
      <c r="P668" s="34">
        <f t="shared" si="111"/>
        <v>84</v>
      </c>
      <c r="Q668" s="34">
        <f t="shared" si="111"/>
        <v>88</v>
      </c>
      <c r="R668" s="34">
        <f t="shared" si="111"/>
        <v>100</v>
      </c>
      <c r="S668" s="35">
        <f t="shared" si="108"/>
        <v>84</v>
      </c>
    </row>
    <row r="669" spans="2:19" hidden="1" outlineLevel="1">
      <c r="B669" s="14" t="s">
        <v>39</v>
      </c>
      <c r="C669" s="15" t="s">
        <v>66</v>
      </c>
      <c r="D669" s="52">
        <v>2038</v>
      </c>
      <c r="E669" s="34">
        <v>10</v>
      </c>
      <c r="F669" s="38">
        <f t="shared" si="105"/>
        <v>21667.001810895021</v>
      </c>
      <c r="G669" s="34">
        <f t="shared" si="106"/>
        <v>16</v>
      </c>
      <c r="H669" s="34">
        <f t="shared" si="107"/>
        <v>2</v>
      </c>
      <c r="I669" s="34" t="str">
        <f t="shared" si="111"/>
        <v/>
      </c>
      <c r="J669" s="34" t="str">
        <f t="shared" si="111"/>
        <v/>
      </c>
      <c r="K669" s="34" t="str">
        <f t="shared" si="111"/>
        <v/>
      </c>
      <c r="L669" s="34" t="str">
        <f t="shared" si="111"/>
        <v/>
      </c>
      <c r="M669" s="34" t="str">
        <f t="shared" si="111"/>
        <v/>
      </c>
      <c r="N669" s="34" t="str">
        <f t="shared" si="111"/>
        <v/>
      </c>
      <c r="O669" s="34" t="str">
        <f t="shared" si="111"/>
        <v/>
      </c>
      <c r="P669" s="34">
        <f t="shared" si="111"/>
        <v>84</v>
      </c>
      <c r="Q669" s="34">
        <f t="shared" si="111"/>
        <v>87</v>
      </c>
      <c r="R669" s="34">
        <f t="shared" si="111"/>
        <v>99</v>
      </c>
      <c r="S669" s="35">
        <f t="shared" si="108"/>
        <v>84</v>
      </c>
    </row>
    <row r="670" spans="2:19" hidden="1" outlineLevel="1">
      <c r="B670" s="14" t="s">
        <v>39</v>
      </c>
      <c r="C670" s="15" t="s">
        <v>66</v>
      </c>
      <c r="D670" s="52">
        <v>2038</v>
      </c>
      <c r="E670" s="34">
        <v>11</v>
      </c>
      <c r="F670" s="38">
        <f t="shared" si="105"/>
        <v>21667.001810895021</v>
      </c>
      <c r="G670" s="34">
        <f t="shared" si="106"/>
        <v>16</v>
      </c>
      <c r="H670" s="34">
        <f t="shared" si="107"/>
        <v>2</v>
      </c>
      <c r="I670" s="34" t="str">
        <f t="shared" ref="I670:R679" si="112">IF($D670&lt;$Z$18,"",IF(MAX($G670,INDEX($C$65:$F$108,$D670+I$119-2026,$H670))&lt;=12*I$119-$E670+12,MAX($G670,12*I$119-$E670+1,INDEX($C$65:$F$108,$D670+I$119-2026,$H670)),""))</f>
        <v/>
      </c>
      <c r="J670" s="34" t="str">
        <f t="shared" si="112"/>
        <v/>
      </c>
      <c r="K670" s="34" t="str">
        <f t="shared" si="112"/>
        <v/>
      </c>
      <c r="L670" s="34" t="str">
        <f t="shared" si="112"/>
        <v/>
      </c>
      <c r="M670" s="34" t="str">
        <f t="shared" si="112"/>
        <v/>
      </c>
      <c r="N670" s="34" t="str">
        <f t="shared" si="112"/>
        <v/>
      </c>
      <c r="O670" s="34" t="str">
        <f t="shared" si="112"/>
        <v/>
      </c>
      <c r="P670" s="34">
        <f t="shared" si="112"/>
        <v>84</v>
      </c>
      <c r="Q670" s="34">
        <f t="shared" si="112"/>
        <v>86</v>
      </c>
      <c r="R670" s="34">
        <f t="shared" si="112"/>
        <v>98</v>
      </c>
      <c r="S670" s="35">
        <f t="shared" si="108"/>
        <v>84</v>
      </c>
    </row>
    <row r="671" spans="2:19" hidden="1" outlineLevel="1">
      <c r="B671" s="14" t="s">
        <v>39</v>
      </c>
      <c r="C671" s="15" t="s">
        <v>66</v>
      </c>
      <c r="D671" s="52">
        <v>2038</v>
      </c>
      <c r="E671" s="34">
        <v>12</v>
      </c>
      <c r="F671" s="38">
        <f t="shared" si="105"/>
        <v>21667.001810895021</v>
      </c>
      <c r="G671" s="34">
        <f t="shared" si="106"/>
        <v>16</v>
      </c>
      <c r="H671" s="34">
        <f t="shared" si="107"/>
        <v>2</v>
      </c>
      <c r="I671" s="34" t="str">
        <f t="shared" si="112"/>
        <v/>
      </c>
      <c r="J671" s="34" t="str">
        <f t="shared" si="112"/>
        <v/>
      </c>
      <c r="K671" s="34" t="str">
        <f t="shared" si="112"/>
        <v/>
      </c>
      <c r="L671" s="34" t="str">
        <f t="shared" si="112"/>
        <v/>
      </c>
      <c r="M671" s="34" t="str">
        <f t="shared" si="112"/>
        <v/>
      </c>
      <c r="N671" s="34" t="str">
        <f t="shared" si="112"/>
        <v/>
      </c>
      <c r="O671" s="34" t="str">
        <f t="shared" si="112"/>
        <v/>
      </c>
      <c r="P671" s="34">
        <f t="shared" si="112"/>
        <v>84</v>
      </c>
      <c r="Q671" s="34">
        <f t="shared" si="112"/>
        <v>85</v>
      </c>
      <c r="R671" s="34">
        <f t="shared" si="112"/>
        <v>97</v>
      </c>
      <c r="S671" s="35">
        <f t="shared" si="108"/>
        <v>84</v>
      </c>
    </row>
    <row r="672" spans="2:19" hidden="1" outlineLevel="1">
      <c r="B672" s="14" t="s">
        <v>39</v>
      </c>
      <c r="C672" s="15" t="s">
        <v>66</v>
      </c>
      <c r="D672" s="52">
        <v>2039</v>
      </c>
      <c r="E672" s="34">
        <v>1</v>
      </c>
      <c r="F672" s="38">
        <f t="shared" si="105"/>
        <v>21701.191776245523</v>
      </c>
      <c r="G672" s="34">
        <f t="shared" si="106"/>
        <v>16</v>
      </c>
      <c r="H672" s="34">
        <f t="shared" si="107"/>
        <v>2</v>
      </c>
      <c r="I672" s="34" t="str">
        <f t="shared" si="112"/>
        <v/>
      </c>
      <c r="J672" s="34" t="str">
        <f t="shared" si="112"/>
        <v/>
      </c>
      <c r="K672" s="34" t="str">
        <f t="shared" si="112"/>
        <v/>
      </c>
      <c r="L672" s="34" t="str">
        <f t="shared" si="112"/>
        <v/>
      </c>
      <c r="M672" s="34" t="str">
        <f t="shared" si="112"/>
        <v/>
      </c>
      <c r="N672" s="34" t="str">
        <f t="shared" si="112"/>
        <v/>
      </c>
      <c r="O672" s="34" t="str">
        <f t="shared" si="112"/>
        <v/>
      </c>
      <c r="P672" s="34">
        <f t="shared" si="112"/>
        <v>84</v>
      </c>
      <c r="Q672" s="34">
        <f t="shared" si="112"/>
        <v>96</v>
      </c>
      <c r="R672" s="34">
        <f t="shared" si="112"/>
        <v>108</v>
      </c>
      <c r="S672" s="35">
        <f t="shared" si="108"/>
        <v>84</v>
      </c>
    </row>
    <row r="673" spans="2:19" hidden="1" outlineLevel="1">
      <c r="B673" s="14" t="s">
        <v>39</v>
      </c>
      <c r="C673" s="15" t="s">
        <v>66</v>
      </c>
      <c r="D673" s="52">
        <v>2039</v>
      </c>
      <c r="E673" s="34">
        <v>2</v>
      </c>
      <c r="F673" s="38">
        <f t="shared" si="105"/>
        <v>21701.191776245523</v>
      </c>
      <c r="G673" s="34">
        <f t="shared" si="106"/>
        <v>16</v>
      </c>
      <c r="H673" s="34">
        <f t="shared" si="107"/>
        <v>2</v>
      </c>
      <c r="I673" s="34" t="str">
        <f t="shared" si="112"/>
        <v/>
      </c>
      <c r="J673" s="34" t="str">
        <f t="shared" si="112"/>
        <v/>
      </c>
      <c r="K673" s="34" t="str">
        <f t="shared" si="112"/>
        <v/>
      </c>
      <c r="L673" s="34" t="str">
        <f t="shared" si="112"/>
        <v/>
      </c>
      <c r="M673" s="34" t="str">
        <f t="shared" si="112"/>
        <v/>
      </c>
      <c r="N673" s="34" t="str">
        <f t="shared" si="112"/>
        <v/>
      </c>
      <c r="O673" s="34" t="str">
        <f t="shared" si="112"/>
        <v/>
      </c>
      <c r="P673" s="34">
        <f t="shared" si="112"/>
        <v>84</v>
      </c>
      <c r="Q673" s="34">
        <f t="shared" si="112"/>
        <v>95</v>
      </c>
      <c r="R673" s="34">
        <f t="shared" si="112"/>
        <v>107</v>
      </c>
      <c r="S673" s="35">
        <f t="shared" si="108"/>
        <v>84</v>
      </c>
    </row>
    <row r="674" spans="2:19" hidden="1" outlineLevel="1">
      <c r="B674" s="14" t="s">
        <v>39</v>
      </c>
      <c r="C674" s="15" t="s">
        <v>66</v>
      </c>
      <c r="D674" s="52">
        <v>2039</v>
      </c>
      <c r="E674" s="34">
        <v>3</v>
      </c>
      <c r="F674" s="38">
        <f t="shared" si="105"/>
        <v>21701.191776245523</v>
      </c>
      <c r="G674" s="34">
        <f t="shared" si="106"/>
        <v>16</v>
      </c>
      <c r="H674" s="34">
        <f t="shared" si="107"/>
        <v>2</v>
      </c>
      <c r="I674" s="34" t="str">
        <f t="shared" si="112"/>
        <v/>
      </c>
      <c r="J674" s="34" t="str">
        <f t="shared" si="112"/>
        <v/>
      </c>
      <c r="K674" s="34" t="str">
        <f t="shared" si="112"/>
        <v/>
      </c>
      <c r="L674" s="34" t="str">
        <f t="shared" si="112"/>
        <v/>
      </c>
      <c r="M674" s="34" t="str">
        <f t="shared" si="112"/>
        <v/>
      </c>
      <c r="N674" s="34" t="str">
        <f t="shared" si="112"/>
        <v/>
      </c>
      <c r="O674" s="34" t="str">
        <f t="shared" si="112"/>
        <v/>
      </c>
      <c r="P674" s="34">
        <f t="shared" si="112"/>
        <v>84</v>
      </c>
      <c r="Q674" s="34">
        <f t="shared" si="112"/>
        <v>94</v>
      </c>
      <c r="R674" s="34">
        <f t="shared" si="112"/>
        <v>106</v>
      </c>
      <c r="S674" s="35">
        <f t="shared" si="108"/>
        <v>84</v>
      </c>
    </row>
    <row r="675" spans="2:19" hidden="1" outlineLevel="1">
      <c r="B675" s="14" t="s">
        <v>39</v>
      </c>
      <c r="C675" s="15" t="s">
        <v>66</v>
      </c>
      <c r="D675" s="52">
        <v>2039</v>
      </c>
      <c r="E675" s="34">
        <v>4</v>
      </c>
      <c r="F675" s="38">
        <f t="shared" si="105"/>
        <v>21701.191776245523</v>
      </c>
      <c r="G675" s="34">
        <f t="shared" si="106"/>
        <v>16</v>
      </c>
      <c r="H675" s="34">
        <f t="shared" si="107"/>
        <v>2</v>
      </c>
      <c r="I675" s="34" t="str">
        <f t="shared" si="112"/>
        <v/>
      </c>
      <c r="J675" s="34" t="str">
        <f t="shared" si="112"/>
        <v/>
      </c>
      <c r="K675" s="34" t="str">
        <f t="shared" si="112"/>
        <v/>
      </c>
      <c r="L675" s="34" t="str">
        <f t="shared" si="112"/>
        <v/>
      </c>
      <c r="M675" s="34" t="str">
        <f t="shared" si="112"/>
        <v/>
      </c>
      <c r="N675" s="34" t="str">
        <f t="shared" si="112"/>
        <v/>
      </c>
      <c r="O675" s="34" t="str">
        <f t="shared" si="112"/>
        <v/>
      </c>
      <c r="P675" s="34">
        <f t="shared" si="112"/>
        <v>84</v>
      </c>
      <c r="Q675" s="34">
        <f t="shared" si="112"/>
        <v>93</v>
      </c>
      <c r="R675" s="34">
        <f t="shared" si="112"/>
        <v>105</v>
      </c>
      <c r="S675" s="35">
        <f t="shared" si="108"/>
        <v>84</v>
      </c>
    </row>
    <row r="676" spans="2:19" hidden="1" outlineLevel="1">
      <c r="B676" s="14" t="s">
        <v>39</v>
      </c>
      <c r="C676" s="15" t="s">
        <v>66</v>
      </c>
      <c r="D676" s="52">
        <v>2039</v>
      </c>
      <c r="E676" s="34">
        <v>5</v>
      </c>
      <c r="F676" s="38">
        <f t="shared" si="105"/>
        <v>21701.191776245523</v>
      </c>
      <c r="G676" s="34">
        <f t="shared" si="106"/>
        <v>16</v>
      </c>
      <c r="H676" s="34">
        <f t="shared" si="107"/>
        <v>2</v>
      </c>
      <c r="I676" s="34" t="str">
        <f t="shared" si="112"/>
        <v/>
      </c>
      <c r="J676" s="34" t="str">
        <f t="shared" si="112"/>
        <v/>
      </c>
      <c r="K676" s="34" t="str">
        <f t="shared" si="112"/>
        <v/>
      </c>
      <c r="L676" s="34" t="str">
        <f t="shared" si="112"/>
        <v/>
      </c>
      <c r="M676" s="34" t="str">
        <f t="shared" si="112"/>
        <v/>
      </c>
      <c r="N676" s="34" t="str">
        <f t="shared" si="112"/>
        <v/>
      </c>
      <c r="O676" s="34" t="str">
        <f t="shared" si="112"/>
        <v/>
      </c>
      <c r="P676" s="34">
        <f t="shared" si="112"/>
        <v>84</v>
      </c>
      <c r="Q676" s="34">
        <f t="shared" si="112"/>
        <v>92</v>
      </c>
      <c r="R676" s="34">
        <f t="shared" si="112"/>
        <v>104</v>
      </c>
      <c r="S676" s="35">
        <f t="shared" si="108"/>
        <v>84</v>
      </c>
    </row>
    <row r="677" spans="2:19" hidden="1" outlineLevel="1">
      <c r="B677" s="14" t="s">
        <v>39</v>
      </c>
      <c r="C677" s="15" t="s">
        <v>66</v>
      </c>
      <c r="D677" s="52">
        <v>2039</v>
      </c>
      <c r="E677" s="34">
        <v>6</v>
      </c>
      <c r="F677" s="38">
        <f t="shared" si="105"/>
        <v>21701.191776245523</v>
      </c>
      <c r="G677" s="34">
        <f t="shared" si="106"/>
        <v>16</v>
      </c>
      <c r="H677" s="34">
        <f t="shared" si="107"/>
        <v>2</v>
      </c>
      <c r="I677" s="34" t="str">
        <f t="shared" si="112"/>
        <v/>
      </c>
      <c r="J677" s="34" t="str">
        <f t="shared" si="112"/>
        <v/>
      </c>
      <c r="K677" s="34" t="str">
        <f t="shared" si="112"/>
        <v/>
      </c>
      <c r="L677" s="34" t="str">
        <f t="shared" si="112"/>
        <v/>
      </c>
      <c r="M677" s="34" t="str">
        <f t="shared" si="112"/>
        <v/>
      </c>
      <c r="N677" s="34" t="str">
        <f t="shared" si="112"/>
        <v/>
      </c>
      <c r="O677" s="34" t="str">
        <f t="shared" si="112"/>
        <v/>
      </c>
      <c r="P677" s="34">
        <f t="shared" si="112"/>
        <v>84</v>
      </c>
      <c r="Q677" s="34">
        <f t="shared" si="112"/>
        <v>91</v>
      </c>
      <c r="R677" s="34">
        <f t="shared" si="112"/>
        <v>103</v>
      </c>
      <c r="S677" s="35">
        <f t="shared" si="108"/>
        <v>84</v>
      </c>
    </row>
    <row r="678" spans="2:19" hidden="1" outlineLevel="1">
      <c r="B678" s="14" t="s">
        <v>39</v>
      </c>
      <c r="C678" s="15" t="s">
        <v>66</v>
      </c>
      <c r="D678" s="52">
        <v>2039</v>
      </c>
      <c r="E678" s="34">
        <v>7</v>
      </c>
      <c r="F678" s="38">
        <f t="shared" si="105"/>
        <v>21701.191776245523</v>
      </c>
      <c r="G678" s="34">
        <f t="shared" si="106"/>
        <v>16</v>
      </c>
      <c r="H678" s="34">
        <f t="shared" si="107"/>
        <v>2</v>
      </c>
      <c r="I678" s="34" t="str">
        <f t="shared" si="112"/>
        <v/>
      </c>
      <c r="J678" s="34" t="str">
        <f t="shared" si="112"/>
        <v/>
      </c>
      <c r="K678" s="34" t="str">
        <f t="shared" si="112"/>
        <v/>
      </c>
      <c r="L678" s="34" t="str">
        <f t="shared" si="112"/>
        <v/>
      </c>
      <c r="M678" s="34" t="str">
        <f t="shared" si="112"/>
        <v/>
      </c>
      <c r="N678" s="34" t="str">
        <f t="shared" si="112"/>
        <v/>
      </c>
      <c r="O678" s="34" t="str">
        <f t="shared" si="112"/>
        <v/>
      </c>
      <c r="P678" s="34">
        <f t="shared" si="112"/>
        <v>84</v>
      </c>
      <c r="Q678" s="34">
        <f t="shared" si="112"/>
        <v>90</v>
      </c>
      <c r="R678" s="34">
        <f t="shared" si="112"/>
        <v>102</v>
      </c>
      <c r="S678" s="35">
        <f t="shared" si="108"/>
        <v>84</v>
      </c>
    </row>
    <row r="679" spans="2:19" hidden="1" outlineLevel="1">
      <c r="B679" s="14" t="s">
        <v>39</v>
      </c>
      <c r="C679" s="15" t="s">
        <v>66</v>
      </c>
      <c r="D679" s="52">
        <v>2039</v>
      </c>
      <c r="E679" s="34">
        <v>8</v>
      </c>
      <c r="F679" s="38">
        <f t="shared" si="105"/>
        <v>21701.191776245523</v>
      </c>
      <c r="G679" s="34">
        <f t="shared" si="106"/>
        <v>16</v>
      </c>
      <c r="H679" s="34">
        <f t="shared" si="107"/>
        <v>2</v>
      </c>
      <c r="I679" s="34" t="str">
        <f t="shared" si="112"/>
        <v/>
      </c>
      <c r="J679" s="34" t="str">
        <f t="shared" si="112"/>
        <v/>
      </c>
      <c r="K679" s="34" t="str">
        <f t="shared" si="112"/>
        <v/>
      </c>
      <c r="L679" s="34" t="str">
        <f t="shared" si="112"/>
        <v/>
      </c>
      <c r="M679" s="34" t="str">
        <f t="shared" si="112"/>
        <v/>
      </c>
      <c r="N679" s="34" t="str">
        <f t="shared" si="112"/>
        <v/>
      </c>
      <c r="O679" s="34" t="str">
        <f t="shared" si="112"/>
        <v/>
      </c>
      <c r="P679" s="34">
        <f t="shared" si="112"/>
        <v>84</v>
      </c>
      <c r="Q679" s="34">
        <f t="shared" si="112"/>
        <v>89</v>
      </c>
      <c r="R679" s="34">
        <f t="shared" si="112"/>
        <v>101</v>
      </c>
      <c r="S679" s="35">
        <f t="shared" si="108"/>
        <v>84</v>
      </c>
    </row>
    <row r="680" spans="2:19" hidden="1" outlineLevel="1">
      <c r="B680" s="14" t="s">
        <v>39</v>
      </c>
      <c r="C680" s="15" t="s">
        <v>66</v>
      </c>
      <c r="D680" s="52">
        <v>2039</v>
      </c>
      <c r="E680" s="34">
        <v>9</v>
      </c>
      <c r="F680" s="38">
        <f t="shared" si="105"/>
        <v>21701.191776245523</v>
      </c>
      <c r="G680" s="34">
        <f t="shared" si="106"/>
        <v>16</v>
      </c>
      <c r="H680" s="34">
        <f t="shared" si="107"/>
        <v>2</v>
      </c>
      <c r="I680" s="34" t="str">
        <f t="shared" ref="I680:R689" si="113">IF($D680&lt;$Z$18,"",IF(MAX($G680,INDEX($C$65:$F$108,$D680+I$119-2026,$H680))&lt;=12*I$119-$E680+12,MAX($G680,12*I$119-$E680+1,INDEX($C$65:$F$108,$D680+I$119-2026,$H680)),""))</f>
        <v/>
      </c>
      <c r="J680" s="34" t="str">
        <f t="shared" si="113"/>
        <v/>
      </c>
      <c r="K680" s="34" t="str">
        <f t="shared" si="113"/>
        <v/>
      </c>
      <c r="L680" s="34" t="str">
        <f t="shared" si="113"/>
        <v/>
      </c>
      <c r="M680" s="34" t="str">
        <f t="shared" si="113"/>
        <v/>
      </c>
      <c r="N680" s="34" t="str">
        <f t="shared" si="113"/>
        <v/>
      </c>
      <c r="O680" s="34" t="str">
        <f t="shared" si="113"/>
        <v/>
      </c>
      <c r="P680" s="34">
        <f t="shared" si="113"/>
        <v>84</v>
      </c>
      <c r="Q680" s="34">
        <f t="shared" si="113"/>
        <v>88</v>
      </c>
      <c r="R680" s="34">
        <f t="shared" si="113"/>
        <v>100</v>
      </c>
      <c r="S680" s="35">
        <f t="shared" si="108"/>
        <v>84</v>
      </c>
    </row>
    <row r="681" spans="2:19" hidden="1" outlineLevel="1">
      <c r="B681" s="14" t="s">
        <v>39</v>
      </c>
      <c r="C681" s="15" t="s">
        <v>66</v>
      </c>
      <c r="D681" s="52">
        <v>2039</v>
      </c>
      <c r="E681" s="34">
        <v>10</v>
      </c>
      <c r="F681" s="38">
        <f t="shared" si="105"/>
        <v>21701.191776245523</v>
      </c>
      <c r="G681" s="34">
        <f t="shared" si="106"/>
        <v>16</v>
      </c>
      <c r="H681" s="34">
        <f t="shared" si="107"/>
        <v>2</v>
      </c>
      <c r="I681" s="34" t="str">
        <f t="shared" si="113"/>
        <v/>
      </c>
      <c r="J681" s="34" t="str">
        <f t="shared" si="113"/>
        <v/>
      </c>
      <c r="K681" s="34" t="str">
        <f t="shared" si="113"/>
        <v/>
      </c>
      <c r="L681" s="34" t="str">
        <f t="shared" si="113"/>
        <v/>
      </c>
      <c r="M681" s="34" t="str">
        <f t="shared" si="113"/>
        <v/>
      </c>
      <c r="N681" s="34" t="str">
        <f t="shared" si="113"/>
        <v/>
      </c>
      <c r="O681" s="34" t="str">
        <f t="shared" si="113"/>
        <v/>
      </c>
      <c r="P681" s="34">
        <f t="shared" si="113"/>
        <v>84</v>
      </c>
      <c r="Q681" s="34">
        <f t="shared" si="113"/>
        <v>87</v>
      </c>
      <c r="R681" s="34">
        <f t="shared" si="113"/>
        <v>99</v>
      </c>
      <c r="S681" s="35">
        <f t="shared" si="108"/>
        <v>84</v>
      </c>
    </row>
    <row r="682" spans="2:19" hidden="1" outlineLevel="1">
      <c r="B682" s="14" t="s">
        <v>39</v>
      </c>
      <c r="C682" s="15" t="s">
        <v>66</v>
      </c>
      <c r="D682" s="52">
        <v>2039</v>
      </c>
      <c r="E682" s="34">
        <v>11</v>
      </c>
      <c r="F682" s="38">
        <f t="shared" si="105"/>
        <v>21701.191776245523</v>
      </c>
      <c r="G682" s="34">
        <f t="shared" si="106"/>
        <v>16</v>
      </c>
      <c r="H682" s="34">
        <f t="shared" si="107"/>
        <v>2</v>
      </c>
      <c r="I682" s="34" t="str">
        <f t="shared" si="113"/>
        <v/>
      </c>
      <c r="J682" s="34" t="str">
        <f t="shared" si="113"/>
        <v/>
      </c>
      <c r="K682" s="34" t="str">
        <f t="shared" si="113"/>
        <v/>
      </c>
      <c r="L682" s="34" t="str">
        <f t="shared" si="113"/>
        <v/>
      </c>
      <c r="M682" s="34" t="str">
        <f t="shared" si="113"/>
        <v/>
      </c>
      <c r="N682" s="34" t="str">
        <f t="shared" si="113"/>
        <v/>
      </c>
      <c r="O682" s="34" t="str">
        <f t="shared" si="113"/>
        <v/>
      </c>
      <c r="P682" s="34">
        <f t="shared" si="113"/>
        <v>84</v>
      </c>
      <c r="Q682" s="34">
        <f t="shared" si="113"/>
        <v>86</v>
      </c>
      <c r="R682" s="34">
        <f t="shared" si="113"/>
        <v>98</v>
      </c>
      <c r="S682" s="35">
        <f t="shared" si="108"/>
        <v>84</v>
      </c>
    </row>
    <row r="683" spans="2:19" hidden="1" outlineLevel="1">
      <c r="B683" s="14" t="s">
        <v>39</v>
      </c>
      <c r="C683" s="15" t="s">
        <v>66</v>
      </c>
      <c r="D683" s="52">
        <v>2039</v>
      </c>
      <c r="E683" s="34">
        <v>12</v>
      </c>
      <c r="F683" s="38">
        <f t="shared" si="105"/>
        <v>21701.191776245523</v>
      </c>
      <c r="G683" s="34">
        <f t="shared" si="106"/>
        <v>16</v>
      </c>
      <c r="H683" s="34">
        <f t="shared" si="107"/>
        <v>2</v>
      </c>
      <c r="I683" s="34" t="str">
        <f t="shared" si="113"/>
        <v/>
      </c>
      <c r="J683" s="34" t="str">
        <f t="shared" si="113"/>
        <v/>
      </c>
      <c r="K683" s="34" t="str">
        <f t="shared" si="113"/>
        <v/>
      </c>
      <c r="L683" s="34" t="str">
        <f t="shared" si="113"/>
        <v/>
      </c>
      <c r="M683" s="34" t="str">
        <f t="shared" si="113"/>
        <v/>
      </c>
      <c r="N683" s="34" t="str">
        <f t="shared" si="113"/>
        <v/>
      </c>
      <c r="O683" s="34" t="str">
        <f t="shared" si="113"/>
        <v/>
      </c>
      <c r="P683" s="34">
        <f t="shared" si="113"/>
        <v>84</v>
      </c>
      <c r="Q683" s="34">
        <f t="shared" si="113"/>
        <v>85</v>
      </c>
      <c r="R683" s="34">
        <f t="shared" si="113"/>
        <v>97</v>
      </c>
      <c r="S683" s="35">
        <f t="shared" si="108"/>
        <v>84</v>
      </c>
    </row>
    <row r="684" spans="2:19" hidden="1" outlineLevel="1">
      <c r="B684" s="14" t="s">
        <v>39</v>
      </c>
      <c r="C684" s="15" t="s">
        <v>66</v>
      </c>
      <c r="D684" s="52">
        <v>2040</v>
      </c>
      <c r="E684" s="34">
        <v>1</v>
      </c>
      <c r="F684" s="38">
        <f t="shared" si="105"/>
        <v>21646.56102121299</v>
      </c>
      <c r="G684" s="34">
        <f t="shared" si="106"/>
        <v>16</v>
      </c>
      <c r="H684" s="34">
        <f t="shared" si="107"/>
        <v>2</v>
      </c>
      <c r="I684" s="34" t="str">
        <f t="shared" si="113"/>
        <v/>
      </c>
      <c r="J684" s="34" t="str">
        <f t="shared" si="113"/>
        <v/>
      </c>
      <c r="K684" s="34" t="str">
        <f t="shared" si="113"/>
        <v/>
      </c>
      <c r="L684" s="34" t="str">
        <f t="shared" si="113"/>
        <v/>
      </c>
      <c r="M684" s="34" t="str">
        <f t="shared" si="113"/>
        <v/>
      </c>
      <c r="N684" s="34" t="str">
        <f t="shared" si="113"/>
        <v/>
      </c>
      <c r="O684" s="34" t="str">
        <f t="shared" si="113"/>
        <v/>
      </c>
      <c r="P684" s="34">
        <f t="shared" si="113"/>
        <v>84</v>
      </c>
      <c r="Q684" s="34">
        <f t="shared" si="113"/>
        <v>96</v>
      </c>
      <c r="R684" s="34">
        <f t="shared" si="113"/>
        <v>108</v>
      </c>
      <c r="S684" s="35">
        <f t="shared" si="108"/>
        <v>84</v>
      </c>
    </row>
    <row r="685" spans="2:19" hidden="1" outlineLevel="1">
      <c r="B685" s="14" t="s">
        <v>39</v>
      </c>
      <c r="C685" s="15" t="s">
        <v>66</v>
      </c>
      <c r="D685" s="52">
        <v>2040</v>
      </c>
      <c r="E685" s="34">
        <v>2</v>
      </c>
      <c r="F685" s="38">
        <f t="shared" si="105"/>
        <v>21646.56102121299</v>
      </c>
      <c r="G685" s="34">
        <f t="shared" si="106"/>
        <v>16</v>
      </c>
      <c r="H685" s="34">
        <f t="shared" si="107"/>
        <v>2</v>
      </c>
      <c r="I685" s="34" t="str">
        <f t="shared" si="113"/>
        <v/>
      </c>
      <c r="J685" s="34" t="str">
        <f t="shared" si="113"/>
        <v/>
      </c>
      <c r="K685" s="34" t="str">
        <f t="shared" si="113"/>
        <v/>
      </c>
      <c r="L685" s="34" t="str">
        <f t="shared" si="113"/>
        <v/>
      </c>
      <c r="M685" s="34" t="str">
        <f t="shared" si="113"/>
        <v/>
      </c>
      <c r="N685" s="34" t="str">
        <f t="shared" si="113"/>
        <v/>
      </c>
      <c r="O685" s="34" t="str">
        <f t="shared" si="113"/>
        <v/>
      </c>
      <c r="P685" s="34">
        <f t="shared" si="113"/>
        <v>84</v>
      </c>
      <c r="Q685" s="34">
        <f t="shared" si="113"/>
        <v>95</v>
      </c>
      <c r="R685" s="34">
        <f t="shared" si="113"/>
        <v>107</v>
      </c>
      <c r="S685" s="35">
        <f t="shared" si="108"/>
        <v>84</v>
      </c>
    </row>
    <row r="686" spans="2:19" hidden="1" outlineLevel="1">
      <c r="B686" s="14" t="s">
        <v>39</v>
      </c>
      <c r="C686" s="15" t="s">
        <v>66</v>
      </c>
      <c r="D686" s="52">
        <v>2040</v>
      </c>
      <c r="E686" s="34">
        <v>3</v>
      </c>
      <c r="F686" s="38">
        <f t="shared" si="105"/>
        <v>21646.56102121299</v>
      </c>
      <c r="G686" s="34">
        <f t="shared" si="106"/>
        <v>16</v>
      </c>
      <c r="H686" s="34">
        <f t="shared" si="107"/>
        <v>2</v>
      </c>
      <c r="I686" s="34" t="str">
        <f t="shared" si="113"/>
        <v/>
      </c>
      <c r="J686" s="34" t="str">
        <f t="shared" si="113"/>
        <v/>
      </c>
      <c r="K686" s="34" t="str">
        <f t="shared" si="113"/>
        <v/>
      </c>
      <c r="L686" s="34" t="str">
        <f t="shared" si="113"/>
        <v/>
      </c>
      <c r="M686" s="34" t="str">
        <f t="shared" si="113"/>
        <v/>
      </c>
      <c r="N686" s="34" t="str">
        <f t="shared" si="113"/>
        <v/>
      </c>
      <c r="O686" s="34" t="str">
        <f t="shared" si="113"/>
        <v/>
      </c>
      <c r="P686" s="34">
        <f t="shared" si="113"/>
        <v>84</v>
      </c>
      <c r="Q686" s="34">
        <f t="shared" si="113"/>
        <v>94</v>
      </c>
      <c r="R686" s="34">
        <f t="shared" si="113"/>
        <v>106</v>
      </c>
      <c r="S686" s="35">
        <f t="shared" si="108"/>
        <v>84</v>
      </c>
    </row>
    <row r="687" spans="2:19" hidden="1" outlineLevel="1">
      <c r="B687" s="14" t="s">
        <v>39</v>
      </c>
      <c r="C687" s="15" t="s">
        <v>66</v>
      </c>
      <c r="D687" s="52">
        <v>2040</v>
      </c>
      <c r="E687" s="34">
        <v>4</v>
      </c>
      <c r="F687" s="38">
        <f t="shared" si="105"/>
        <v>21646.56102121299</v>
      </c>
      <c r="G687" s="34">
        <f t="shared" si="106"/>
        <v>16</v>
      </c>
      <c r="H687" s="34">
        <f t="shared" si="107"/>
        <v>2</v>
      </c>
      <c r="I687" s="34" t="str">
        <f t="shared" si="113"/>
        <v/>
      </c>
      <c r="J687" s="34" t="str">
        <f t="shared" si="113"/>
        <v/>
      </c>
      <c r="K687" s="34" t="str">
        <f t="shared" si="113"/>
        <v/>
      </c>
      <c r="L687" s="34" t="str">
        <f t="shared" si="113"/>
        <v/>
      </c>
      <c r="M687" s="34" t="str">
        <f t="shared" si="113"/>
        <v/>
      </c>
      <c r="N687" s="34" t="str">
        <f t="shared" si="113"/>
        <v/>
      </c>
      <c r="O687" s="34" t="str">
        <f t="shared" si="113"/>
        <v/>
      </c>
      <c r="P687" s="34">
        <f t="shared" si="113"/>
        <v>84</v>
      </c>
      <c r="Q687" s="34">
        <f t="shared" si="113"/>
        <v>93</v>
      </c>
      <c r="R687" s="34">
        <f t="shared" si="113"/>
        <v>105</v>
      </c>
      <c r="S687" s="35">
        <f t="shared" si="108"/>
        <v>84</v>
      </c>
    </row>
    <row r="688" spans="2:19" hidden="1" outlineLevel="1">
      <c r="B688" s="14" t="s">
        <v>39</v>
      </c>
      <c r="C688" s="15" t="s">
        <v>66</v>
      </c>
      <c r="D688" s="52">
        <v>2040</v>
      </c>
      <c r="E688" s="34">
        <v>5</v>
      </c>
      <c r="F688" s="38">
        <f t="shared" si="105"/>
        <v>21646.56102121299</v>
      </c>
      <c r="G688" s="34">
        <f t="shared" si="106"/>
        <v>16</v>
      </c>
      <c r="H688" s="34">
        <f t="shared" si="107"/>
        <v>2</v>
      </c>
      <c r="I688" s="34" t="str">
        <f t="shared" si="113"/>
        <v/>
      </c>
      <c r="J688" s="34" t="str">
        <f t="shared" si="113"/>
        <v/>
      </c>
      <c r="K688" s="34" t="str">
        <f t="shared" si="113"/>
        <v/>
      </c>
      <c r="L688" s="34" t="str">
        <f t="shared" si="113"/>
        <v/>
      </c>
      <c r="M688" s="34" t="str">
        <f t="shared" si="113"/>
        <v/>
      </c>
      <c r="N688" s="34" t="str">
        <f t="shared" si="113"/>
        <v/>
      </c>
      <c r="O688" s="34" t="str">
        <f t="shared" si="113"/>
        <v/>
      </c>
      <c r="P688" s="34">
        <f t="shared" si="113"/>
        <v>84</v>
      </c>
      <c r="Q688" s="34">
        <f t="shared" si="113"/>
        <v>92</v>
      </c>
      <c r="R688" s="34">
        <f t="shared" si="113"/>
        <v>104</v>
      </c>
      <c r="S688" s="35">
        <f t="shared" si="108"/>
        <v>84</v>
      </c>
    </row>
    <row r="689" spans="2:19" hidden="1" outlineLevel="1">
      <c r="B689" s="14" t="s">
        <v>39</v>
      </c>
      <c r="C689" s="15" t="s">
        <v>66</v>
      </c>
      <c r="D689" s="52">
        <v>2040</v>
      </c>
      <c r="E689" s="34">
        <v>6</v>
      </c>
      <c r="F689" s="38">
        <f t="shared" si="105"/>
        <v>21646.56102121299</v>
      </c>
      <c r="G689" s="34">
        <f t="shared" si="106"/>
        <v>16</v>
      </c>
      <c r="H689" s="34">
        <f t="shared" si="107"/>
        <v>2</v>
      </c>
      <c r="I689" s="34" t="str">
        <f t="shared" si="113"/>
        <v/>
      </c>
      <c r="J689" s="34" t="str">
        <f t="shared" si="113"/>
        <v/>
      </c>
      <c r="K689" s="34" t="str">
        <f t="shared" si="113"/>
        <v/>
      </c>
      <c r="L689" s="34" t="str">
        <f t="shared" si="113"/>
        <v/>
      </c>
      <c r="M689" s="34" t="str">
        <f t="shared" si="113"/>
        <v/>
      </c>
      <c r="N689" s="34" t="str">
        <f t="shared" si="113"/>
        <v/>
      </c>
      <c r="O689" s="34" t="str">
        <f t="shared" si="113"/>
        <v/>
      </c>
      <c r="P689" s="34">
        <f t="shared" si="113"/>
        <v>84</v>
      </c>
      <c r="Q689" s="34">
        <f t="shared" si="113"/>
        <v>91</v>
      </c>
      <c r="R689" s="34">
        <f t="shared" si="113"/>
        <v>103</v>
      </c>
      <c r="S689" s="35">
        <f t="shared" si="108"/>
        <v>84</v>
      </c>
    </row>
    <row r="690" spans="2:19" hidden="1" outlineLevel="1">
      <c r="B690" s="14" t="s">
        <v>39</v>
      </c>
      <c r="C690" s="15" t="s">
        <v>66</v>
      </c>
      <c r="D690" s="52">
        <v>2040</v>
      </c>
      <c r="E690" s="34">
        <v>7</v>
      </c>
      <c r="F690" s="38">
        <f t="shared" si="105"/>
        <v>21646.56102121299</v>
      </c>
      <c r="G690" s="34">
        <f t="shared" si="106"/>
        <v>16</v>
      </c>
      <c r="H690" s="34">
        <f t="shared" si="107"/>
        <v>2</v>
      </c>
      <c r="I690" s="34" t="str">
        <f t="shared" ref="I690:R699" si="114">IF($D690&lt;$Z$18,"",IF(MAX($G690,INDEX($C$65:$F$108,$D690+I$119-2026,$H690))&lt;=12*I$119-$E690+12,MAX($G690,12*I$119-$E690+1,INDEX($C$65:$F$108,$D690+I$119-2026,$H690)),""))</f>
        <v/>
      </c>
      <c r="J690" s="34" t="str">
        <f t="shared" si="114"/>
        <v/>
      </c>
      <c r="K690" s="34" t="str">
        <f t="shared" si="114"/>
        <v/>
      </c>
      <c r="L690" s="34" t="str">
        <f t="shared" si="114"/>
        <v/>
      </c>
      <c r="M690" s="34" t="str">
        <f t="shared" si="114"/>
        <v/>
      </c>
      <c r="N690" s="34" t="str">
        <f t="shared" si="114"/>
        <v/>
      </c>
      <c r="O690" s="34" t="str">
        <f t="shared" si="114"/>
        <v/>
      </c>
      <c r="P690" s="34">
        <f t="shared" si="114"/>
        <v>84</v>
      </c>
      <c r="Q690" s="34">
        <f t="shared" si="114"/>
        <v>90</v>
      </c>
      <c r="R690" s="34">
        <f t="shared" si="114"/>
        <v>102</v>
      </c>
      <c r="S690" s="35">
        <f t="shared" si="108"/>
        <v>84</v>
      </c>
    </row>
    <row r="691" spans="2:19" hidden="1" outlineLevel="1">
      <c r="B691" s="14" t="s">
        <v>39</v>
      </c>
      <c r="C691" s="15" t="s">
        <v>66</v>
      </c>
      <c r="D691" s="52">
        <v>2040</v>
      </c>
      <c r="E691" s="34">
        <v>8</v>
      </c>
      <c r="F691" s="38">
        <f t="shared" si="105"/>
        <v>21646.56102121299</v>
      </c>
      <c r="G691" s="34">
        <f t="shared" si="106"/>
        <v>16</v>
      </c>
      <c r="H691" s="34">
        <f t="shared" si="107"/>
        <v>2</v>
      </c>
      <c r="I691" s="34" t="str">
        <f t="shared" si="114"/>
        <v/>
      </c>
      <c r="J691" s="34" t="str">
        <f t="shared" si="114"/>
        <v/>
      </c>
      <c r="K691" s="34" t="str">
        <f t="shared" si="114"/>
        <v/>
      </c>
      <c r="L691" s="34" t="str">
        <f t="shared" si="114"/>
        <v/>
      </c>
      <c r="M691" s="34" t="str">
        <f t="shared" si="114"/>
        <v/>
      </c>
      <c r="N691" s="34" t="str">
        <f t="shared" si="114"/>
        <v/>
      </c>
      <c r="O691" s="34" t="str">
        <f t="shared" si="114"/>
        <v/>
      </c>
      <c r="P691" s="34">
        <f t="shared" si="114"/>
        <v>84</v>
      </c>
      <c r="Q691" s="34">
        <f t="shared" si="114"/>
        <v>89</v>
      </c>
      <c r="R691" s="34">
        <f t="shared" si="114"/>
        <v>101</v>
      </c>
      <c r="S691" s="35">
        <f t="shared" si="108"/>
        <v>84</v>
      </c>
    </row>
    <row r="692" spans="2:19" hidden="1" outlineLevel="1">
      <c r="B692" s="14" t="s">
        <v>39</v>
      </c>
      <c r="C692" s="15" t="s">
        <v>66</v>
      </c>
      <c r="D692" s="52">
        <v>2040</v>
      </c>
      <c r="E692" s="34">
        <v>9</v>
      </c>
      <c r="F692" s="38">
        <f t="shared" si="105"/>
        <v>21646.56102121299</v>
      </c>
      <c r="G692" s="34">
        <f t="shared" si="106"/>
        <v>16</v>
      </c>
      <c r="H692" s="34">
        <f t="shared" si="107"/>
        <v>2</v>
      </c>
      <c r="I692" s="34" t="str">
        <f t="shared" si="114"/>
        <v/>
      </c>
      <c r="J692" s="34" t="str">
        <f t="shared" si="114"/>
        <v/>
      </c>
      <c r="K692" s="34" t="str">
        <f t="shared" si="114"/>
        <v/>
      </c>
      <c r="L692" s="34" t="str">
        <f t="shared" si="114"/>
        <v/>
      </c>
      <c r="M692" s="34" t="str">
        <f t="shared" si="114"/>
        <v/>
      </c>
      <c r="N692" s="34" t="str">
        <f t="shared" si="114"/>
        <v/>
      </c>
      <c r="O692" s="34" t="str">
        <f t="shared" si="114"/>
        <v/>
      </c>
      <c r="P692" s="34">
        <f t="shared" si="114"/>
        <v>84</v>
      </c>
      <c r="Q692" s="34">
        <f t="shared" si="114"/>
        <v>88</v>
      </c>
      <c r="R692" s="34">
        <f t="shared" si="114"/>
        <v>100</v>
      </c>
      <c r="S692" s="35">
        <f t="shared" si="108"/>
        <v>84</v>
      </c>
    </row>
    <row r="693" spans="2:19" hidden="1" outlineLevel="1">
      <c r="B693" s="14" t="s">
        <v>39</v>
      </c>
      <c r="C693" s="15" t="s">
        <v>66</v>
      </c>
      <c r="D693" s="52">
        <v>2040</v>
      </c>
      <c r="E693" s="34">
        <v>10</v>
      </c>
      <c r="F693" s="38">
        <f t="shared" si="105"/>
        <v>21646.56102121299</v>
      </c>
      <c r="G693" s="34">
        <f t="shared" si="106"/>
        <v>16</v>
      </c>
      <c r="H693" s="34">
        <f t="shared" si="107"/>
        <v>2</v>
      </c>
      <c r="I693" s="34" t="str">
        <f t="shared" si="114"/>
        <v/>
      </c>
      <c r="J693" s="34" t="str">
        <f t="shared" si="114"/>
        <v/>
      </c>
      <c r="K693" s="34" t="str">
        <f t="shared" si="114"/>
        <v/>
      </c>
      <c r="L693" s="34" t="str">
        <f t="shared" si="114"/>
        <v/>
      </c>
      <c r="M693" s="34" t="str">
        <f t="shared" si="114"/>
        <v/>
      </c>
      <c r="N693" s="34" t="str">
        <f t="shared" si="114"/>
        <v/>
      </c>
      <c r="O693" s="34" t="str">
        <f t="shared" si="114"/>
        <v/>
      </c>
      <c r="P693" s="34">
        <f t="shared" si="114"/>
        <v>84</v>
      </c>
      <c r="Q693" s="34">
        <f t="shared" si="114"/>
        <v>87</v>
      </c>
      <c r="R693" s="34">
        <f t="shared" si="114"/>
        <v>99</v>
      </c>
      <c r="S693" s="35">
        <f t="shared" si="108"/>
        <v>84</v>
      </c>
    </row>
    <row r="694" spans="2:19" hidden="1" outlineLevel="1">
      <c r="B694" s="14" t="s">
        <v>39</v>
      </c>
      <c r="C694" s="15" t="s">
        <v>66</v>
      </c>
      <c r="D694" s="52">
        <v>2040</v>
      </c>
      <c r="E694" s="34">
        <v>11</v>
      </c>
      <c r="F694" s="38">
        <f t="shared" si="105"/>
        <v>21646.56102121299</v>
      </c>
      <c r="G694" s="34">
        <f t="shared" si="106"/>
        <v>16</v>
      </c>
      <c r="H694" s="34">
        <f t="shared" si="107"/>
        <v>2</v>
      </c>
      <c r="I694" s="34" t="str">
        <f t="shared" si="114"/>
        <v/>
      </c>
      <c r="J694" s="34" t="str">
        <f t="shared" si="114"/>
        <v/>
      </c>
      <c r="K694" s="34" t="str">
        <f t="shared" si="114"/>
        <v/>
      </c>
      <c r="L694" s="34" t="str">
        <f t="shared" si="114"/>
        <v/>
      </c>
      <c r="M694" s="34" t="str">
        <f t="shared" si="114"/>
        <v/>
      </c>
      <c r="N694" s="34" t="str">
        <f t="shared" si="114"/>
        <v/>
      </c>
      <c r="O694" s="34" t="str">
        <f t="shared" si="114"/>
        <v/>
      </c>
      <c r="P694" s="34">
        <f t="shared" si="114"/>
        <v>84</v>
      </c>
      <c r="Q694" s="34">
        <f t="shared" si="114"/>
        <v>86</v>
      </c>
      <c r="R694" s="34">
        <f t="shared" si="114"/>
        <v>98</v>
      </c>
      <c r="S694" s="35">
        <f t="shared" si="108"/>
        <v>84</v>
      </c>
    </row>
    <row r="695" spans="2:19" hidden="1" outlineLevel="1">
      <c r="B695" s="14" t="s">
        <v>39</v>
      </c>
      <c r="C695" s="15" t="s">
        <v>66</v>
      </c>
      <c r="D695" s="52">
        <v>2040</v>
      </c>
      <c r="E695" s="34">
        <v>12</v>
      </c>
      <c r="F695" s="38">
        <f t="shared" si="105"/>
        <v>21646.56102121299</v>
      </c>
      <c r="G695" s="34">
        <f t="shared" si="106"/>
        <v>16</v>
      </c>
      <c r="H695" s="34">
        <f t="shared" si="107"/>
        <v>2</v>
      </c>
      <c r="I695" s="34" t="str">
        <f t="shared" si="114"/>
        <v/>
      </c>
      <c r="J695" s="34" t="str">
        <f t="shared" si="114"/>
        <v/>
      </c>
      <c r="K695" s="34" t="str">
        <f t="shared" si="114"/>
        <v/>
      </c>
      <c r="L695" s="34" t="str">
        <f t="shared" si="114"/>
        <v/>
      </c>
      <c r="M695" s="34" t="str">
        <f t="shared" si="114"/>
        <v/>
      </c>
      <c r="N695" s="34" t="str">
        <f t="shared" si="114"/>
        <v/>
      </c>
      <c r="O695" s="34" t="str">
        <f t="shared" si="114"/>
        <v/>
      </c>
      <c r="P695" s="34">
        <f t="shared" si="114"/>
        <v>84</v>
      </c>
      <c r="Q695" s="34">
        <f t="shared" si="114"/>
        <v>85</v>
      </c>
      <c r="R695" s="34">
        <f t="shared" si="114"/>
        <v>97</v>
      </c>
      <c r="S695" s="35">
        <f t="shared" si="108"/>
        <v>84</v>
      </c>
    </row>
    <row r="696" spans="2:19" hidden="1" outlineLevel="1">
      <c r="B696" s="14" t="s">
        <v>39</v>
      </c>
      <c r="C696" s="15" t="s">
        <v>66</v>
      </c>
      <c r="D696" s="52">
        <v>2041</v>
      </c>
      <c r="E696" s="34">
        <v>1</v>
      </c>
      <c r="F696" s="38">
        <f t="shared" ref="F696:F759" si="115">IF($C696="Homens",INDEX($C$5:$C$55,MATCH($D696,$B$5:$B$55,0)),INDEX($F$5:$F$55,MATCH($D696,$B$5:$B$55,0)))/12</f>
        <v>21489.556413508257</v>
      </c>
      <c r="G696" s="34">
        <f t="shared" ref="G696:G759" si="116">IF($C696="Homens",$Z$17,$AA$17)</f>
        <v>16</v>
      </c>
      <c r="H696" s="34">
        <f t="shared" ref="H696:H759" si="117">1+2*($B696="Com Transição")+($C696="Mulheres")</f>
        <v>2</v>
      </c>
      <c r="I696" s="34" t="str">
        <f t="shared" si="114"/>
        <v/>
      </c>
      <c r="J696" s="34" t="str">
        <f t="shared" si="114"/>
        <v/>
      </c>
      <c r="K696" s="34" t="str">
        <f t="shared" si="114"/>
        <v/>
      </c>
      <c r="L696" s="34" t="str">
        <f t="shared" si="114"/>
        <v/>
      </c>
      <c r="M696" s="34" t="str">
        <f t="shared" si="114"/>
        <v/>
      </c>
      <c r="N696" s="34" t="str">
        <f t="shared" si="114"/>
        <v/>
      </c>
      <c r="O696" s="34" t="str">
        <f t="shared" si="114"/>
        <v/>
      </c>
      <c r="P696" s="34">
        <f t="shared" si="114"/>
        <v>84</v>
      </c>
      <c r="Q696" s="34">
        <f t="shared" si="114"/>
        <v>96</v>
      </c>
      <c r="R696" s="34">
        <f t="shared" si="114"/>
        <v>108</v>
      </c>
      <c r="S696" s="35">
        <f t="shared" ref="S696:S759" si="118">IF($D696&lt;$Z$18,$G696,MIN(I696:R696))</f>
        <v>84</v>
      </c>
    </row>
    <row r="697" spans="2:19" hidden="1" outlineLevel="1">
      <c r="B697" s="14" t="s">
        <v>39</v>
      </c>
      <c r="C697" s="15" t="s">
        <v>66</v>
      </c>
      <c r="D697" s="52">
        <v>2041</v>
      </c>
      <c r="E697" s="34">
        <v>2</v>
      </c>
      <c r="F697" s="38">
        <f t="shared" si="115"/>
        <v>21489.556413508257</v>
      </c>
      <c r="G697" s="34">
        <f t="shared" si="116"/>
        <v>16</v>
      </c>
      <c r="H697" s="34">
        <f t="shared" si="117"/>
        <v>2</v>
      </c>
      <c r="I697" s="34" t="str">
        <f t="shared" si="114"/>
        <v/>
      </c>
      <c r="J697" s="34" t="str">
        <f t="shared" si="114"/>
        <v/>
      </c>
      <c r="K697" s="34" t="str">
        <f t="shared" si="114"/>
        <v/>
      </c>
      <c r="L697" s="34" t="str">
        <f t="shared" si="114"/>
        <v/>
      </c>
      <c r="M697" s="34" t="str">
        <f t="shared" si="114"/>
        <v/>
      </c>
      <c r="N697" s="34" t="str">
        <f t="shared" si="114"/>
        <v/>
      </c>
      <c r="O697" s="34" t="str">
        <f t="shared" si="114"/>
        <v/>
      </c>
      <c r="P697" s="34">
        <f t="shared" si="114"/>
        <v>84</v>
      </c>
      <c r="Q697" s="34">
        <f t="shared" si="114"/>
        <v>95</v>
      </c>
      <c r="R697" s="34">
        <f t="shared" si="114"/>
        <v>107</v>
      </c>
      <c r="S697" s="35">
        <f t="shared" si="118"/>
        <v>84</v>
      </c>
    </row>
    <row r="698" spans="2:19" hidden="1" outlineLevel="1">
      <c r="B698" s="14" t="s">
        <v>39</v>
      </c>
      <c r="C698" s="15" t="s">
        <v>66</v>
      </c>
      <c r="D698" s="52">
        <v>2041</v>
      </c>
      <c r="E698" s="34">
        <v>3</v>
      </c>
      <c r="F698" s="38">
        <f t="shared" si="115"/>
        <v>21489.556413508257</v>
      </c>
      <c r="G698" s="34">
        <f t="shared" si="116"/>
        <v>16</v>
      </c>
      <c r="H698" s="34">
        <f t="shared" si="117"/>
        <v>2</v>
      </c>
      <c r="I698" s="34" t="str">
        <f t="shared" si="114"/>
        <v/>
      </c>
      <c r="J698" s="34" t="str">
        <f t="shared" si="114"/>
        <v/>
      </c>
      <c r="K698" s="34" t="str">
        <f t="shared" si="114"/>
        <v/>
      </c>
      <c r="L698" s="34" t="str">
        <f t="shared" si="114"/>
        <v/>
      </c>
      <c r="M698" s="34" t="str">
        <f t="shared" si="114"/>
        <v/>
      </c>
      <c r="N698" s="34" t="str">
        <f t="shared" si="114"/>
        <v/>
      </c>
      <c r="O698" s="34" t="str">
        <f t="shared" si="114"/>
        <v/>
      </c>
      <c r="P698" s="34">
        <f t="shared" si="114"/>
        <v>84</v>
      </c>
      <c r="Q698" s="34">
        <f t="shared" si="114"/>
        <v>94</v>
      </c>
      <c r="R698" s="34">
        <f t="shared" si="114"/>
        <v>106</v>
      </c>
      <c r="S698" s="35">
        <f t="shared" si="118"/>
        <v>84</v>
      </c>
    </row>
    <row r="699" spans="2:19" hidden="1" outlineLevel="1">
      <c r="B699" s="14" t="s">
        <v>39</v>
      </c>
      <c r="C699" s="15" t="s">
        <v>66</v>
      </c>
      <c r="D699" s="52">
        <v>2041</v>
      </c>
      <c r="E699" s="34">
        <v>4</v>
      </c>
      <c r="F699" s="38">
        <f t="shared" si="115"/>
        <v>21489.556413508257</v>
      </c>
      <c r="G699" s="34">
        <f t="shared" si="116"/>
        <v>16</v>
      </c>
      <c r="H699" s="34">
        <f t="shared" si="117"/>
        <v>2</v>
      </c>
      <c r="I699" s="34" t="str">
        <f t="shared" si="114"/>
        <v/>
      </c>
      <c r="J699" s="34" t="str">
        <f t="shared" si="114"/>
        <v/>
      </c>
      <c r="K699" s="34" t="str">
        <f t="shared" si="114"/>
        <v/>
      </c>
      <c r="L699" s="34" t="str">
        <f t="shared" si="114"/>
        <v/>
      </c>
      <c r="M699" s="34" t="str">
        <f t="shared" si="114"/>
        <v/>
      </c>
      <c r="N699" s="34" t="str">
        <f t="shared" si="114"/>
        <v/>
      </c>
      <c r="O699" s="34" t="str">
        <f t="shared" si="114"/>
        <v/>
      </c>
      <c r="P699" s="34">
        <f t="shared" si="114"/>
        <v>84</v>
      </c>
      <c r="Q699" s="34">
        <f t="shared" si="114"/>
        <v>93</v>
      </c>
      <c r="R699" s="34">
        <f t="shared" si="114"/>
        <v>105</v>
      </c>
      <c r="S699" s="35">
        <f t="shared" si="118"/>
        <v>84</v>
      </c>
    </row>
    <row r="700" spans="2:19" hidden="1" outlineLevel="1">
      <c r="B700" s="14" t="s">
        <v>39</v>
      </c>
      <c r="C700" s="15" t="s">
        <v>66</v>
      </c>
      <c r="D700" s="52">
        <v>2041</v>
      </c>
      <c r="E700" s="34">
        <v>5</v>
      </c>
      <c r="F700" s="38">
        <f t="shared" si="115"/>
        <v>21489.556413508257</v>
      </c>
      <c r="G700" s="34">
        <f t="shared" si="116"/>
        <v>16</v>
      </c>
      <c r="H700" s="34">
        <f t="shared" si="117"/>
        <v>2</v>
      </c>
      <c r="I700" s="34" t="str">
        <f t="shared" ref="I700:R709" si="119">IF($D700&lt;$Z$18,"",IF(MAX($G700,INDEX($C$65:$F$108,$D700+I$119-2026,$H700))&lt;=12*I$119-$E700+12,MAX($G700,12*I$119-$E700+1,INDEX($C$65:$F$108,$D700+I$119-2026,$H700)),""))</f>
        <v/>
      </c>
      <c r="J700" s="34" t="str">
        <f t="shared" si="119"/>
        <v/>
      </c>
      <c r="K700" s="34" t="str">
        <f t="shared" si="119"/>
        <v/>
      </c>
      <c r="L700" s="34" t="str">
        <f t="shared" si="119"/>
        <v/>
      </c>
      <c r="M700" s="34" t="str">
        <f t="shared" si="119"/>
        <v/>
      </c>
      <c r="N700" s="34" t="str">
        <f t="shared" si="119"/>
        <v/>
      </c>
      <c r="O700" s="34" t="str">
        <f t="shared" si="119"/>
        <v/>
      </c>
      <c r="P700" s="34">
        <f t="shared" si="119"/>
        <v>84</v>
      </c>
      <c r="Q700" s="34">
        <f t="shared" si="119"/>
        <v>92</v>
      </c>
      <c r="R700" s="34">
        <f t="shared" si="119"/>
        <v>104</v>
      </c>
      <c r="S700" s="35">
        <f t="shared" si="118"/>
        <v>84</v>
      </c>
    </row>
    <row r="701" spans="2:19" hidden="1" outlineLevel="1">
      <c r="B701" s="14" t="s">
        <v>39</v>
      </c>
      <c r="C701" s="15" t="s">
        <v>66</v>
      </c>
      <c r="D701" s="52">
        <v>2041</v>
      </c>
      <c r="E701" s="34">
        <v>6</v>
      </c>
      <c r="F701" s="38">
        <f t="shared" si="115"/>
        <v>21489.556413508257</v>
      </c>
      <c r="G701" s="34">
        <f t="shared" si="116"/>
        <v>16</v>
      </c>
      <c r="H701" s="34">
        <f t="shared" si="117"/>
        <v>2</v>
      </c>
      <c r="I701" s="34" t="str">
        <f t="shared" si="119"/>
        <v/>
      </c>
      <c r="J701" s="34" t="str">
        <f t="shared" si="119"/>
        <v/>
      </c>
      <c r="K701" s="34" t="str">
        <f t="shared" si="119"/>
        <v/>
      </c>
      <c r="L701" s="34" t="str">
        <f t="shared" si="119"/>
        <v/>
      </c>
      <c r="M701" s="34" t="str">
        <f t="shared" si="119"/>
        <v/>
      </c>
      <c r="N701" s="34" t="str">
        <f t="shared" si="119"/>
        <v/>
      </c>
      <c r="O701" s="34" t="str">
        <f t="shared" si="119"/>
        <v/>
      </c>
      <c r="P701" s="34">
        <f t="shared" si="119"/>
        <v>84</v>
      </c>
      <c r="Q701" s="34">
        <f t="shared" si="119"/>
        <v>91</v>
      </c>
      <c r="R701" s="34">
        <f t="shared" si="119"/>
        <v>103</v>
      </c>
      <c r="S701" s="35">
        <f t="shared" si="118"/>
        <v>84</v>
      </c>
    </row>
    <row r="702" spans="2:19" hidden="1" outlineLevel="1">
      <c r="B702" s="14" t="s">
        <v>39</v>
      </c>
      <c r="C702" s="15" t="s">
        <v>66</v>
      </c>
      <c r="D702" s="52">
        <v>2041</v>
      </c>
      <c r="E702" s="34">
        <v>7</v>
      </c>
      <c r="F702" s="38">
        <f t="shared" si="115"/>
        <v>21489.556413508257</v>
      </c>
      <c r="G702" s="34">
        <f t="shared" si="116"/>
        <v>16</v>
      </c>
      <c r="H702" s="34">
        <f t="shared" si="117"/>
        <v>2</v>
      </c>
      <c r="I702" s="34" t="str">
        <f t="shared" si="119"/>
        <v/>
      </c>
      <c r="J702" s="34" t="str">
        <f t="shared" si="119"/>
        <v/>
      </c>
      <c r="K702" s="34" t="str">
        <f t="shared" si="119"/>
        <v/>
      </c>
      <c r="L702" s="34" t="str">
        <f t="shared" si="119"/>
        <v/>
      </c>
      <c r="M702" s="34" t="str">
        <f t="shared" si="119"/>
        <v/>
      </c>
      <c r="N702" s="34" t="str">
        <f t="shared" si="119"/>
        <v/>
      </c>
      <c r="O702" s="34" t="str">
        <f t="shared" si="119"/>
        <v/>
      </c>
      <c r="P702" s="34">
        <f t="shared" si="119"/>
        <v>84</v>
      </c>
      <c r="Q702" s="34">
        <f t="shared" si="119"/>
        <v>90</v>
      </c>
      <c r="R702" s="34">
        <f t="shared" si="119"/>
        <v>102</v>
      </c>
      <c r="S702" s="35">
        <f t="shared" si="118"/>
        <v>84</v>
      </c>
    </row>
    <row r="703" spans="2:19" hidden="1" outlineLevel="1">
      <c r="B703" s="14" t="s">
        <v>39</v>
      </c>
      <c r="C703" s="15" t="s">
        <v>66</v>
      </c>
      <c r="D703" s="52">
        <v>2041</v>
      </c>
      <c r="E703" s="34">
        <v>8</v>
      </c>
      <c r="F703" s="38">
        <f t="shared" si="115"/>
        <v>21489.556413508257</v>
      </c>
      <c r="G703" s="34">
        <f t="shared" si="116"/>
        <v>16</v>
      </c>
      <c r="H703" s="34">
        <f t="shared" si="117"/>
        <v>2</v>
      </c>
      <c r="I703" s="34" t="str">
        <f t="shared" si="119"/>
        <v/>
      </c>
      <c r="J703" s="34" t="str">
        <f t="shared" si="119"/>
        <v/>
      </c>
      <c r="K703" s="34" t="str">
        <f t="shared" si="119"/>
        <v/>
      </c>
      <c r="L703" s="34" t="str">
        <f t="shared" si="119"/>
        <v/>
      </c>
      <c r="M703" s="34" t="str">
        <f t="shared" si="119"/>
        <v/>
      </c>
      <c r="N703" s="34" t="str">
        <f t="shared" si="119"/>
        <v/>
      </c>
      <c r="O703" s="34" t="str">
        <f t="shared" si="119"/>
        <v/>
      </c>
      <c r="P703" s="34">
        <f t="shared" si="119"/>
        <v>84</v>
      </c>
      <c r="Q703" s="34">
        <f t="shared" si="119"/>
        <v>89</v>
      </c>
      <c r="R703" s="34">
        <f t="shared" si="119"/>
        <v>101</v>
      </c>
      <c r="S703" s="35">
        <f t="shared" si="118"/>
        <v>84</v>
      </c>
    </row>
    <row r="704" spans="2:19" hidden="1" outlineLevel="1">
      <c r="B704" s="14" t="s">
        <v>39</v>
      </c>
      <c r="C704" s="15" t="s">
        <v>66</v>
      </c>
      <c r="D704" s="52">
        <v>2041</v>
      </c>
      <c r="E704" s="34">
        <v>9</v>
      </c>
      <c r="F704" s="38">
        <f t="shared" si="115"/>
        <v>21489.556413508257</v>
      </c>
      <c r="G704" s="34">
        <f t="shared" si="116"/>
        <v>16</v>
      </c>
      <c r="H704" s="34">
        <f t="shared" si="117"/>
        <v>2</v>
      </c>
      <c r="I704" s="34" t="str">
        <f t="shared" si="119"/>
        <v/>
      </c>
      <c r="J704" s="34" t="str">
        <f t="shared" si="119"/>
        <v/>
      </c>
      <c r="K704" s="34" t="str">
        <f t="shared" si="119"/>
        <v/>
      </c>
      <c r="L704" s="34" t="str">
        <f t="shared" si="119"/>
        <v/>
      </c>
      <c r="M704" s="34" t="str">
        <f t="shared" si="119"/>
        <v/>
      </c>
      <c r="N704" s="34" t="str">
        <f t="shared" si="119"/>
        <v/>
      </c>
      <c r="O704" s="34" t="str">
        <f t="shared" si="119"/>
        <v/>
      </c>
      <c r="P704" s="34">
        <f t="shared" si="119"/>
        <v>84</v>
      </c>
      <c r="Q704" s="34">
        <f t="shared" si="119"/>
        <v>88</v>
      </c>
      <c r="R704" s="34">
        <f t="shared" si="119"/>
        <v>100</v>
      </c>
      <c r="S704" s="35">
        <f t="shared" si="118"/>
        <v>84</v>
      </c>
    </row>
    <row r="705" spans="2:19" hidden="1" outlineLevel="1">
      <c r="B705" s="14" t="s">
        <v>39</v>
      </c>
      <c r="C705" s="15" t="s">
        <v>66</v>
      </c>
      <c r="D705" s="52">
        <v>2041</v>
      </c>
      <c r="E705" s="34">
        <v>10</v>
      </c>
      <c r="F705" s="38">
        <f t="shared" si="115"/>
        <v>21489.556413508257</v>
      </c>
      <c r="G705" s="34">
        <f t="shared" si="116"/>
        <v>16</v>
      </c>
      <c r="H705" s="34">
        <f t="shared" si="117"/>
        <v>2</v>
      </c>
      <c r="I705" s="34" t="str">
        <f t="shared" si="119"/>
        <v/>
      </c>
      <c r="J705" s="34" t="str">
        <f t="shared" si="119"/>
        <v/>
      </c>
      <c r="K705" s="34" t="str">
        <f t="shared" si="119"/>
        <v/>
      </c>
      <c r="L705" s="34" t="str">
        <f t="shared" si="119"/>
        <v/>
      </c>
      <c r="M705" s="34" t="str">
        <f t="shared" si="119"/>
        <v/>
      </c>
      <c r="N705" s="34" t="str">
        <f t="shared" si="119"/>
        <v/>
      </c>
      <c r="O705" s="34" t="str">
        <f t="shared" si="119"/>
        <v/>
      </c>
      <c r="P705" s="34">
        <f t="shared" si="119"/>
        <v>84</v>
      </c>
      <c r="Q705" s="34">
        <f t="shared" si="119"/>
        <v>87</v>
      </c>
      <c r="R705" s="34">
        <f t="shared" si="119"/>
        <v>99</v>
      </c>
      <c r="S705" s="35">
        <f t="shared" si="118"/>
        <v>84</v>
      </c>
    </row>
    <row r="706" spans="2:19" hidden="1" outlineLevel="1">
      <c r="B706" s="14" t="s">
        <v>39</v>
      </c>
      <c r="C706" s="15" t="s">
        <v>66</v>
      </c>
      <c r="D706" s="52">
        <v>2041</v>
      </c>
      <c r="E706" s="34">
        <v>11</v>
      </c>
      <c r="F706" s="38">
        <f t="shared" si="115"/>
        <v>21489.556413508257</v>
      </c>
      <c r="G706" s="34">
        <f t="shared" si="116"/>
        <v>16</v>
      </c>
      <c r="H706" s="34">
        <f t="shared" si="117"/>
        <v>2</v>
      </c>
      <c r="I706" s="34" t="str">
        <f t="shared" si="119"/>
        <v/>
      </c>
      <c r="J706" s="34" t="str">
        <f t="shared" si="119"/>
        <v/>
      </c>
      <c r="K706" s="34" t="str">
        <f t="shared" si="119"/>
        <v/>
      </c>
      <c r="L706" s="34" t="str">
        <f t="shared" si="119"/>
        <v/>
      </c>
      <c r="M706" s="34" t="str">
        <f t="shared" si="119"/>
        <v/>
      </c>
      <c r="N706" s="34" t="str">
        <f t="shared" si="119"/>
        <v/>
      </c>
      <c r="O706" s="34" t="str">
        <f t="shared" si="119"/>
        <v/>
      </c>
      <c r="P706" s="34">
        <f t="shared" si="119"/>
        <v>84</v>
      </c>
      <c r="Q706" s="34">
        <f t="shared" si="119"/>
        <v>86</v>
      </c>
      <c r="R706" s="34">
        <f t="shared" si="119"/>
        <v>98</v>
      </c>
      <c r="S706" s="35">
        <f t="shared" si="118"/>
        <v>84</v>
      </c>
    </row>
    <row r="707" spans="2:19" hidden="1" outlineLevel="1">
      <c r="B707" s="14" t="s">
        <v>39</v>
      </c>
      <c r="C707" s="15" t="s">
        <v>66</v>
      </c>
      <c r="D707" s="52">
        <v>2041</v>
      </c>
      <c r="E707" s="34">
        <v>12</v>
      </c>
      <c r="F707" s="38">
        <f t="shared" si="115"/>
        <v>21489.556413508257</v>
      </c>
      <c r="G707" s="34">
        <f t="shared" si="116"/>
        <v>16</v>
      </c>
      <c r="H707" s="34">
        <f t="shared" si="117"/>
        <v>2</v>
      </c>
      <c r="I707" s="34" t="str">
        <f t="shared" si="119"/>
        <v/>
      </c>
      <c r="J707" s="34" t="str">
        <f t="shared" si="119"/>
        <v/>
      </c>
      <c r="K707" s="34" t="str">
        <f t="shared" si="119"/>
        <v/>
      </c>
      <c r="L707" s="34" t="str">
        <f t="shared" si="119"/>
        <v/>
      </c>
      <c r="M707" s="34" t="str">
        <f t="shared" si="119"/>
        <v/>
      </c>
      <c r="N707" s="34" t="str">
        <f t="shared" si="119"/>
        <v/>
      </c>
      <c r="O707" s="34" t="str">
        <f t="shared" si="119"/>
        <v/>
      </c>
      <c r="P707" s="34">
        <f t="shared" si="119"/>
        <v>84</v>
      </c>
      <c r="Q707" s="34">
        <f t="shared" si="119"/>
        <v>85</v>
      </c>
      <c r="R707" s="34">
        <f t="shared" si="119"/>
        <v>97</v>
      </c>
      <c r="S707" s="35">
        <f t="shared" si="118"/>
        <v>84</v>
      </c>
    </row>
    <row r="708" spans="2:19" hidden="1" outlineLevel="1">
      <c r="B708" s="14" t="s">
        <v>39</v>
      </c>
      <c r="C708" s="15" t="s">
        <v>66</v>
      </c>
      <c r="D708" s="52">
        <v>2042</v>
      </c>
      <c r="E708" s="34">
        <v>1</v>
      </c>
      <c r="F708" s="38">
        <f t="shared" si="115"/>
        <v>21262.681945419808</v>
      </c>
      <c r="G708" s="34">
        <f t="shared" si="116"/>
        <v>16</v>
      </c>
      <c r="H708" s="34">
        <f t="shared" si="117"/>
        <v>2</v>
      </c>
      <c r="I708" s="34" t="str">
        <f t="shared" si="119"/>
        <v/>
      </c>
      <c r="J708" s="34" t="str">
        <f t="shared" si="119"/>
        <v/>
      </c>
      <c r="K708" s="34" t="str">
        <f t="shared" si="119"/>
        <v/>
      </c>
      <c r="L708" s="34" t="str">
        <f t="shared" si="119"/>
        <v/>
      </c>
      <c r="M708" s="34" t="str">
        <f t="shared" si="119"/>
        <v/>
      </c>
      <c r="N708" s="34" t="str">
        <f t="shared" si="119"/>
        <v/>
      </c>
      <c r="O708" s="34" t="str">
        <f t="shared" si="119"/>
        <v/>
      </c>
      <c r="P708" s="34">
        <f t="shared" si="119"/>
        <v>84</v>
      </c>
      <c r="Q708" s="34">
        <f t="shared" si="119"/>
        <v>96</v>
      </c>
      <c r="R708" s="34">
        <f t="shared" si="119"/>
        <v>108</v>
      </c>
      <c r="S708" s="35">
        <f t="shared" si="118"/>
        <v>84</v>
      </c>
    </row>
    <row r="709" spans="2:19" hidden="1" outlineLevel="1">
      <c r="B709" s="14" t="s">
        <v>39</v>
      </c>
      <c r="C709" s="15" t="s">
        <v>66</v>
      </c>
      <c r="D709" s="52">
        <v>2042</v>
      </c>
      <c r="E709" s="34">
        <v>2</v>
      </c>
      <c r="F709" s="38">
        <f t="shared" si="115"/>
        <v>21262.681945419808</v>
      </c>
      <c r="G709" s="34">
        <f t="shared" si="116"/>
        <v>16</v>
      </c>
      <c r="H709" s="34">
        <f t="shared" si="117"/>
        <v>2</v>
      </c>
      <c r="I709" s="34" t="str">
        <f t="shared" si="119"/>
        <v/>
      </c>
      <c r="J709" s="34" t="str">
        <f t="shared" si="119"/>
        <v/>
      </c>
      <c r="K709" s="34" t="str">
        <f t="shared" si="119"/>
        <v/>
      </c>
      <c r="L709" s="34" t="str">
        <f t="shared" si="119"/>
        <v/>
      </c>
      <c r="M709" s="34" t="str">
        <f t="shared" si="119"/>
        <v/>
      </c>
      <c r="N709" s="34" t="str">
        <f t="shared" si="119"/>
        <v/>
      </c>
      <c r="O709" s="34" t="str">
        <f t="shared" si="119"/>
        <v/>
      </c>
      <c r="P709" s="34">
        <f t="shared" si="119"/>
        <v>84</v>
      </c>
      <c r="Q709" s="34">
        <f t="shared" si="119"/>
        <v>95</v>
      </c>
      <c r="R709" s="34">
        <f t="shared" si="119"/>
        <v>107</v>
      </c>
      <c r="S709" s="35">
        <f t="shared" si="118"/>
        <v>84</v>
      </c>
    </row>
    <row r="710" spans="2:19" hidden="1" outlineLevel="1">
      <c r="B710" s="14" t="s">
        <v>39</v>
      </c>
      <c r="C710" s="15" t="s">
        <v>66</v>
      </c>
      <c r="D710" s="52">
        <v>2042</v>
      </c>
      <c r="E710" s="34">
        <v>3</v>
      </c>
      <c r="F710" s="38">
        <f t="shared" si="115"/>
        <v>21262.681945419808</v>
      </c>
      <c r="G710" s="34">
        <f t="shared" si="116"/>
        <v>16</v>
      </c>
      <c r="H710" s="34">
        <f t="shared" si="117"/>
        <v>2</v>
      </c>
      <c r="I710" s="34" t="str">
        <f t="shared" ref="I710:R719" si="120">IF($D710&lt;$Z$18,"",IF(MAX($G710,INDEX($C$65:$F$108,$D710+I$119-2026,$H710))&lt;=12*I$119-$E710+12,MAX($G710,12*I$119-$E710+1,INDEX($C$65:$F$108,$D710+I$119-2026,$H710)),""))</f>
        <v/>
      </c>
      <c r="J710" s="34" t="str">
        <f t="shared" si="120"/>
        <v/>
      </c>
      <c r="K710" s="34" t="str">
        <f t="shared" si="120"/>
        <v/>
      </c>
      <c r="L710" s="34" t="str">
        <f t="shared" si="120"/>
        <v/>
      </c>
      <c r="M710" s="34" t="str">
        <f t="shared" si="120"/>
        <v/>
      </c>
      <c r="N710" s="34" t="str">
        <f t="shared" si="120"/>
        <v/>
      </c>
      <c r="O710" s="34" t="str">
        <f t="shared" si="120"/>
        <v/>
      </c>
      <c r="P710" s="34">
        <f t="shared" si="120"/>
        <v>84</v>
      </c>
      <c r="Q710" s="34">
        <f t="shared" si="120"/>
        <v>94</v>
      </c>
      <c r="R710" s="34">
        <f t="shared" si="120"/>
        <v>106</v>
      </c>
      <c r="S710" s="35">
        <f t="shared" si="118"/>
        <v>84</v>
      </c>
    </row>
    <row r="711" spans="2:19" hidden="1" outlineLevel="1">
      <c r="B711" s="14" t="s">
        <v>39</v>
      </c>
      <c r="C711" s="15" t="s">
        <v>66</v>
      </c>
      <c r="D711" s="52">
        <v>2042</v>
      </c>
      <c r="E711" s="34">
        <v>4</v>
      </c>
      <c r="F711" s="38">
        <f t="shared" si="115"/>
        <v>21262.681945419808</v>
      </c>
      <c r="G711" s="34">
        <f t="shared" si="116"/>
        <v>16</v>
      </c>
      <c r="H711" s="34">
        <f t="shared" si="117"/>
        <v>2</v>
      </c>
      <c r="I711" s="34" t="str">
        <f t="shared" si="120"/>
        <v/>
      </c>
      <c r="J711" s="34" t="str">
        <f t="shared" si="120"/>
        <v/>
      </c>
      <c r="K711" s="34" t="str">
        <f t="shared" si="120"/>
        <v/>
      </c>
      <c r="L711" s="34" t="str">
        <f t="shared" si="120"/>
        <v/>
      </c>
      <c r="M711" s="34" t="str">
        <f t="shared" si="120"/>
        <v/>
      </c>
      <c r="N711" s="34" t="str">
        <f t="shared" si="120"/>
        <v/>
      </c>
      <c r="O711" s="34" t="str">
        <f t="shared" si="120"/>
        <v/>
      </c>
      <c r="P711" s="34">
        <f t="shared" si="120"/>
        <v>84</v>
      </c>
      <c r="Q711" s="34">
        <f t="shared" si="120"/>
        <v>93</v>
      </c>
      <c r="R711" s="34">
        <f t="shared" si="120"/>
        <v>105</v>
      </c>
      <c r="S711" s="35">
        <f t="shared" si="118"/>
        <v>84</v>
      </c>
    </row>
    <row r="712" spans="2:19" hidden="1" outlineLevel="1">
      <c r="B712" s="14" t="s">
        <v>39</v>
      </c>
      <c r="C712" s="15" t="s">
        <v>66</v>
      </c>
      <c r="D712" s="52">
        <v>2042</v>
      </c>
      <c r="E712" s="34">
        <v>5</v>
      </c>
      <c r="F712" s="38">
        <f t="shared" si="115"/>
        <v>21262.681945419808</v>
      </c>
      <c r="G712" s="34">
        <f t="shared" si="116"/>
        <v>16</v>
      </c>
      <c r="H712" s="34">
        <f t="shared" si="117"/>
        <v>2</v>
      </c>
      <c r="I712" s="34" t="str">
        <f t="shared" si="120"/>
        <v/>
      </c>
      <c r="J712" s="34" t="str">
        <f t="shared" si="120"/>
        <v/>
      </c>
      <c r="K712" s="34" t="str">
        <f t="shared" si="120"/>
        <v/>
      </c>
      <c r="L712" s="34" t="str">
        <f t="shared" si="120"/>
        <v/>
      </c>
      <c r="M712" s="34" t="str">
        <f t="shared" si="120"/>
        <v/>
      </c>
      <c r="N712" s="34" t="str">
        <f t="shared" si="120"/>
        <v/>
      </c>
      <c r="O712" s="34" t="str">
        <f t="shared" si="120"/>
        <v/>
      </c>
      <c r="P712" s="34">
        <f t="shared" si="120"/>
        <v>84</v>
      </c>
      <c r="Q712" s="34">
        <f t="shared" si="120"/>
        <v>92</v>
      </c>
      <c r="R712" s="34">
        <f t="shared" si="120"/>
        <v>104</v>
      </c>
      <c r="S712" s="35">
        <f t="shared" si="118"/>
        <v>84</v>
      </c>
    </row>
    <row r="713" spans="2:19" hidden="1" outlineLevel="1">
      <c r="B713" s="14" t="s">
        <v>39</v>
      </c>
      <c r="C713" s="15" t="s">
        <v>66</v>
      </c>
      <c r="D713" s="52">
        <v>2042</v>
      </c>
      <c r="E713" s="34">
        <v>6</v>
      </c>
      <c r="F713" s="38">
        <f t="shared" si="115"/>
        <v>21262.681945419808</v>
      </c>
      <c r="G713" s="34">
        <f t="shared" si="116"/>
        <v>16</v>
      </c>
      <c r="H713" s="34">
        <f t="shared" si="117"/>
        <v>2</v>
      </c>
      <c r="I713" s="34" t="str">
        <f t="shared" si="120"/>
        <v/>
      </c>
      <c r="J713" s="34" t="str">
        <f t="shared" si="120"/>
        <v/>
      </c>
      <c r="K713" s="34" t="str">
        <f t="shared" si="120"/>
        <v/>
      </c>
      <c r="L713" s="34" t="str">
        <f t="shared" si="120"/>
        <v/>
      </c>
      <c r="M713" s="34" t="str">
        <f t="shared" si="120"/>
        <v/>
      </c>
      <c r="N713" s="34" t="str">
        <f t="shared" si="120"/>
        <v/>
      </c>
      <c r="O713" s="34" t="str">
        <f t="shared" si="120"/>
        <v/>
      </c>
      <c r="P713" s="34">
        <f t="shared" si="120"/>
        <v>84</v>
      </c>
      <c r="Q713" s="34">
        <f t="shared" si="120"/>
        <v>91</v>
      </c>
      <c r="R713" s="34">
        <f t="shared" si="120"/>
        <v>103</v>
      </c>
      <c r="S713" s="35">
        <f t="shared" si="118"/>
        <v>84</v>
      </c>
    </row>
    <row r="714" spans="2:19" hidden="1" outlineLevel="1">
      <c r="B714" s="14" t="s">
        <v>39</v>
      </c>
      <c r="C714" s="15" t="s">
        <v>66</v>
      </c>
      <c r="D714" s="52">
        <v>2042</v>
      </c>
      <c r="E714" s="34">
        <v>7</v>
      </c>
      <c r="F714" s="38">
        <f t="shared" si="115"/>
        <v>21262.681945419808</v>
      </c>
      <c r="G714" s="34">
        <f t="shared" si="116"/>
        <v>16</v>
      </c>
      <c r="H714" s="34">
        <f t="shared" si="117"/>
        <v>2</v>
      </c>
      <c r="I714" s="34" t="str">
        <f t="shared" si="120"/>
        <v/>
      </c>
      <c r="J714" s="34" t="str">
        <f t="shared" si="120"/>
        <v/>
      </c>
      <c r="K714" s="34" t="str">
        <f t="shared" si="120"/>
        <v/>
      </c>
      <c r="L714" s="34" t="str">
        <f t="shared" si="120"/>
        <v/>
      </c>
      <c r="M714" s="34" t="str">
        <f t="shared" si="120"/>
        <v/>
      </c>
      <c r="N714" s="34" t="str">
        <f t="shared" si="120"/>
        <v/>
      </c>
      <c r="O714" s="34" t="str">
        <f t="shared" si="120"/>
        <v/>
      </c>
      <c r="P714" s="34">
        <f t="shared" si="120"/>
        <v>84</v>
      </c>
      <c r="Q714" s="34">
        <f t="shared" si="120"/>
        <v>90</v>
      </c>
      <c r="R714" s="34">
        <f t="shared" si="120"/>
        <v>102</v>
      </c>
      <c r="S714" s="35">
        <f t="shared" si="118"/>
        <v>84</v>
      </c>
    </row>
    <row r="715" spans="2:19" hidden="1" outlineLevel="1">
      <c r="B715" s="14" t="s">
        <v>39</v>
      </c>
      <c r="C715" s="15" t="s">
        <v>66</v>
      </c>
      <c r="D715" s="52">
        <v>2042</v>
      </c>
      <c r="E715" s="34">
        <v>8</v>
      </c>
      <c r="F715" s="38">
        <f t="shared" si="115"/>
        <v>21262.681945419808</v>
      </c>
      <c r="G715" s="34">
        <f t="shared" si="116"/>
        <v>16</v>
      </c>
      <c r="H715" s="34">
        <f t="shared" si="117"/>
        <v>2</v>
      </c>
      <c r="I715" s="34" t="str">
        <f t="shared" si="120"/>
        <v/>
      </c>
      <c r="J715" s="34" t="str">
        <f t="shared" si="120"/>
        <v/>
      </c>
      <c r="K715" s="34" t="str">
        <f t="shared" si="120"/>
        <v/>
      </c>
      <c r="L715" s="34" t="str">
        <f t="shared" si="120"/>
        <v/>
      </c>
      <c r="M715" s="34" t="str">
        <f t="shared" si="120"/>
        <v/>
      </c>
      <c r="N715" s="34" t="str">
        <f t="shared" si="120"/>
        <v/>
      </c>
      <c r="O715" s="34" t="str">
        <f t="shared" si="120"/>
        <v/>
      </c>
      <c r="P715" s="34">
        <f t="shared" si="120"/>
        <v>84</v>
      </c>
      <c r="Q715" s="34">
        <f t="shared" si="120"/>
        <v>89</v>
      </c>
      <c r="R715" s="34">
        <f t="shared" si="120"/>
        <v>101</v>
      </c>
      <c r="S715" s="35">
        <f t="shared" si="118"/>
        <v>84</v>
      </c>
    </row>
    <row r="716" spans="2:19" hidden="1" outlineLevel="1">
      <c r="B716" s="14" t="s">
        <v>39</v>
      </c>
      <c r="C716" s="15" t="s">
        <v>66</v>
      </c>
      <c r="D716" s="52">
        <v>2042</v>
      </c>
      <c r="E716" s="34">
        <v>9</v>
      </c>
      <c r="F716" s="38">
        <f t="shared" si="115"/>
        <v>21262.681945419808</v>
      </c>
      <c r="G716" s="34">
        <f t="shared" si="116"/>
        <v>16</v>
      </c>
      <c r="H716" s="34">
        <f t="shared" si="117"/>
        <v>2</v>
      </c>
      <c r="I716" s="34" t="str">
        <f t="shared" si="120"/>
        <v/>
      </c>
      <c r="J716" s="34" t="str">
        <f t="shared" si="120"/>
        <v/>
      </c>
      <c r="K716" s="34" t="str">
        <f t="shared" si="120"/>
        <v/>
      </c>
      <c r="L716" s="34" t="str">
        <f t="shared" si="120"/>
        <v/>
      </c>
      <c r="M716" s="34" t="str">
        <f t="shared" si="120"/>
        <v/>
      </c>
      <c r="N716" s="34" t="str">
        <f t="shared" si="120"/>
        <v/>
      </c>
      <c r="O716" s="34" t="str">
        <f t="shared" si="120"/>
        <v/>
      </c>
      <c r="P716" s="34">
        <f t="shared" si="120"/>
        <v>84</v>
      </c>
      <c r="Q716" s="34">
        <f t="shared" si="120"/>
        <v>88</v>
      </c>
      <c r="R716" s="34">
        <f t="shared" si="120"/>
        <v>100</v>
      </c>
      <c r="S716" s="35">
        <f t="shared" si="118"/>
        <v>84</v>
      </c>
    </row>
    <row r="717" spans="2:19" hidden="1" outlineLevel="1">
      <c r="B717" s="14" t="s">
        <v>39</v>
      </c>
      <c r="C717" s="15" t="s">
        <v>66</v>
      </c>
      <c r="D717" s="52">
        <v>2042</v>
      </c>
      <c r="E717" s="34">
        <v>10</v>
      </c>
      <c r="F717" s="38">
        <f t="shared" si="115"/>
        <v>21262.681945419808</v>
      </c>
      <c r="G717" s="34">
        <f t="shared" si="116"/>
        <v>16</v>
      </c>
      <c r="H717" s="34">
        <f t="shared" si="117"/>
        <v>2</v>
      </c>
      <c r="I717" s="34" t="str">
        <f t="shared" si="120"/>
        <v/>
      </c>
      <c r="J717" s="34" t="str">
        <f t="shared" si="120"/>
        <v/>
      </c>
      <c r="K717" s="34" t="str">
        <f t="shared" si="120"/>
        <v/>
      </c>
      <c r="L717" s="34" t="str">
        <f t="shared" si="120"/>
        <v/>
      </c>
      <c r="M717" s="34" t="str">
        <f t="shared" si="120"/>
        <v/>
      </c>
      <c r="N717" s="34" t="str">
        <f t="shared" si="120"/>
        <v/>
      </c>
      <c r="O717" s="34" t="str">
        <f t="shared" si="120"/>
        <v/>
      </c>
      <c r="P717" s="34">
        <f t="shared" si="120"/>
        <v>84</v>
      </c>
      <c r="Q717" s="34">
        <f t="shared" si="120"/>
        <v>87</v>
      </c>
      <c r="R717" s="34">
        <f t="shared" si="120"/>
        <v>99</v>
      </c>
      <c r="S717" s="35">
        <f t="shared" si="118"/>
        <v>84</v>
      </c>
    </row>
    <row r="718" spans="2:19" hidden="1" outlineLevel="1">
      <c r="B718" s="14" t="s">
        <v>39</v>
      </c>
      <c r="C718" s="15" t="s">
        <v>66</v>
      </c>
      <c r="D718" s="52">
        <v>2042</v>
      </c>
      <c r="E718" s="34">
        <v>11</v>
      </c>
      <c r="F718" s="38">
        <f t="shared" si="115"/>
        <v>21262.681945419808</v>
      </c>
      <c r="G718" s="34">
        <f t="shared" si="116"/>
        <v>16</v>
      </c>
      <c r="H718" s="34">
        <f t="shared" si="117"/>
        <v>2</v>
      </c>
      <c r="I718" s="34" t="str">
        <f t="shared" si="120"/>
        <v/>
      </c>
      <c r="J718" s="34" t="str">
        <f t="shared" si="120"/>
        <v/>
      </c>
      <c r="K718" s="34" t="str">
        <f t="shared" si="120"/>
        <v/>
      </c>
      <c r="L718" s="34" t="str">
        <f t="shared" si="120"/>
        <v/>
      </c>
      <c r="M718" s="34" t="str">
        <f t="shared" si="120"/>
        <v/>
      </c>
      <c r="N718" s="34" t="str">
        <f t="shared" si="120"/>
        <v/>
      </c>
      <c r="O718" s="34" t="str">
        <f t="shared" si="120"/>
        <v/>
      </c>
      <c r="P718" s="34">
        <f t="shared" si="120"/>
        <v>84</v>
      </c>
      <c r="Q718" s="34">
        <f t="shared" si="120"/>
        <v>86</v>
      </c>
      <c r="R718" s="34">
        <f t="shared" si="120"/>
        <v>98</v>
      </c>
      <c r="S718" s="35">
        <f t="shared" si="118"/>
        <v>84</v>
      </c>
    </row>
    <row r="719" spans="2:19" hidden="1" outlineLevel="1">
      <c r="B719" s="14" t="s">
        <v>39</v>
      </c>
      <c r="C719" s="15" t="s">
        <v>66</v>
      </c>
      <c r="D719" s="52">
        <v>2042</v>
      </c>
      <c r="E719" s="34">
        <v>12</v>
      </c>
      <c r="F719" s="38">
        <f t="shared" si="115"/>
        <v>21262.681945419808</v>
      </c>
      <c r="G719" s="34">
        <f t="shared" si="116"/>
        <v>16</v>
      </c>
      <c r="H719" s="34">
        <f t="shared" si="117"/>
        <v>2</v>
      </c>
      <c r="I719" s="34" t="str">
        <f t="shared" si="120"/>
        <v/>
      </c>
      <c r="J719" s="34" t="str">
        <f t="shared" si="120"/>
        <v/>
      </c>
      <c r="K719" s="34" t="str">
        <f t="shared" si="120"/>
        <v/>
      </c>
      <c r="L719" s="34" t="str">
        <f t="shared" si="120"/>
        <v/>
      </c>
      <c r="M719" s="34" t="str">
        <f t="shared" si="120"/>
        <v/>
      </c>
      <c r="N719" s="34" t="str">
        <f t="shared" si="120"/>
        <v/>
      </c>
      <c r="O719" s="34" t="str">
        <f t="shared" si="120"/>
        <v/>
      </c>
      <c r="P719" s="34">
        <f t="shared" si="120"/>
        <v>84</v>
      </c>
      <c r="Q719" s="34">
        <f t="shared" si="120"/>
        <v>85</v>
      </c>
      <c r="R719" s="34">
        <f t="shared" si="120"/>
        <v>97</v>
      </c>
      <c r="S719" s="35">
        <f t="shared" si="118"/>
        <v>84</v>
      </c>
    </row>
    <row r="720" spans="2:19" hidden="1" outlineLevel="1">
      <c r="B720" s="14" t="s">
        <v>39</v>
      </c>
      <c r="C720" s="15" t="s">
        <v>66</v>
      </c>
      <c r="D720" s="52">
        <v>2043</v>
      </c>
      <c r="E720" s="34">
        <v>1</v>
      </c>
      <c r="F720" s="38">
        <f t="shared" si="115"/>
        <v>20971.191579512979</v>
      </c>
      <c r="G720" s="34">
        <f t="shared" si="116"/>
        <v>16</v>
      </c>
      <c r="H720" s="34">
        <f t="shared" si="117"/>
        <v>2</v>
      </c>
      <c r="I720" s="34" t="str">
        <f t="shared" ref="I720:R729" si="121">IF($D720&lt;$Z$18,"",IF(MAX($G720,INDEX($C$65:$F$108,$D720+I$119-2026,$H720))&lt;=12*I$119-$E720+12,MAX($G720,12*I$119-$E720+1,INDEX($C$65:$F$108,$D720+I$119-2026,$H720)),""))</f>
        <v/>
      </c>
      <c r="J720" s="34" t="str">
        <f t="shared" si="121"/>
        <v/>
      </c>
      <c r="K720" s="34" t="str">
        <f t="shared" si="121"/>
        <v/>
      </c>
      <c r="L720" s="34" t="str">
        <f t="shared" si="121"/>
        <v/>
      </c>
      <c r="M720" s="34" t="str">
        <f t="shared" si="121"/>
        <v/>
      </c>
      <c r="N720" s="34" t="str">
        <f t="shared" si="121"/>
        <v/>
      </c>
      <c r="O720" s="34" t="str">
        <f t="shared" si="121"/>
        <v/>
      </c>
      <c r="P720" s="34">
        <f t="shared" si="121"/>
        <v>84</v>
      </c>
      <c r="Q720" s="34">
        <f t="shared" si="121"/>
        <v>96</v>
      </c>
      <c r="R720" s="34">
        <f t="shared" si="121"/>
        <v>108</v>
      </c>
      <c r="S720" s="35">
        <f t="shared" si="118"/>
        <v>84</v>
      </c>
    </row>
    <row r="721" spans="2:19" hidden="1" outlineLevel="1">
      <c r="B721" s="14" t="s">
        <v>39</v>
      </c>
      <c r="C721" s="15" t="s">
        <v>66</v>
      </c>
      <c r="D721" s="52">
        <v>2043</v>
      </c>
      <c r="E721" s="34">
        <v>2</v>
      </c>
      <c r="F721" s="38">
        <f t="shared" si="115"/>
        <v>20971.191579512979</v>
      </c>
      <c r="G721" s="34">
        <f t="shared" si="116"/>
        <v>16</v>
      </c>
      <c r="H721" s="34">
        <f t="shared" si="117"/>
        <v>2</v>
      </c>
      <c r="I721" s="34" t="str">
        <f t="shared" si="121"/>
        <v/>
      </c>
      <c r="J721" s="34" t="str">
        <f t="shared" si="121"/>
        <v/>
      </c>
      <c r="K721" s="34" t="str">
        <f t="shared" si="121"/>
        <v/>
      </c>
      <c r="L721" s="34" t="str">
        <f t="shared" si="121"/>
        <v/>
      </c>
      <c r="M721" s="34" t="str">
        <f t="shared" si="121"/>
        <v/>
      </c>
      <c r="N721" s="34" t="str">
        <f t="shared" si="121"/>
        <v/>
      </c>
      <c r="O721" s="34" t="str">
        <f t="shared" si="121"/>
        <v/>
      </c>
      <c r="P721" s="34">
        <f t="shared" si="121"/>
        <v>84</v>
      </c>
      <c r="Q721" s="34">
        <f t="shared" si="121"/>
        <v>95</v>
      </c>
      <c r="R721" s="34">
        <f t="shared" si="121"/>
        <v>107</v>
      </c>
      <c r="S721" s="35">
        <f t="shared" si="118"/>
        <v>84</v>
      </c>
    </row>
    <row r="722" spans="2:19" hidden="1" outlineLevel="1">
      <c r="B722" s="14" t="s">
        <v>39</v>
      </c>
      <c r="C722" s="15" t="s">
        <v>66</v>
      </c>
      <c r="D722" s="52">
        <v>2043</v>
      </c>
      <c r="E722" s="34">
        <v>3</v>
      </c>
      <c r="F722" s="38">
        <f t="shared" si="115"/>
        <v>20971.191579512979</v>
      </c>
      <c r="G722" s="34">
        <f t="shared" si="116"/>
        <v>16</v>
      </c>
      <c r="H722" s="34">
        <f t="shared" si="117"/>
        <v>2</v>
      </c>
      <c r="I722" s="34" t="str">
        <f t="shared" si="121"/>
        <v/>
      </c>
      <c r="J722" s="34" t="str">
        <f t="shared" si="121"/>
        <v/>
      </c>
      <c r="K722" s="34" t="str">
        <f t="shared" si="121"/>
        <v/>
      </c>
      <c r="L722" s="34" t="str">
        <f t="shared" si="121"/>
        <v/>
      </c>
      <c r="M722" s="34" t="str">
        <f t="shared" si="121"/>
        <v/>
      </c>
      <c r="N722" s="34" t="str">
        <f t="shared" si="121"/>
        <v/>
      </c>
      <c r="O722" s="34" t="str">
        <f t="shared" si="121"/>
        <v/>
      </c>
      <c r="P722" s="34">
        <f t="shared" si="121"/>
        <v>84</v>
      </c>
      <c r="Q722" s="34">
        <f t="shared" si="121"/>
        <v>94</v>
      </c>
      <c r="R722" s="34">
        <f t="shared" si="121"/>
        <v>106</v>
      </c>
      <c r="S722" s="35">
        <f t="shared" si="118"/>
        <v>84</v>
      </c>
    </row>
    <row r="723" spans="2:19" hidden="1" outlineLevel="1">
      <c r="B723" s="14" t="s">
        <v>39</v>
      </c>
      <c r="C723" s="15" t="s">
        <v>66</v>
      </c>
      <c r="D723" s="52">
        <v>2043</v>
      </c>
      <c r="E723" s="34">
        <v>4</v>
      </c>
      <c r="F723" s="38">
        <f t="shared" si="115"/>
        <v>20971.191579512979</v>
      </c>
      <c r="G723" s="34">
        <f t="shared" si="116"/>
        <v>16</v>
      </c>
      <c r="H723" s="34">
        <f t="shared" si="117"/>
        <v>2</v>
      </c>
      <c r="I723" s="34" t="str">
        <f t="shared" si="121"/>
        <v/>
      </c>
      <c r="J723" s="34" t="str">
        <f t="shared" si="121"/>
        <v/>
      </c>
      <c r="K723" s="34" t="str">
        <f t="shared" si="121"/>
        <v/>
      </c>
      <c r="L723" s="34" t="str">
        <f t="shared" si="121"/>
        <v/>
      </c>
      <c r="M723" s="34" t="str">
        <f t="shared" si="121"/>
        <v/>
      </c>
      <c r="N723" s="34" t="str">
        <f t="shared" si="121"/>
        <v/>
      </c>
      <c r="O723" s="34" t="str">
        <f t="shared" si="121"/>
        <v/>
      </c>
      <c r="P723" s="34">
        <f t="shared" si="121"/>
        <v>84</v>
      </c>
      <c r="Q723" s="34">
        <f t="shared" si="121"/>
        <v>93</v>
      </c>
      <c r="R723" s="34">
        <f t="shared" si="121"/>
        <v>105</v>
      </c>
      <c r="S723" s="35">
        <f t="shared" si="118"/>
        <v>84</v>
      </c>
    </row>
    <row r="724" spans="2:19" hidden="1" outlineLevel="1">
      <c r="B724" s="14" t="s">
        <v>39</v>
      </c>
      <c r="C724" s="15" t="s">
        <v>66</v>
      </c>
      <c r="D724" s="52">
        <v>2043</v>
      </c>
      <c r="E724" s="34">
        <v>5</v>
      </c>
      <c r="F724" s="38">
        <f t="shared" si="115"/>
        <v>20971.191579512979</v>
      </c>
      <c r="G724" s="34">
        <f t="shared" si="116"/>
        <v>16</v>
      </c>
      <c r="H724" s="34">
        <f t="shared" si="117"/>
        <v>2</v>
      </c>
      <c r="I724" s="34" t="str">
        <f t="shared" si="121"/>
        <v/>
      </c>
      <c r="J724" s="34" t="str">
        <f t="shared" si="121"/>
        <v/>
      </c>
      <c r="K724" s="34" t="str">
        <f t="shared" si="121"/>
        <v/>
      </c>
      <c r="L724" s="34" t="str">
        <f t="shared" si="121"/>
        <v/>
      </c>
      <c r="M724" s="34" t="str">
        <f t="shared" si="121"/>
        <v/>
      </c>
      <c r="N724" s="34" t="str">
        <f t="shared" si="121"/>
        <v/>
      </c>
      <c r="O724" s="34" t="str">
        <f t="shared" si="121"/>
        <v/>
      </c>
      <c r="P724" s="34">
        <f t="shared" si="121"/>
        <v>84</v>
      </c>
      <c r="Q724" s="34">
        <f t="shared" si="121"/>
        <v>92</v>
      </c>
      <c r="R724" s="34">
        <f t="shared" si="121"/>
        <v>104</v>
      </c>
      <c r="S724" s="35">
        <f t="shared" si="118"/>
        <v>84</v>
      </c>
    </row>
    <row r="725" spans="2:19" hidden="1" outlineLevel="1">
      <c r="B725" s="14" t="s">
        <v>39</v>
      </c>
      <c r="C725" s="15" t="s">
        <v>66</v>
      </c>
      <c r="D725" s="52">
        <v>2043</v>
      </c>
      <c r="E725" s="34">
        <v>6</v>
      </c>
      <c r="F725" s="38">
        <f t="shared" si="115"/>
        <v>20971.191579512979</v>
      </c>
      <c r="G725" s="34">
        <f t="shared" si="116"/>
        <v>16</v>
      </c>
      <c r="H725" s="34">
        <f t="shared" si="117"/>
        <v>2</v>
      </c>
      <c r="I725" s="34" t="str">
        <f t="shared" si="121"/>
        <v/>
      </c>
      <c r="J725" s="34" t="str">
        <f t="shared" si="121"/>
        <v/>
      </c>
      <c r="K725" s="34" t="str">
        <f t="shared" si="121"/>
        <v/>
      </c>
      <c r="L725" s="34" t="str">
        <f t="shared" si="121"/>
        <v/>
      </c>
      <c r="M725" s="34" t="str">
        <f t="shared" si="121"/>
        <v/>
      </c>
      <c r="N725" s="34" t="str">
        <f t="shared" si="121"/>
        <v/>
      </c>
      <c r="O725" s="34" t="str">
        <f t="shared" si="121"/>
        <v/>
      </c>
      <c r="P725" s="34">
        <f t="shared" si="121"/>
        <v>84</v>
      </c>
      <c r="Q725" s="34">
        <f t="shared" si="121"/>
        <v>91</v>
      </c>
      <c r="R725" s="34">
        <f t="shared" si="121"/>
        <v>103</v>
      </c>
      <c r="S725" s="35">
        <f t="shared" si="118"/>
        <v>84</v>
      </c>
    </row>
    <row r="726" spans="2:19" hidden="1" outlineLevel="1">
      <c r="B726" s="14" t="s">
        <v>39</v>
      </c>
      <c r="C726" s="15" t="s">
        <v>66</v>
      </c>
      <c r="D726" s="52">
        <v>2043</v>
      </c>
      <c r="E726" s="34">
        <v>7</v>
      </c>
      <c r="F726" s="38">
        <f t="shared" si="115"/>
        <v>20971.191579512979</v>
      </c>
      <c r="G726" s="34">
        <f t="shared" si="116"/>
        <v>16</v>
      </c>
      <c r="H726" s="34">
        <f t="shared" si="117"/>
        <v>2</v>
      </c>
      <c r="I726" s="34" t="str">
        <f t="shared" si="121"/>
        <v/>
      </c>
      <c r="J726" s="34" t="str">
        <f t="shared" si="121"/>
        <v/>
      </c>
      <c r="K726" s="34" t="str">
        <f t="shared" si="121"/>
        <v/>
      </c>
      <c r="L726" s="34" t="str">
        <f t="shared" si="121"/>
        <v/>
      </c>
      <c r="M726" s="34" t="str">
        <f t="shared" si="121"/>
        <v/>
      </c>
      <c r="N726" s="34" t="str">
        <f t="shared" si="121"/>
        <v/>
      </c>
      <c r="O726" s="34" t="str">
        <f t="shared" si="121"/>
        <v/>
      </c>
      <c r="P726" s="34">
        <f t="shared" si="121"/>
        <v>84</v>
      </c>
      <c r="Q726" s="34">
        <f t="shared" si="121"/>
        <v>90</v>
      </c>
      <c r="R726" s="34">
        <f t="shared" si="121"/>
        <v>102</v>
      </c>
      <c r="S726" s="35">
        <f t="shared" si="118"/>
        <v>84</v>
      </c>
    </row>
    <row r="727" spans="2:19" hidden="1" outlineLevel="1">
      <c r="B727" s="14" t="s">
        <v>39</v>
      </c>
      <c r="C727" s="15" t="s">
        <v>66</v>
      </c>
      <c r="D727" s="52">
        <v>2043</v>
      </c>
      <c r="E727" s="34">
        <v>8</v>
      </c>
      <c r="F727" s="38">
        <f t="shared" si="115"/>
        <v>20971.191579512979</v>
      </c>
      <c r="G727" s="34">
        <f t="shared" si="116"/>
        <v>16</v>
      </c>
      <c r="H727" s="34">
        <f t="shared" si="117"/>
        <v>2</v>
      </c>
      <c r="I727" s="34" t="str">
        <f t="shared" si="121"/>
        <v/>
      </c>
      <c r="J727" s="34" t="str">
        <f t="shared" si="121"/>
        <v/>
      </c>
      <c r="K727" s="34" t="str">
        <f t="shared" si="121"/>
        <v/>
      </c>
      <c r="L727" s="34" t="str">
        <f t="shared" si="121"/>
        <v/>
      </c>
      <c r="M727" s="34" t="str">
        <f t="shared" si="121"/>
        <v/>
      </c>
      <c r="N727" s="34" t="str">
        <f t="shared" si="121"/>
        <v/>
      </c>
      <c r="O727" s="34" t="str">
        <f t="shared" si="121"/>
        <v/>
      </c>
      <c r="P727" s="34">
        <f t="shared" si="121"/>
        <v>84</v>
      </c>
      <c r="Q727" s="34">
        <f t="shared" si="121"/>
        <v>89</v>
      </c>
      <c r="R727" s="34">
        <f t="shared" si="121"/>
        <v>101</v>
      </c>
      <c r="S727" s="35">
        <f t="shared" si="118"/>
        <v>84</v>
      </c>
    </row>
    <row r="728" spans="2:19" hidden="1" outlineLevel="1">
      <c r="B728" s="14" t="s">
        <v>39</v>
      </c>
      <c r="C728" s="15" t="s">
        <v>66</v>
      </c>
      <c r="D728" s="52">
        <v>2043</v>
      </c>
      <c r="E728" s="34">
        <v>9</v>
      </c>
      <c r="F728" s="38">
        <f t="shared" si="115"/>
        <v>20971.191579512979</v>
      </c>
      <c r="G728" s="34">
        <f t="shared" si="116"/>
        <v>16</v>
      </c>
      <c r="H728" s="34">
        <f t="shared" si="117"/>
        <v>2</v>
      </c>
      <c r="I728" s="34" t="str">
        <f t="shared" si="121"/>
        <v/>
      </c>
      <c r="J728" s="34" t="str">
        <f t="shared" si="121"/>
        <v/>
      </c>
      <c r="K728" s="34" t="str">
        <f t="shared" si="121"/>
        <v/>
      </c>
      <c r="L728" s="34" t="str">
        <f t="shared" si="121"/>
        <v/>
      </c>
      <c r="M728" s="34" t="str">
        <f t="shared" si="121"/>
        <v/>
      </c>
      <c r="N728" s="34" t="str">
        <f t="shared" si="121"/>
        <v/>
      </c>
      <c r="O728" s="34" t="str">
        <f t="shared" si="121"/>
        <v/>
      </c>
      <c r="P728" s="34">
        <f t="shared" si="121"/>
        <v>84</v>
      </c>
      <c r="Q728" s="34">
        <f t="shared" si="121"/>
        <v>88</v>
      </c>
      <c r="R728" s="34">
        <f t="shared" si="121"/>
        <v>100</v>
      </c>
      <c r="S728" s="35">
        <f t="shared" si="118"/>
        <v>84</v>
      </c>
    </row>
    <row r="729" spans="2:19" hidden="1" outlineLevel="1">
      <c r="B729" s="14" t="s">
        <v>39</v>
      </c>
      <c r="C729" s="15" t="s">
        <v>66</v>
      </c>
      <c r="D729" s="52">
        <v>2043</v>
      </c>
      <c r="E729" s="34">
        <v>10</v>
      </c>
      <c r="F729" s="38">
        <f t="shared" si="115"/>
        <v>20971.191579512979</v>
      </c>
      <c r="G729" s="34">
        <f t="shared" si="116"/>
        <v>16</v>
      </c>
      <c r="H729" s="34">
        <f t="shared" si="117"/>
        <v>2</v>
      </c>
      <c r="I729" s="34" t="str">
        <f t="shared" si="121"/>
        <v/>
      </c>
      <c r="J729" s="34" t="str">
        <f t="shared" si="121"/>
        <v/>
      </c>
      <c r="K729" s="34" t="str">
        <f t="shared" si="121"/>
        <v/>
      </c>
      <c r="L729" s="34" t="str">
        <f t="shared" si="121"/>
        <v/>
      </c>
      <c r="M729" s="34" t="str">
        <f t="shared" si="121"/>
        <v/>
      </c>
      <c r="N729" s="34" t="str">
        <f t="shared" si="121"/>
        <v/>
      </c>
      <c r="O729" s="34" t="str">
        <f t="shared" si="121"/>
        <v/>
      </c>
      <c r="P729" s="34">
        <f t="shared" si="121"/>
        <v>84</v>
      </c>
      <c r="Q729" s="34">
        <f t="shared" si="121"/>
        <v>87</v>
      </c>
      <c r="R729" s="34">
        <f t="shared" si="121"/>
        <v>99</v>
      </c>
      <c r="S729" s="35">
        <f t="shared" si="118"/>
        <v>84</v>
      </c>
    </row>
    <row r="730" spans="2:19" hidden="1" outlineLevel="1">
      <c r="B730" s="14" t="s">
        <v>39</v>
      </c>
      <c r="C730" s="15" t="s">
        <v>66</v>
      </c>
      <c r="D730" s="52">
        <v>2043</v>
      </c>
      <c r="E730" s="34">
        <v>11</v>
      </c>
      <c r="F730" s="38">
        <f t="shared" si="115"/>
        <v>20971.191579512979</v>
      </c>
      <c r="G730" s="34">
        <f t="shared" si="116"/>
        <v>16</v>
      </c>
      <c r="H730" s="34">
        <f t="shared" si="117"/>
        <v>2</v>
      </c>
      <c r="I730" s="34" t="str">
        <f t="shared" ref="I730:R739" si="122">IF($D730&lt;$Z$18,"",IF(MAX($G730,INDEX($C$65:$F$108,$D730+I$119-2026,$H730))&lt;=12*I$119-$E730+12,MAX($G730,12*I$119-$E730+1,INDEX($C$65:$F$108,$D730+I$119-2026,$H730)),""))</f>
        <v/>
      </c>
      <c r="J730" s="34" t="str">
        <f t="shared" si="122"/>
        <v/>
      </c>
      <c r="K730" s="34" t="str">
        <f t="shared" si="122"/>
        <v/>
      </c>
      <c r="L730" s="34" t="str">
        <f t="shared" si="122"/>
        <v/>
      </c>
      <c r="M730" s="34" t="str">
        <f t="shared" si="122"/>
        <v/>
      </c>
      <c r="N730" s="34" t="str">
        <f t="shared" si="122"/>
        <v/>
      </c>
      <c r="O730" s="34" t="str">
        <f t="shared" si="122"/>
        <v/>
      </c>
      <c r="P730" s="34">
        <f t="shared" si="122"/>
        <v>84</v>
      </c>
      <c r="Q730" s="34">
        <f t="shared" si="122"/>
        <v>86</v>
      </c>
      <c r="R730" s="34">
        <f t="shared" si="122"/>
        <v>98</v>
      </c>
      <c r="S730" s="35">
        <f t="shared" si="118"/>
        <v>84</v>
      </c>
    </row>
    <row r="731" spans="2:19" hidden="1" outlineLevel="1">
      <c r="B731" s="14" t="s">
        <v>39</v>
      </c>
      <c r="C731" s="15" t="s">
        <v>66</v>
      </c>
      <c r="D731" s="52">
        <v>2043</v>
      </c>
      <c r="E731" s="34">
        <v>12</v>
      </c>
      <c r="F731" s="38">
        <f t="shared" si="115"/>
        <v>20971.191579512979</v>
      </c>
      <c r="G731" s="34">
        <f t="shared" si="116"/>
        <v>16</v>
      </c>
      <c r="H731" s="34">
        <f t="shared" si="117"/>
        <v>2</v>
      </c>
      <c r="I731" s="34" t="str">
        <f t="shared" si="122"/>
        <v/>
      </c>
      <c r="J731" s="34" t="str">
        <f t="shared" si="122"/>
        <v/>
      </c>
      <c r="K731" s="34" t="str">
        <f t="shared" si="122"/>
        <v/>
      </c>
      <c r="L731" s="34" t="str">
        <f t="shared" si="122"/>
        <v/>
      </c>
      <c r="M731" s="34" t="str">
        <f t="shared" si="122"/>
        <v/>
      </c>
      <c r="N731" s="34" t="str">
        <f t="shared" si="122"/>
        <v/>
      </c>
      <c r="O731" s="34" t="str">
        <f t="shared" si="122"/>
        <v/>
      </c>
      <c r="P731" s="34">
        <f t="shared" si="122"/>
        <v>84</v>
      </c>
      <c r="Q731" s="34">
        <f t="shared" si="122"/>
        <v>85</v>
      </c>
      <c r="R731" s="34">
        <f t="shared" si="122"/>
        <v>97</v>
      </c>
      <c r="S731" s="35">
        <f t="shared" si="118"/>
        <v>84</v>
      </c>
    </row>
    <row r="732" spans="2:19" hidden="1" outlineLevel="1">
      <c r="B732" s="14" t="s">
        <v>39</v>
      </c>
      <c r="C732" s="15" t="s">
        <v>66</v>
      </c>
      <c r="D732" s="52">
        <v>2044</v>
      </c>
      <c r="E732" s="34">
        <v>1</v>
      </c>
      <c r="F732" s="38">
        <f t="shared" si="115"/>
        <v>20693.019093840154</v>
      </c>
      <c r="G732" s="34">
        <f t="shared" si="116"/>
        <v>16</v>
      </c>
      <c r="H732" s="34">
        <f t="shared" si="117"/>
        <v>2</v>
      </c>
      <c r="I732" s="34" t="str">
        <f t="shared" si="122"/>
        <v/>
      </c>
      <c r="J732" s="34" t="str">
        <f t="shared" si="122"/>
        <v/>
      </c>
      <c r="K732" s="34" t="str">
        <f t="shared" si="122"/>
        <v/>
      </c>
      <c r="L732" s="34" t="str">
        <f t="shared" si="122"/>
        <v/>
      </c>
      <c r="M732" s="34" t="str">
        <f t="shared" si="122"/>
        <v/>
      </c>
      <c r="N732" s="34" t="str">
        <f t="shared" si="122"/>
        <v/>
      </c>
      <c r="O732" s="34" t="str">
        <f t="shared" si="122"/>
        <v/>
      </c>
      <c r="P732" s="34">
        <f t="shared" si="122"/>
        <v>84</v>
      </c>
      <c r="Q732" s="34">
        <f t="shared" si="122"/>
        <v>96</v>
      </c>
      <c r="R732" s="34">
        <f t="shared" si="122"/>
        <v>108</v>
      </c>
      <c r="S732" s="35">
        <f t="shared" si="118"/>
        <v>84</v>
      </c>
    </row>
    <row r="733" spans="2:19" hidden="1" outlineLevel="1">
      <c r="B733" s="14" t="s">
        <v>39</v>
      </c>
      <c r="C733" s="15" t="s">
        <v>66</v>
      </c>
      <c r="D733" s="52">
        <v>2044</v>
      </c>
      <c r="E733" s="34">
        <v>2</v>
      </c>
      <c r="F733" s="38">
        <f t="shared" si="115"/>
        <v>20693.019093840154</v>
      </c>
      <c r="G733" s="34">
        <f t="shared" si="116"/>
        <v>16</v>
      </c>
      <c r="H733" s="34">
        <f t="shared" si="117"/>
        <v>2</v>
      </c>
      <c r="I733" s="34" t="str">
        <f t="shared" si="122"/>
        <v/>
      </c>
      <c r="J733" s="34" t="str">
        <f t="shared" si="122"/>
        <v/>
      </c>
      <c r="K733" s="34" t="str">
        <f t="shared" si="122"/>
        <v/>
      </c>
      <c r="L733" s="34" t="str">
        <f t="shared" si="122"/>
        <v/>
      </c>
      <c r="M733" s="34" t="str">
        <f t="shared" si="122"/>
        <v/>
      </c>
      <c r="N733" s="34" t="str">
        <f t="shared" si="122"/>
        <v/>
      </c>
      <c r="O733" s="34" t="str">
        <f t="shared" si="122"/>
        <v/>
      </c>
      <c r="P733" s="34">
        <f t="shared" si="122"/>
        <v>84</v>
      </c>
      <c r="Q733" s="34">
        <f t="shared" si="122"/>
        <v>95</v>
      </c>
      <c r="R733" s="34">
        <f t="shared" si="122"/>
        <v>107</v>
      </c>
      <c r="S733" s="35">
        <f t="shared" si="118"/>
        <v>84</v>
      </c>
    </row>
    <row r="734" spans="2:19" hidden="1" outlineLevel="1">
      <c r="B734" s="14" t="s">
        <v>39</v>
      </c>
      <c r="C734" s="15" t="s">
        <v>66</v>
      </c>
      <c r="D734" s="52">
        <v>2044</v>
      </c>
      <c r="E734" s="34">
        <v>3</v>
      </c>
      <c r="F734" s="38">
        <f t="shared" si="115"/>
        <v>20693.019093840154</v>
      </c>
      <c r="G734" s="34">
        <f t="shared" si="116"/>
        <v>16</v>
      </c>
      <c r="H734" s="34">
        <f t="shared" si="117"/>
        <v>2</v>
      </c>
      <c r="I734" s="34" t="str">
        <f t="shared" si="122"/>
        <v/>
      </c>
      <c r="J734" s="34" t="str">
        <f t="shared" si="122"/>
        <v/>
      </c>
      <c r="K734" s="34" t="str">
        <f t="shared" si="122"/>
        <v/>
      </c>
      <c r="L734" s="34" t="str">
        <f t="shared" si="122"/>
        <v/>
      </c>
      <c r="M734" s="34" t="str">
        <f t="shared" si="122"/>
        <v/>
      </c>
      <c r="N734" s="34" t="str">
        <f t="shared" si="122"/>
        <v/>
      </c>
      <c r="O734" s="34" t="str">
        <f t="shared" si="122"/>
        <v/>
      </c>
      <c r="P734" s="34">
        <f t="shared" si="122"/>
        <v>84</v>
      </c>
      <c r="Q734" s="34">
        <f t="shared" si="122"/>
        <v>94</v>
      </c>
      <c r="R734" s="34">
        <f t="shared" si="122"/>
        <v>106</v>
      </c>
      <c r="S734" s="35">
        <f t="shared" si="118"/>
        <v>84</v>
      </c>
    </row>
    <row r="735" spans="2:19" hidden="1" outlineLevel="1">
      <c r="B735" s="14" t="s">
        <v>39</v>
      </c>
      <c r="C735" s="15" t="s">
        <v>66</v>
      </c>
      <c r="D735" s="52">
        <v>2044</v>
      </c>
      <c r="E735" s="34">
        <v>4</v>
      </c>
      <c r="F735" s="38">
        <f t="shared" si="115"/>
        <v>20693.019093840154</v>
      </c>
      <c r="G735" s="34">
        <f t="shared" si="116"/>
        <v>16</v>
      </c>
      <c r="H735" s="34">
        <f t="shared" si="117"/>
        <v>2</v>
      </c>
      <c r="I735" s="34" t="str">
        <f t="shared" si="122"/>
        <v/>
      </c>
      <c r="J735" s="34" t="str">
        <f t="shared" si="122"/>
        <v/>
      </c>
      <c r="K735" s="34" t="str">
        <f t="shared" si="122"/>
        <v/>
      </c>
      <c r="L735" s="34" t="str">
        <f t="shared" si="122"/>
        <v/>
      </c>
      <c r="M735" s="34" t="str">
        <f t="shared" si="122"/>
        <v/>
      </c>
      <c r="N735" s="34" t="str">
        <f t="shared" si="122"/>
        <v/>
      </c>
      <c r="O735" s="34" t="str">
        <f t="shared" si="122"/>
        <v/>
      </c>
      <c r="P735" s="34">
        <f t="shared" si="122"/>
        <v>84</v>
      </c>
      <c r="Q735" s="34">
        <f t="shared" si="122"/>
        <v>93</v>
      </c>
      <c r="R735" s="34">
        <f t="shared" si="122"/>
        <v>105</v>
      </c>
      <c r="S735" s="35">
        <f t="shared" si="118"/>
        <v>84</v>
      </c>
    </row>
    <row r="736" spans="2:19" hidden="1" outlineLevel="1">
      <c r="B736" s="14" t="s">
        <v>39</v>
      </c>
      <c r="C736" s="15" t="s">
        <v>66</v>
      </c>
      <c r="D736" s="52">
        <v>2044</v>
      </c>
      <c r="E736" s="34">
        <v>5</v>
      </c>
      <c r="F736" s="38">
        <f t="shared" si="115"/>
        <v>20693.019093840154</v>
      </c>
      <c r="G736" s="34">
        <f t="shared" si="116"/>
        <v>16</v>
      </c>
      <c r="H736" s="34">
        <f t="shared" si="117"/>
        <v>2</v>
      </c>
      <c r="I736" s="34" t="str">
        <f t="shared" si="122"/>
        <v/>
      </c>
      <c r="J736" s="34" t="str">
        <f t="shared" si="122"/>
        <v/>
      </c>
      <c r="K736" s="34" t="str">
        <f t="shared" si="122"/>
        <v/>
      </c>
      <c r="L736" s="34" t="str">
        <f t="shared" si="122"/>
        <v/>
      </c>
      <c r="M736" s="34" t="str">
        <f t="shared" si="122"/>
        <v/>
      </c>
      <c r="N736" s="34" t="str">
        <f t="shared" si="122"/>
        <v/>
      </c>
      <c r="O736" s="34" t="str">
        <f t="shared" si="122"/>
        <v/>
      </c>
      <c r="P736" s="34">
        <f t="shared" si="122"/>
        <v>84</v>
      </c>
      <c r="Q736" s="34">
        <f t="shared" si="122"/>
        <v>92</v>
      </c>
      <c r="R736" s="34">
        <f t="shared" si="122"/>
        <v>104</v>
      </c>
      <c r="S736" s="35">
        <f t="shared" si="118"/>
        <v>84</v>
      </c>
    </row>
    <row r="737" spans="2:19" hidden="1" outlineLevel="1">
      <c r="B737" s="14" t="s">
        <v>39</v>
      </c>
      <c r="C737" s="15" t="s">
        <v>66</v>
      </c>
      <c r="D737" s="52">
        <v>2044</v>
      </c>
      <c r="E737" s="34">
        <v>6</v>
      </c>
      <c r="F737" s="38">
        <f t="shared" si="115"/>
        <v>20693.019093840154</v>
      </c>
      <c r="G737" s="34">
        <f t="shared" si="116"/>
        <v>16</v>
      </c>
      <c r="H737" s="34">
        <f t="shared" si="117"/>
        <v>2</v>
      </c>
      <c r="I737" s="34" t="str">
        <f t="shared" si="122"/>
        <v/>
      </c>
      <c r="J737" s="34" t="str">
        <f t="shared" si="122"/>
        <v/>
      </c>
      <c r="K737" s="34" t="str">
        <f t="shared" si="122"/>
        <v/>
      </c>
      <c r="L737" s="34" t="str">
        <f t="shared" si="122"/>
        <v/>
      </c>
      <c r="M737" s="34" t="str">
        <f t="shared" si="122"/>
        <v/>
      </c>
      <c r="N737" s="34" t="str">
        <f t="shared" si="122"/>
        <v/>
      </c>
      <c r="O737" s="34" t="str">
        <f t="shared" si="122"/>
        <v/>
      </c>
      <c r="P737" s="34">
        <f t="shared" si="122"/>
        <v>84</v>
      </c>
      <c r="Q737" s="34">
        <f t="shared" si="122"/>
        <v>91</v>
      </c>
      <c r="R737" s="34">
        <f t="shared" si="122"/>
        <v>103</v>
      </c>
      <c r="S737" s="35">
        <f t="shared" si="118"/>
        <v>84</v>
      </c>
    </row>
    <row r="738" spans="2:19" hidden="1" outlineLevel="1">
      <c r="B738" s="14" t="s">
        <v>39</v>
      </c>
      <c r="C738" s="15" t="s">
        <v>66</v>
      </c>
      <c r="D738" s="52">
        <v>2044</v>
      </c>
      <c r="E738" s="34">
        <v>7</v>
      </c>
      <c r="F738" s="38">
        <f t="shared" si="115"/>
        <v>20693.019093840154</v>
      </c>
      <c r="G738" s="34">
        <f t="shared" si="116"/>
        <v>16</v>
      </c>
      <c r="H738" s="34">
        <f t="shared" si="117"/>
        <v>2</v>
      </c>
      <c r="I738" s="34" t="str">
        <f t="shared" si="122"/>
        <v/>
      </c>
      <c r="J738" s="34" t="str">
        <f t="shared" si="122"/>
        <v/>
      </c>
      <c r="K738" s="34" t="str">
        <f t="shared" si="122"/>
        <v/>
      </c>
      <c r="L738" s="34" t="str">
        <f t="shared" si="122"/>
        <v/>
      </c>
      <c r="M738" s="34" t="str">
        <f t="shared" si="122"/>
        <v/>
      </c>
      <c r="N738" s="34" t="str">
        <f t="shared" si="122"/>
        <v/>
      </c>
      <c r="O738" s="34" t="str">
        <f t="shared" si="122"/>
        <v/>
      </c>
      <c r="P738" s="34">
        <f t="shared" si="122"/>
        <v>84</v>
      </c>
      <c r="Q738" s="34">
        <f t="shared" si="122"/>
        <v>90</v>
      </c>
      <c r="R738" s="34">
        <f t="shared" si="122"/>
        <v>102</v>
      </c>
      <c r="S738" s="35">
        <f t="shared" si="118"/>
        <v>84</v>
      </c>
    </row>
    <row r="739" spans="2:19" hidden="1" outlineLevel="1">
      <c r="B739" s="14" t="s">
        <v>39</v>
      </c>
      <c r="C739" s="15" t="s">
        <v>66</v>
      </c>
      <c r="D739" s="52">
        <v>2044</v>
      </c>
      <c r="E739" s="34">
        <v>8</v>
      </c>
      <c r="F739" s="38">
        <f t="shared" si="115"/>
        <v>20693.019093840154</v>
      </c>
      <c r="G739" s="34">
        <f t="shared" si="116"/>
        <v>16</v>
      </c>
      <c r="H739" s="34">
        <f t="shared" si="117"/>
        <v>2</v>
      </c>
      <c r="I739" s="34" t="str">
        <f t="shared" si="122"/>
        <v/>
      </c>
      <c r="J739" s="34" t="str">
        <f t="shared" si="122"/>
        <v/>
      </c>
      <c r="K739" s="34" t="str">
        <f t="shared" si="122"/>
        <v/>
      </c>
      <c r="L739" s="34" t="str">
        <f t="shared" si="122"/>
        <v/>
      </c>
      <c r="M739" s="34" t="str">
        <f t="shared" si="122"/>
        <v/>
      </c>
      <c r="N739" s="34" t="str">
        <f t="shared" si="122"/>
        <v/>
      </c>
      <c r="O739" s="34" t="str">
        <f t="shared" si="122"/>
        <v/>
      </c>
      <c r="P739" s="34">
        <f t="shared" si="122"/>
        <v>84</v>
      </c>
      <c r="Q739" s="34">
        <f t="shared" si="122"/>
        <v>89</v>
      </c>
      <c r="R739" s="34">
        <f t="shared" si="122"/>
        <v>101</v>
      </c>
      <c r="S739" s="35">
        <f t="shared" si="118"/>
        <v>84</v>
      </c>
    </row>
    <row r="740" spans="2:19" hidden="1" outlineLevel="1">
      <c r="B740" s="14" t="s">
        <v>39</v>
      </c>
      <c r="C740" s="15" t="s">
        <v>66</v>
      </c>
      <c r="D740" s="52">
        <v>2044</v>
      </c>
      <c r="E740" s="34">
        <v>9</v>
      </c>
      <c r="F740" s="38">
        <f t="shared" si="115"/>
        <v>20693.019093840154</v>
      </c>
      <c r="G740" s="34">
        <f t="shared" si="116"/>
        <v>16</v>
      </c>
      <c r="H740" s="34">
        <f t="shared" si="117"/>
        <v>2</v>
      </c>
      <c r="I740" s="34" t="str">
        <f t="shared" ref="I740:R749" si="123">IF($D740&lt;$Z$18,"",IF(MAX($G740,INDEX($C$65:$F$108,$D740+I$119-2026,$H740))&lt;=12*I$119-$E740+12,MAX($G740,12*I$119-$E740+1,INDEX($C$65:$F$108,$D740+I$119-2026,$H740)),""))</f>
        <v/>
      </c>
      <c r="J740" s="34" t="str">
        <f t="shared" si="123"/>
        <v/>
      </c>
      <c r="K740" s="34" t="str">
        <f t="shared" si="123"/>
        <v/>
      </c>
      <c r="L740" s="34" t="str">
        <f t="shared" si="123"/>
        <v/>
      </c>
      <c r="M740" s="34" t="str">
        <f t="shared" si="123"/>
        <v/>
      </c>
      <c r="N740" s="34" t="str">
        <f t="shared" si="123"/>
        <v/>
      </c>
      <c r="O740" s="34" t="str">
        <f t="shared" si="123"/>
        <v/>
      </c>
      <c r="P740" s="34">
        <f t="shared" si="123"/>
        <v>84</v>
      </c>
      <c r="Q740" s="34">
        <f t="shared" si="123"/>
        <v>88</v>
      </c>
      <c r="R740" s="34">
        <f t="shared" si="123"/>
        <v>100</v>
      </c>
      <c r="S740" s="35">
        <f t="shared" si="118"/>
        <v>84</v>
      </c>
    </row>
    <row r="741" spans="2:19" hidden="1" outlineLevel="1">
      <c r="B741" s="14" t="s">
        <v>39</v>
      </c>
      <c r="C741" s="15" t="s">
        <v>66</v>
      </c>
      <c r="D741" s="52">
        <v>2044</v>
      </c>
      <c r="E741" s="34">
        <v>10</v>
      </c>
      <c r="F741" s="38">
        <f t="shared" si="115"/>
        <v>20693.019093840154</v>
      </c>
      <c r="G741" s="34">
        <f t="shared" si="116"/>
        <v>16</v>
      </c>
      <c r="H741" s="34">
        <f t="shared" si="117"/>
        <v>2</v>
      </c>
      <c r="I741" s="34" t="str">
        <f t="shared" si="123"/>
        <v/>
      </c>
      <c r="J741" s="34" t="str">
        <f t="shared" si="123"/>
        <v/>
      </c>
      <c r="K741" s="34" t="str">
        <f t="shared" si="123"/>
        <v/>
      </c>
      <c r="L741" s="34" t="str">
        <f t="shared" si="123"/>
        <v/>
      </c>
      <c r="M741" s="34" t="str">
        <f t="shared" si="123"/>
        <v/>
      </c>
      <c r="N741" s="34" t="str">
        <f t="shared" si="123"/>
        <v/>
      </c>
      <c r="O741" s="34" t="str">
        <f t="shared" si="123"/>
        <v/>
      </c>
      <c r="P741" s="34">
        <f t="shared" si="123"/>
        <v>84</v>
      </c>
      <c r="Q741" s="34">
        <f t="shared" si="123"/>
        <v>87</v>
      </c>
      <c r="R741" s="34">
        <f t="shared" si="123"/>
        <v>99</v>
      </c>
      <c r="S741" s="35">
        <f t="shared" si="118"/>
        <v>84</v>
      </c>
    </row>
    <row r="742" spans="2:19" hidden="1" outlineLevel="1">
      <c r="B742" s="14" t="s">
        <v>39</v>
      </c>
      <c r="C742" s="15" t="s">
        <v>66</v>
      </c>
      <c r="D742" s="52">
        <v>2044</v>
      </c>
      <c r="E742" s="34">
        <v>11</v>
      </c>
      <c r="F742" s="38">
        <f t="shared" si="115"/>
        <v>20693.019093840154</v>
      </c>
      <c r="G742" s="34">
        <f t="shared" si="116"/>
        <v>16</v>
      </c>
      <c r="H742" s="34">
        <f t="shared" si="117"/>
        <v>2</v>
      </c>
      <c r="I742" s="34" t="str">
        <f t="shared" si="123"/>
        <v/>
      </c>
      <c r="J742" s="34" t="str">
        <f t="shared" si="123"/>
        <v/>
      </c>
      <c r="K742" s="34" t="str">
        <f t="shared" si="123"/>
        <v/>
      </c>
      <c r="L742" s="34" t="str">
        <f t="shared" si="123"/>
        <v/>
      </c>
      <c r="M742" s="34" t="str">
        <f t="shared" si="123"/>
        <v/>
      </c>
      <c r="N742" s="34" t="str">
        <f t="shared" si="123"/>
        <v/>
      </c>
      <c r="O742" s="34" t="str">
        <f t="shared" si="123"/>
        <v/>
      </c>
      <c r="P742" s="34">
        <f t="shared" si="123"/>
        <v>84</v>
      </c>
      <c r="Q742" s="34">
        <f t="shared" si="123"/>
        <v>86</v>
      </c>
      <c r="R742" s="34">
        <f t="shared" si="123"/>
        <v>98</v>
      </c>
      <c r="S742" s="35">
        <f t="shared" si="118"/>
        <v>84</v>
      </c>
    </row>
    <row r="743" spans="2:19" hidden="1" outlineLevel="1">
      <c r="B743" s="14" t="s">
        <v>39</v>
      </c>
      <c r="C743" s="15" t="s">
        <v>66</v>
      </c>
      <c r="D743" s="52">
        <v>2044</v>
      </c>
      <c r="E743" s="34">
        <v>12</v>
      </c>
      <c r="F743" s="38">
        <f t="shared" si="115"/>
        <v>20693.019093840154</v>
      </c>
      <c r="G743" s="34">
        <f t="shared" si="116"/>
        <v>16</v>
      </c>
      <c r="H743" s="34">
        <f t="shared" si="117"/>
        <v>2</v>
      </c>
      <c r="I743" s="34" t="str">
        <f t="shared" si="123"/>
        <v/>
      </c>
      <c r="J743" s="34" t="str">
        <f t="shared" si="123"/>
        <v/>
      </c>
      <c r="K743" s="34" t="str">
        <f t="shared" si="123"/>
        <v/>
      </c>
      <c r="L743" s="34" t="str">
        <f t="shared" si="123"/>
        <v/>
      </c>
      <c r="M743" s="34" t="str">
        <f t="shared" si="123"/>
        <v/>
      </c>
      <c r="N743" s="34" t="str">
        <f t="shared" si="123"/>
        <v/>
      </c>
      <c r="O743" s="34" t="str">
        <f t="shared" si="123"/>
        <v/>
      </c>
      <c r="P743" s="34">
        <f t="shared" si="123"/>
        <v>84</v>
      </c>
      <c r="Q743" s="34">
        <f t="shared" si="123"/>
        <v>85</v>
      </c>
      <c r="R743" s="34">
        <f t="shared" si="123"/>
        <v>97</v>
      </c>
      <c r="S743" s="35">
        <f t="shared" si="118"/>
        <v>84</v>
      </c>
    </row>
    <row r="744" spans="2:19" hidden="1" outlineLevel="1">
      <c r="B744" s="14" t="s">
        <v>39</v>
      </c>
      <c r="C744" s="15" t="s">
        <v>66</v>
      </c>
      <c r="D744" s="52">
        <v>2045</v>
      </c>
      <c r="E744" s="34">
        <v>1</v>
      </c>
      <c r="F744" s="38">
        <f t="shared" si="115"/>
        <v>20513.325732370711</v>
      </c>
      <c r="G744" s="34">
        <f t="shared" si="116"/>
        <v>16</v>
      </c>
      <c r="H744" s="34">
        <f t="shared" si="117"/>
        <v>2</v>
      </c>
      <c r="I744" s="34" t="str">
        <f t="shared" si="123"/>
        <v/>
      </c>
      <c r="J744" s="34" t="str">
        <f t="shared" si="123"/>
        <v/>
      </c>
      <c r="K744" s="34" t="str">
        <f t="shared" si="123"/>
        <v/>
      </c>
      <c r="L744" s="34" t="str">
        <f t="shared" si="123"/>
        <v/>
      </c>
      <c r="M744" s="34" t="str">
        <f t="shared" si="123"/>
        <v/>
      </c>
      <c r="N744" s="34" t="str">
        <f t="shared" si="123"/>
        <v/>
      </c>
      <c r="O744" s="34" t="str">
        <f t="shared" si="123"/>
        <v/>
      </c>
      <c r="P744" s="34">
        <f t="shared" si="123"/>
        <v>84</v>
      </c>
      <c r="Q744" s="34">
        <f t="shared" si="123"/>
        <v>96</v>
      </c>
      <c r="R744" s="34">
        <f t="shared" si="123"/>
        <v>108</v>
      </c>
      <c r="S744" s="35">
        <f t="shared" si="118"/>
        <v>84</v>
      </c>
    </row>
    <row r="745" spans="2:19" hidden="1" outlineLevel="1">
      <c r="B745" s="14" t="s">
        <v>39</v>
      </c>
      <c r="C745" s="15" t="s">
        <v>66</v>
      </c>
      <c r="D745" s="52">
        <v>2045</v>
      </c>
      <c r="E745" s="34">
        <v>2</v>
      </c>
      <c r="F745" s="38">
        <f t="shared" si="115"/>
        <v>20513.325732370711</v>
      </c>
      <c r="G745" s="34">
        <f t="shared" si="116"/>
        <v>16</v>
      </c>
      <c r="H745" s="34">
        <f t="shared" si="117"/>
        <v>2</v>
      </c>
      <c r="I745" s="34" t="str">
        <f t="shared" si="123"/>
        <v/>
      </c>
      <c r="J745" s="34" t="str">
        <f t="shared" si="123"/>
        <v/>
      </c>
      <c r="K745" s="34" t="str">
        <f t="shared" si="123"/>
        <v/>
      </c>
      <c r="L745" s="34" t="str">
        <f t="shared" si="123"/>
        <v/>
      </c>
      <c r="M745" s="34" t="str">
        <f t="shared" si="123"/>
        <v/>
      </c>
      <c r="N745" s="34" t="str">
        <f t="shared" si="123"/>
        <v/>
      </c>
      <c r="O745" s="34" t="str">
        <f t="shared" si="123"/>
        <v/>
      </c>
      <c r="P745" s="34">
        <f t="shared" si="123"/>
        <v>84</v>
      </c>
      <c r="Q745" s="34">
        <f t="shared" si="123"/>
        <v>95</v>
      </c>
      <c r="R745" s="34">
        <f t="shared" si="123"/>
        <v>107</v>
      </c>
      <c r="S745" s="35">
        <f t="shared" si="118"/>
        <v>84</v>
      </c>
    </row>
    <row r="746" spans="2:19" hidden="1" outlineLevel="1">
      <c r="B746" s="14" t="s">
        <v>39</v>
      </c>
      <c r="C746" s="15" t="s">
        <v>66</v>
      </c>
      <c r="D746" s="52">
        <v>2045</v>
      </c>
      <c r="E746" s="34">
        <v>3</v>
      </c>
      <c r="F746" s="38">
        <f t="shared" si="115"/>
        <v>20513.325732370711</v>
      </c>
      <c r="G746" s="34">
        <f t="shared" si="116"/>
        <v>16</v>
      </c>
      <c r="H746" s="34">
        <f t="shared" si="117"/>
        <v>2</v>
      </c>
      <c r="I746" s="34" t="str">
        <f t="shared" si="123"/>
        <v/>
      </c>
      <c r="J746" s="34" t="str">
        <f t="shared" si="123"/>
        <v/>
      </c>
      <c r="K746" s="34" t="str">
        <f t="shared" si="123"/>
        <v/>
      </c>
      <c r="L746" s="34" t="str">
        <f t="shared" si="123"/>
        <v/>
      </c>
      <c r="M746" s="34" t="str">
        <f t="shared" si="123"/>
        <v/>
      </c>
      <c r="N746" s="34" t="str">
        <f t="shared" si="123"/>
        <v/>
      </c>
      <c r="O746" s="34" t="str">
        <f t="shared" si="123"/>
        <v/>
      </c>
      <c r="P746" s="34">
        <f t="shared" si="123"/>
        <v>84</v>
      </c>
      <c r="Q746" s="34">
        <f t="shared" si="123"/>
        <v>94</v>
      </c>
      <c r="R746" s="34">
        <f t="shared" si="123"/>
        <v>106</v>
      </c>
      <c r="S746" s="35">
        <f t="shared" si="118"/>
        <v>84</v>
      </c>
    </row>
    <row r="747" spans="2:19" hidden="1" outlineLevel="1">
      <c r="B747" s="14" t="s">
        <v>39</v>
      </c>
      <c r="C747" s="15" t="s">
        <v>66</v>
      </c>
      <c r="D747" s="52">
        <v>2045</v>
      </c>
      <c r="E747" s="34">
        <v>4</v>
      </c>
      <c r="F747" s="38">
        <f t="shared" si="115"/>
        <v>20513.325732370711</v>
      </c>
      <c r="G747" s="34">
        <f t="shared" si="116"/>
        <v>16</v>
      </c>
      <c r="H747" s="34">
        <f t="shared" si="117"/>
        <v>2</v>
      </c>
      <c r="I747" s="34" t="str">
        <f t="shared" si="123"/>
        <v/>
      </c>
      <c r="J747" s="34" t="str">
        <f t="shared" si="123"/>
        <v/>
      </c>
      <c r="K747" s="34" t="str">
        <f t="shared" si="123"/>
        <v/>
      </c>
      <c r="L747" s="34" t="str">
        <f t="shared" si="123"/>
        <v/>
      </c>
      <c r="M747" s="34" t="str">
        <f t="shared" si="123"/>
        <v/>
      </c>
      <c r="N747" s="34" t="str">
        <f t="shared" si="123"/>
        <v/>
      </c>
      <c r="O747" s="34" t="str">
        <f t="shared" si="123"/>
        <v/>
      </c>
      <c r="P747" s="34">
        <f t="shared" si="123"/>
        <v>84</v>
      </c>
      <c r="Q747" s="34">
        <f t="shared" si="123"/>
        <v>93</v>
      </c>
      <c r="R747" s="34">
        <f t="shared" si="123"/>
        <v>105</v>
      </c>
      <c r="S747" s="35">
        <f t="shared" si="118"/>
        <v>84</v>
      </c>
    </row>
    <row r="748" spans="2:19" hidden="1" outlineLevel="1">
      <c r="B748" s="14" t="s">
        <v>39</v>
      </c>
      <c r="C748" s="15" t="s">
        <v>66</v>
      </c>
      <c r="D748" s="52">
        <v>2045</v>
      </c>
      <c r="E748" s="34">
        <v>5</v>
      </c>
      <c r="F748" s="38">
        <f t="shared" si="115"/>
        <v>20513.325732370711</v>
      </c>
      <c r="G748" s="34">
        <f t="shared" si="116"/>
        <v>16</v>
      </c>
      <c r="H748" s="34">
        <f t="shared" si="117"/>
        <v>2</v>
      </c>
      <c r="I748" s="34" t="str">
        <f t="shared" si="123"/>
        <v/>
      </c>
      <c r="J748" s="34" t="str">
        <f t="shared" si="123"/>
        <v/>
      </c>
      <c r="K748" s="34" t="str">
        <f t="shared" si="123"/>
        <v/>
      </c>
      <c r="L748" s="34" t="str">
        <f t="shared" si="123"/>
        <v/>
      </c>
      <c r="M748" s="34" t="str">
        <f t="shared" si="123"/>
        <v/>
      </c>
      <c r="N748" s="34" t="str">
        <f t="shared" si="123"/>
        <v/>
      </c>
      <c r="O748" s="34" t="str">
        <f t="shared" si="123"/>
        <v/>
      </c>
      <c r="P748" s="34">
        <f t="shared" si="123"/>
        <v>84</v>
      </c>
      <c r="Q748" s="34">
        <f t="shared" si="123"/>
        <v>92</v>
      </c>
      <c r="R748" s="34">
        <f t="shared" si="123"/>
        <v>104</v>
      </c>
      <c r="S748" s="35">
        <f t="shared" si="118"/>
        <v>84</v>
      </c>
    </row>
    <row r="749" spans="2:19" hidden="1" outlineLevel="1">
      <c r="B749" s="14" t="s">
        <v>39</v>
      </c>
      <c r="C749" s="15" t="s">
        <v>66</v>
      </c>
      <c r="D749" s="52">
        <v>2045</v>
      </c>
      <c r="E749" s="34">
        <v>6</v>
      </c>
      <c r="F749" s="38">
        <f t="shared" si="115"/>
        <v>20513.325732370711</v>
      </c>
      <c r="G749" s="34">
        <f t="shared" si="116"/>
        <v>16</v>
      </c>
      <c r="H749" s="34">
        <f t="shared" si="117"/>
        <v>2</v>
      </c>
      <c r="I749" s="34" t="str">
        <f t="shared" si="123"/>
        <v/>
      </c>
      <c r="J749" s="34" t="str">
        <f t="shared" si="123"/>
        <v/>
      </c>
      <c r="K749" s="34" t="str">
        <f t="shared" si="123"/>
        <v/>
      </c>
      <c r="L749" s="34" t="str">
        <f t="shared" si="123"/>
        <v/>
      </c>
      <c r="M749" s="34" t="str">
        <f t="shared" si="123"/>
        <v/>
      </c>
      <c r="N749" s="34" t="str">
        <f t="shared" si="123"/>
        <v/>
      </c>
      <c r="O749" s="34" t="str">
        <f t="shared" si="123"/>
        <v/>
      </c>
      <c r="P749" s="34">
        <f t="shared" si="123"/>
        <v>84</v>
      </c>
      <c r="Q749" s="34">
        <f t="shared" si="123"/>
        <v>91</v>
      </c>
      <c r="R749" s="34">
        <f t="shared" si="123"/>
        <v>103</v>
      </c>
      <c r="S749" s="35">
        <f t="shared" si="118"/>
        <v>84</v>
      </c>
    </row>
    <row r="750" spans="2:19" hidden="1" outlineLevel="1">
      <c r="B750" s="14" t="s">
        <v>39</v>
      </c>
      <c r="C750" s="15" t="s">
        <v>66</v>
      </c>
      <c r="D750" s="52">
        <v>2045</v>
      </c>
      <c r="E750" s="34">
        <v>7</v>
      </c>
      <c r="F750" s="38">
        <f t="shared" si="115"/>
        <v>20513.325732370711</v>
      </c>
      <c r="G750" s="34">
        <f t="shared" si="116"/>
        <v>16</v>
      </c>
      <c r="H750" s="34">
        <f t="shared" si="117"/>
        <v>2</v>
      </c>
      <c r="I750" s="34" t="str">
        <f t="shared" ref="I750:R759" si="124">IF($D750&lt;$Z$18,"",IF(MAX($G750,INDEX($C$65:$F$108,$D750+I$119-2026,$H750))&lt;=12*I$119-$E750+12,MAX($G750,12*I$119-$E750+1,INDEX($C$65:$F$108,$D750+I$119-2026,$H750)),""))</f>
        <v/>
      </c>
      <c r="J750" s="34" t="str">
        <f t="shared" si="124"/>
        <v/>
      </c>
      <c r="K750" s="34" t="str">
        <f t="shared" si="124"/>
        <v/>
      </c>
      <c r="L750" s="34" t="str">
        <f t="shared" si="124"/>
        <v/>
      </c>
      <c r="M750" s="34" t="str">
        <f t="shared" si="124"/>
        <v/>
      </c>
      <c r="N750" s="34" t="str">
        <f t="shared" si="124"/>
        <v/>
      </c>
      <c r="O750" s="34" t="str">
        <f t="shared" si="124"/>
        <v/>
      </c>
      <c r="P750" s="34">
        <f t="shared" si="124"/>
        <v>84</v>
      </c>
      <c r="Q750" s="34">
        <f t="shared" si="124"/>
        <v>90</v>
      </c>
      <c r="R750" s="34">
        <f t="shared" si="124"/>
        <v>102</v>
      </c>
      <c r="S750" s="35">
        <f t="shared" si="118"/>
        <v>84</v>
      </c>
    </row>
    <row r="751" spans="2:19" hidden="1" outlineLevel="1">
      <c r="B751" s="14" t="s">
        <v>39</v>
      </c>
      <c r="C751" s="15" t="s">
        <v>66</v>
      </c>
      <c r="D751" s="52">
        <v>2045</v>
      </c>
      <c r="E751" s="34">
        <v>8</v>
      </c>
      <c r="F751" s="38">
        <f t="shared" si="115"/>
        <v>20513.325732370711</v>
      </c>
      <c r="G751" s="34">
        <f t="shared" si="116"/>
        <v>16</v>
      </c>
      <c r="H751" s="34">
        <f t="shared" si="117"/>
        <v>2</v>
      </c>
      <c r="I751" s="34" t="str">
        <f t="shared" si="124"/>
        <v/>
      </c>
      <c r="J751" s="34" t="str">
        <f t="shared" si="124"/>
        <v/>
      </c>
      <c r="K751" s="34" t="str">
        <f t="shared" si="124"/>
        <v/>
      </c>
      <c r="L751" s="34" t="str">
        <f t="shared" si="124"/>
        <v/>
      </c>
      <c r="M751" s="34" t="str">
        <f t="shared" si="124"/>
        <v/>
      </c>
      <c r="N751" s="34" t="str">
        <f t="shared" si="124"/>
        <v/>
      </c>
      <c r="O751" s="34" t="str">
        <f t="shared" si="124"/>
        <v/>
      </c>
      <c r="P751" s="34">
        <f t="shared" si="124"/>
        <v>84</v>
      </c>
      <c r="Q751" s="34">
        <f t="shared" si="124"/>
        <v>89</v>
      </c>
      <c r="R751" s="34">
        <f t="shared" si="124"/>
        <v>101</v>
      </c>
      <c r="S751" s="35">
        <f t="shared" si="118"/>
        <v>84</v>
      </c>
    </row>
    <row r="752" spans="2:19" hidden="1" outlineLevel="1">
      <c r="B752" s="14" t="s">
        <v>39</v>
      </c>
      <c r="C752" s="15" t="s">
        <v>66</v>
      </c>
      <c r="D752" s="52">
        <v>2045</v>
      </c>
      <c r="E752" s="34">
        <v>9</v>
      </c>
      <c r="F752" s="38">
        <f t="shared" si="115"/>
        <v>20513.325732370711</v>
      </c>
      <c r="G752" s="34">
        <f t="shared" si="116"/>
        <v>16</v>
      </c>
      <c r="H752" s="34">
        <f t="shared" si="117"/>
        <v>2</v>
      </c>
      <c r="I752" s="34" t="str">
        <f t="shared" si="124"/>
        <v/>
      </c>
      <c r="J752" s="34" t="str">
        <f t="shared" si="124"/>
        <v/>
      </c>
      <c r="K752" s="34" t="str">
        <f t="shared" si="124"/>
        <v/>
      </c>
      <c r="L752" s="34" t="str">
        <f t="shared" si="124"/>
        <v/>
      </c>
      <c r="M752" s="34" t="str">
        <f t="shared" si="124"/>
        <v/>
      </c>
      <c r="N752" s="34" t="str">
        <f t="shared" si="124"/>
        <v/>
      </c>
      <c r="O752" s="34" t="str">
        <f t="shared" si="124"/>
        <v/>
      </c>
      <c r="P752" s="34">
        <f t="shared" si="124"/>
        <v>84</v>
      </c>
      <c r="Q752" s="34">
        <f t="shared" si="124"/>
        <v>88</v>
      </c>
      <c r="R752" s="34">
        <f t="shared" si="124"/>
        <v>100</v>
      </c>
      <c r="S752" s="35">
        <f t="shared" si="118"/>
        <v>84</v>
      </c>
    </row>
    <row r="753" spans="2:19" hidden="1" outlineLevel="1">
      <c r="B753" s="14" t="s">
        <v>39</v>
      </c>
      <c r="C753" s="15" t="s">
        <v>66</v>
      </c>
      <c r="D753" s="52">
        <v>2045</v>
      </c>
      <c r="E753" s="34">
        <v>10</v>
      </c>
      <c r="F753" s="38">
        <f t="shared" si="115"/>
        <v>20513.325732370711</v>
      </c>
      <c r="G753" s="34">
        <f t="shared" si="116"/>
        <v>16</v>
      </c>
      <c r="H753" s="34">
        <f t="shared" si="117"/>
        <v>2</v>
      </c>
      <c r="I753" s="34" t="str">
        <f t="shared" si="124"/>
        <v/>
      </c>
      <c r="J753" s="34" t="str">
        <f t="shared" si="124"/>
        <v/>
      </c>
      <c r="K753" s="34" t="str">
        <f t="shared" si="124"/>
        <v/>
      </c>
      <c r="L753" s="34" t="str">
        <f t="shared" si="124"/>
        <v/>
      </c>
      <c r="M753" s="34" t="str">
        <f t="shared" si="124"/>
        <v/>
      </c>
      <c r="N753" s="34" t="str">
        <f t="shared" si="124"/>
        <v/>
      </c>
      <c r="O753" s="34" t="str">
        <f t="shared" si="124"/>
        <v/>
      </c>
      <c r="P753" s="34">
        <f t="shared" si="124"/>
        <v>84</v>
      </c>
      <c r="Q753" s="34">
        <f t="shared" si="124"/>
        <v>87</v>
      </c>
      <c r="R753" s="34">
        <f t="shared" si="124"/>
        <v>99</v>
      </c>
      <c r="S753" s="35">
        <f t="shared" si="118"/>
        <v>84</v>
      </c>
    </row>
    <row r="754" spans="2:19" hidden="1" outlineLevel="1">
      <c r="B754" s="14" t="s">
        <v>39</v>
      </c>
      <c r="C754" s="15" t="s">
        <v>66</v>
      </c>
      <c r="D754" s="52">
        <v>2045</v>
      </c>
      <c r="E754" s="34">
        <v>11</v>
      </c>
      <c r="F754" s="38">
        <f t="shared" si="115"/>
        <v>20513.325732370711</v>
      </c>
      <c r="G754" s="34">
        <f t="shared" si="116"/>
        <v>16</v>
      </c>
      <c r="H754" s="34">
        <f t="shared" si="117"/>
        <v>2</v>
      </c>
      <c r="I754" s="34" t="str">
        <f t="shared" si="124"/>
        <v/>
      </c>
      <c r="J754" s="34" t="str">
        <f t="shared" si="124"/>
        <v/>
      </c>
      <c r="K754" s="34" t="str">
        <f t="shared" si="124"/>
        <v/>
      </c>
      <c r="L754" s="34" t="str">
        <f t="shared" si="124"/>
        <v/>
      </c>
      <c r="M754" s="34" t="str">
        <f t="shared" si="124"/>
        <v/>
      </c>
      <c r="N754" s="34" t="str">
        <f t="shared" si="124"/>
        <v/>
      </c>
      <c r="O754" s="34" t="str">
        <f t="shared" si="124"/>
        <v/>
      </c>
      <c r="P754" s="34">
        <f t="shared" si="124"/>
        <v>84</v>
      </c>
      <c r="Q754" s="34">
        <f t="shared" si="124"/>
        <v>86</v>
      </c>
      <c r="R754" s="34">
        <f t="shared" si="124"/>
        <v>98</v>
      </c>
      <c r="S754" s="35">
        <f t="shared" si="118"/>
        <v>84</v>
      </c>
    </row>
    <row r="755" spans="2:19" hidden="1" outlineLevel="1">
      <c r="B755" s="14" t="s">
        <v>39</v>
      </c>
      <c r="C755" s="15" t="s">
        <v>66</v>
      </c>
      <c r="D755" s="52">
        <v>2045</v>
      </c>
      <c r="E755" s="34">
        <v>12</v>
      </c>
      <c r="F755" s="38">
        <f t="shared" si="115"/>
        <v>20513.325732370711</v>
      </c>
      <c r="G755" s="34">
        <f t="shared" si="116"/>
        <v>16</v>
      </c>
      <c r="H755" s="34">
        <f t="shared" si="117"/>
        <v>2</v>
      </c>
      <c r="I755" s="34" t="str">
        <f t="shared" si="124"/>
        <v/>
      </c>
      <c r="J755" s="34" t="str">
        <f t="shared" si="124"/>
        <v/>
      </c>
      <c r="K755" s="34" t="str">
        <f t="shared" si="124"/>
        <v/>
      </c>
      <c r="L755" s="34" t="str">
        <f t="shared" si="124"/>
        <v/>
      </c>
      <c r="M755" s="34" t="str">
        <f t="shared" si="124"/>
        <v/>
      </c>
      <c r="N755" s="34" t="str">
        <f t="shared" si="124"/>
        <v/>
      </c>
      <c r="O755" s="34" t="str">
        <f t="shared" si="124"/>
        <v/>
      </c>
      <c r="P755" s="34">
        <f t="shared" si="124"/>
        <v>84</v>
      </c>
      <c r="Q755" s="34">
        <f t="shared" si="124"/>
        <v>85</v>
      </c>
      <c r="R755" s="34">
        <f t="shared" si="124"/>
        <v>97</v>
      </c>
      <c r="S755" s="35">
        <f t="shared" si="118"/>
        <v>84</v>
      </c>
    </row>
    <row r="756" spans="2:19" hidden="1" outlineLevel="1">
      <c r="B756" s="14" t="s">
        <v>39</v>
      </c>
      <c r="C756" s="15" t="s">
        <v>66</v>
      </c>
      <c r="D756" s="52">
        <v>2046</v>
      </c>
      <c r="E756" s="34">
        <v>1</v>
      </c>
      <c r="F756" s="38">
        <f t="shared" si="115"/>
        <v>20477.789602482324</v>
      </c>
      <c r="G756" s="34">
        <f t="shared" si="116"/>
        <v>16</v>
      </c>
      <c r="H756" s="34">
        <f t="shared" si="117"/>
        <v>2</v>
      </c>
      <c r="I756" s="34" t="str">
        <f t="shared" si="124"/>
        <v/>
      </c>
      <c r="J756" s="34" t="str">
        <f t="shared" si="124"/>
        <v/>
      </c>
      <c r="K756" s="34" t="str">
        <f t="shared" si="124"/>
        <v/>
      </c>
      <c r="L756" s="34" t="str">
        <f t="shared" si="124"/>
        <v/>
      </c>
      <c r="M756" s="34" t="str">
        <f t="shared" si="124"/>
        <v/>
      </c>
      <c r="N756" s="34" t="str">
        <f t="shared" si="124"/>
        <v/>
      </c>
      <c r="O756" s="34" t="str">
        <f t="shared" si="124"/>
        <v/>
      </c>
      <c r="P756" s="34">
        <f t="shared" si="124"/>
        <v>84</v>
      </c>
      <c r="Q756" s="34">
        <f t="shared" si="124"/>
        <v>96</v>
      </c>
      <c r="R756" s="34">
        <f t="shared" si="124"/>
        <v>108</v>
      </c>
      <c r="S756" s="35">
        <f t="shared" si="118"/>
        <v>84</v>
      </c>
    </row>
    <row r="757" spans="2:19" hidden="1" outlineLevel="1">
      <c r="B757" s="14" t="s">
        <v>39</v>
      </c>
      <c r="C757" s="15" t="s">
        <v>66</v>
      </c>
      <c r="D757" s="52">
        <v>2046</v>
      </c>
      <c r="E757" s="34">
        <v>2</v>
      </c>
      <c r="F757" s="38">
        <f t="shared" si="115"/>
        <v>20477.789602482324</v>
      </c>
      <c r="G757" s="34">
        <f t="shared" si="116"/>
        <v>16</v>
      </c>
      <c r="H757" s="34">
        <f t="shared" si="117"/>
        <v>2</v>
      </c>
      <c r="I757" s="34" t="str">
        <f t="shared" si="124"/>
        <v/>
      </c>
      <c r="J757" s="34" t="str">
        <f t="shared" si="124"/>
        <v/>
      </c>
      <c r="K757" s="34" t="str">
        <f t="shared" si="124"/>
        <v/>
      </c>
      <c r="L757" s="34" t="str">
        <f t="shared" si="124"/>
        <v/>
      </c>
      <c r="M757" s="34" t="str">
        <f t="shared" si="124"/>
        <v/>
      </c>
      <c r="N757" s="34" t="str">
        <f t="shared" si="124"/>
        <v/>
      </c>
      <c r="O757" s="34" t="str">
        <f t="shared" si="124"/>
        <v/>
      </c>
      <c r="P757" s="34">
        <f t="shared" si="124"/>
        <v>84</v>
      </c>
      <c r="Q757" s="34">
        <f t="shared" si="124"/>
        <v>95</v>
      </c>
      <c r="R757" s="34">
        <f t="shared" si="124"/>
        <v>107</v>
      </c>
      <c r="S757" s="35">
        <f t="shared" si="118"/>
        <v>84</v>
      </c>
    </row>
    <row r="758" spans="2:19" hidden="1" outlineLevel="1">
      <c r="B758" s="14" t="s">
        <v>39</v>
      </c>
      <c r="C758" s="15" t="s">
        <v>66</v>
      </c>
      <c r="D758" s="52">
        <v>2046</v>
      </c>
      <c r="E758" s="34">
        <v>3</v>
      </c>
      <c r="F758" s="38">
        <f t="shared" si="115"/>
        <v>20477.789602482324</v>
      </c>
      <c r="G758" s="34">
        <f t="shared" si="116"/>
        <v>16</v>
      </c>
      <c r="H758" s="34">
        <f t="shared" si="117"/>
        <v>2</v>
      </c>
      <c r="I758" s="34" t="str">
        <f t="shared" si="124"/>
        <v/>
      </c>
      <c r="J758" s="34" t="str">
        <f t="shared" si="124"/>
        <v/>
      </c>
      <c r="K758" s="34" t="str">
        <f t="shared" si="124"/>
        <v/>
      </c>
      <c r="L758" s="34" t="str">
        <f t="shared" si="124"/>
        <v/>
      </c>
      <c r="M758" s="34" t="str">
        <f t="shared" si="124"/>
        <v/>
      </c>
      <c r="N758" s="34" t="str">
        <f t="shared" si="124"/>
        <v/>
      </c>
      <c r="O758" s="34" t="str">
        <f t="shared" si="124"/>
        <v/>
      </c>
      <c r="P758" s="34">
        <f t="shared" si="124"/>
        <v>84</v>
      </c>
      <c r="Q758" s="34">
        <f t="shared" si="124"/>
        <v>94</v>
      </c>
      <c r="R758" s="34">
        <f t="shared" si="124"/>
        <v>106</v>
      </c>
      <c r="S758" s="35">
        <f t="shared" si="118"/>
        <v>84</v>
      </c>
    </row>
    <row r="759" spans="2:19" hidden="1" outlineLevel="1">
      <c r="B759" s="14" t="s">
        <v>39</v>
      </c>
      <c r="C759" s="15" t="s">
        <v>66</v>
      </c>
      <c r="D759" s="52">
        <v>2046</v>
      </c>
      <c r="E759" s="34">
        <v>4</v>
      </c>
      <c r="F759" s="38">
        <f t="shared" si="115"/>
        <v>20477.789602482324</v>
      </c>
      <c r="G759" s="34">
        <f t="shared" si="116"/>
        <v>16</v>
      </c>
      <c r="H759" s="34">
        <f t="shared" si="117"/>
        <v>2</v>
      </c>
      <c r="I759" s="34" t="str">
        <f t="shared" si="124"/>
        <v/>
      </c>
      <c r="J759" s="34" t="str">
        <f t="shared" si="124"/>
        <v/>
      </c>
      <c r="K759" s="34" t="str">
        <f t="shared" si="124"/>
        <v/>
      </c>
      <c r="L759" s="34" t="str">
        <f t="shared" si="124"/>
        <v/>
      </c>
      <c r="M759" s="34" t="str">
        <f t="shared" si="124"/>
        <v/>
      </c>
      <c r="N759" s="34" t="str">
        <f t="shared" si="124"/>
        <v/>
      </c>
      <c r="O759" s="34" t="str">
        <f t="shared" si="124"/>
        <v/>
      </c>
      <c r="P759" s="34">
        <f t="shared" si="124"/>
        <v>84</v>
      </c>
      <c r="Q759" s="34">
        <f t="shared" si="124"/>
        <v>93</v>
      </c>
      <c r="R759" s="34">
        <f t="shared" si="124"/>
        <v>105</v>
      </c>
      <c r="S759" s="35">
        <f t="shared" si="118"/>
        <v>84</v>
      </c>
    </row>
    <row r="760" spans="2:19" hidden="1" outlineLevel="1">
      <c r="B760" s="14" t="s">
        <v>39</v>
      </c>
      <c r="C760" s="15" t="s">
        <v>66</v>
      </c>
      <c r="D760" s="52">
        <v>2046</v>
      </c>
      <c r="E760" s="34">
        <v>5</v>
      </c>
      <c r="F760" s="38">
        <f t="shared" ref="F760:F823" si="125">IF($C760="Homens",INDEX($C$5:$C$55,MATCH($D760,$B$5:$B$55,0)),INDEX($F$5:$F$55,MATCH($D760,$B$5:$B$55,0)))/12</f>
        <v>20477.789602482324</v>
      </c>
      <c r="G760" s="34">
        <f t="shared" ref="G760:G823" si="126">IF($C760="Homens",$Z$17,$AA$17)</f>
        <v>16</v>
      </c>
      <c r="H760" s="34">
        <f t="shared" ref="H760:H823" si="127">1+2*($B760="Com Transição")+($C760="Mulheres")</f>
        <v>2</v>
      </c>
      <c r="I760" s="34" t="str">
        <f t="shared" ref="I760:R769" si="128">IF($D760&lt;$Z$18,"",IF(MAX($G760,INDEX($C$65:$F$108,$D760+I$119-2026,$H760))&lt;=12*I$119-$E760+12,MAX($G760,12*I$119-$E760+1,INDEX($C$65:$F$108,$D760+I$119-2026,$H760)),""))</f>
        <v/>
      </c>
      <c r="J760" s="34" t="str">
        <f t="shared" si="128"/>
        <v/>
      </c>
      <c r="K760" s="34" t="str">
        <f t="shared" si="128"/>
        <v/>
      </c>
      <c r="L760" s="34" t="str">
        <f t="shared" si="128"/>
        <v/>
      </c>
      <c r="M760" s="34" t="str">
        <f t="shared" si="128"/>
        <v/>
      </c>
      <c r="N760" s="34" t="str">
        <f t="shared" si="128"/>
        <v/>
      </c>
      <c r="O760" s="34" t="str">
        <f t="shared" si="128"/>
        <v/>
      </c>
      <c r="P760" s="34">
        <f t="shared" si="128"/>
        <v>84</v>
      </c>
      <c r="Q760" s="34">
        <f t="shared" si="128"/>
        <v>92</v>
      </c>
      <c r="R760" s="34">
        <f t="shared" si="128"/>
        <v>104</v>
      </c>
      <c r="S760" s="35">
        <f t="shared" ref="S760:S823" si="129">IF($D760&lt;$Z$18,$G760,MIN(I760:R760))</f>
        <v>84</v>
      </c>
    </row>
    <row r="761" spans="2:19" hidden="1" outlineLevel="1">
      <c r="B761" s="14" t="s">
        <v>39</v>
      </c>
      <c r="C761" s="15" t="s">
        <v>66</v>
      </c>
      <c r="D761" s="52">
        <v>2046</v>
      </c>
      <c r="E761" s="34">
        <v>6</v>
      </c>
      <c r="F761" s="38">
        <f t="shared" si="125"/>
        <v>20477.789602482324</v>
      </c>
      <c r="G761" s="34">
        <f t="shared" si="126"/>
        <v>16</v>
      </c>
      <c r="H761" s="34">
        <f t="shared" si="127"/>
        <v>2</v>
      </c>
      <c r="I761" s="34" t="str">
        <f t="shared" si="128"/>
        <v/>
      </c>
      <c r="J761" s="34" t="str">
        <f t="shared" si="128"/>
        <v/>
      </c>
      <c r="K761" s="34" t="str">
        <f t="shared" si="128"/>
        <v/>
      </c>
      <c r="L761" s="34" t="str">
        <f t="shared" si="128"/>
        <v/>
      </c>
      <c r="M761" s="34" t="str">
        <f t="shared" si="128"/>
        <v/>
      </c>
      <c r="N761" s="34" t="str">
        <f t="shared" si="128"/>
        <v/>
      </c>
      <c r="O761" s="34" t="str">
        <f t="shared" si="128"/>
        <v/>
      </c>
      <c r="P761" s="34">
        <f t="shared" si="128"/>
        <v>84</v>
      </c>
      <c r="Q761" s="34">
        <f t="shared" si="128"/>
        <v>91</v>
      </c>
      <c r="R761" s="34">
        <f t="shared" si="128"/>
        <v>103</v>
      </c>
      <c r="S761" s="35">
        <f t="shared" si="129"/>
        <v>84</v>
      </c>
    </row>
    <row r="762" spans="2:19" hidden="1" outlineLevel="1">
      <c r="B762" s="14" t="s">
        <v>39</v>
      </c>
      <c r="C762" s="15" t="s">
        <v>66</v>
      </c>
      <c r="D762" s="52">
        <v>2046</v>
      </c>
      <c r="E762" s="34">
        <v>7</v>
      </c>
      <c r="F762" s="38">
        <f t="shared" si="125"/>
        <v>20477.789602482324</v>
      </c>
      <c r="G762" s="34">
        <f t="shared" si="126"/>
        <v>16</v>
      </c>
      <c r="H762" s="34">
        <f t="shared" si="127"/>
        <v>2</v>
      </c>
      <c r="I762" s="34" t="str">
        <f t="shared" si="128"/>
        <v/>
      </c>
      <c r="J762" s="34" t="str">
        <f t="shared" si="128"/>
        <v/>
      </c>
      <c r="K762" s="34" t="str">
        <f t="shared" si="128"/>
        <v/>
      </c>
      <c r="L762" s="34" t="str">
        <f t="shared" si="128"/>
        <v/>
      </c>
      <c r="M762" s="34" t="str">
        <f t="shared" si="128"/>
        <v/>
      </c>
      <c r="N762" s="34" t="str">
        <f t="shared" si="128"/>
        <v/>
      </c>
      <c r="O762" s="34" t="str">
        <f t="shared" si="128"/>
        <v/>
      </c>
      <c r="P762" s="34">
        <f t="shared" si="128"/>
        <v>84</v>
      </c>
      <c r="Q762" s="34">
        <f t="shared" si="128"/>
        <v>90</v>
      </c>
      <c r="R762" s="34">
        <f t="shared" si="128"/>
        <v>102</v>
      </c>
      <c r="S762" s="35">
        <f t="shared" si="129"/>
        <v>84</v>
      </c>
    </row>
    <row r="763" spans="2:19" hidden="1" outlineLevel="1">
      <c r="B763" s="14" t="s">
        <v>39</v>
      </c>
      <c r="C763" s="15" t="s">
        <v>66</v>
      </c>
      <c r="D763" s="52">
        <v>2046</v>
      </c>
      <c r="E763" s="34">
        <v>8</v>
      </c>
      <c r="F763" s="38">
        <f t="shared" si="125"/>
        <v>20477.789602482324</v>
      </c>
      <c r="G763" s="34">
        <f t="shared" si="126"/>
        <v>16</v>
      </c>
      <c r="H763" s="34">
        <f t="shared" si="127"/>
        <v>2</v>
      </c>
      <c r="I763" s="34" t="str">
        <f t="shared" si="128"/>
        <v/>
      </c>
      <c r="J763" s="34" t="str">
        <f t="shared" si="128"/>
        <v/>
      </c>
      <c r="K763" s="34" t="str">
        <f t="shared" si="128"/>
        <v/>
      </c>
      <c r="L763" s="34" t="str">
        <f t="shared" si="128"/>
        <v/>
      </c>
      <c r="M763" s="34" t="str">
        <f t="shared" si="128"/>
        <v/>
      </c>
      <c r="N763" s="34" t="str">
        <f t="shared" si="128"/>
        <v/>
      </c>
      <c r="O763" s="34" t="str">
        <f t="shared" si="128"/>
        <v/>
      </c>
      <c r="P763" s="34">
        <f t="shared" si="128"/>
        <v>84</v>
      </c>
      <c r="Q763" s="34">
        <f t="shared" si="128"/>
        <v>89</v>
      </c>
      <c r="R763" s="34">
        <f t="shared" si="128"/>
        <v>101</v>
      </c>
      <c r="S763" s="35">
        <f t="shared" si="129"/>
        <v>84</v>
      </c>
    </row>
    <row r="764" spans="2:19" hidden="1" outlineLevel="1">
      <c r="B764" s="14" t="s">
        <v>39</v>
      </c>
      <c r="C764" s="15" t="s">
        <v>66</v>
      </c>
      <c r="D764" s="52">
        <v>2046</v>
      </c>
      <c r="E764" s="34">
        <v>9</v>
      </c>
      <c r="F764" s="38">
        <f t="shared" si="125"/>
        <v>20477.789602482324</v>
      </c>
      <c r="G764" s="34">
        <f t="shared" si="126"/>
        <v>16</v>
      </c>
      <c r="H764" s="34">
        <f t="shared" si="127"/>
        <v>2</v>
      </c>
      <c r="I764" s="34" t="str">
        <f t="shared" si="128"/>
        <v/>
      </c>
      <c r="J764" s="34" t="str">
        <f t="shared" si="128"/>
        <v/>
      </c>
      <c r="K764" s="34" t="str">
        <f t="shared" si="128"/>
        <v/>
      </c>
      <c r="L764" s="34" t="str">
        <f t="shared" si="128"/>
        <v/>
      </c>
      <c r="M764" s="34" t="str">
        <f t="shared" si="128"/>
        <v/>
      </c>
      <c r="N764" s="34" t="str">
        <f t="shared" si="128"/>
        <v/>
      </c>
      <c r="O764" s="34" t="str">
        <f t="shared" si="128"/>
        <v/>
      </c>
      <c r="P764" s="34">
        <f t="shared" si="128"/>
        <v>84</v>
      </c>
      <c r="Q764" s="34">
        <f t="shared" si="128"/>
        <v>88</v>
      </c>
      <c r="R764" s="34">
        <f t="shared" si="128"/>
        <v>100</v>
      </c>
      <c r="S764" s="35">
        <f t="shared" si="129"/>
        <v>84</v>
      </c>
    </row>
    <row r="765" spans="2:19" hidden="1" outlineLevel="1">
      <c r="B765" s="14" t="s">
        <v>39</v>
      </c>
      <c r="C765" s="15" t="s">
        <v>66</v>
      </c>
      <c r="D765" s="52">
        <v>2046</v>
      </c>
      <c r="E765" s="34">
        <v>10</v>
      </c>
      <c r="F765" s="38">
        <f t="shared" si="125"/>
        <v>20477.789602482324</v>
      </c>
      <c r="G765" s="34">
        <f t="shared" si="126"/>
        <v>16</v>
      </c>
      <c r="H765" s="34">
        <f t="shared" si="127"/>
        <v>2</v>
      </c>
      <c r="I765" s="34" t="str">
        <f t="shared" si="128"/>
        <v/>
      </c>
      <c r="J765" s="34" t="str">
        <f t="shared" si="128"/>
        <v/>
      </c>
      <c r="K765" s="34" t="str">
        <f t="shared" si="128"/>
        <v/>
      </c>
      <c r="L765" s="34" t="str">
        <f t="shared" si="128"/>
        <v/>
      </c>
      <c r="M765" s="34" t="str">
        <f t="shared" si="128"/>
        <v/>
      </c>
      <c r="N765" s="34" t="str">
        <f t="shared" si="128"/>
        <v/>
      </c>
      <c r="O765" s="34" t="str">
        <f t="shared" si="128"/>
        <v/>
      </c>
      <c r="P765" s="34">
        <f t="shared" si="128"/>
        <v>84</v>
      </c>
      <c r="Q765" s="34">
        <f t="shared" si="128"/>
        <v>87</v>
      </c>
      <c r="R765" s="34">
        <f t="shared" si="128"/>
        <v>99</v>
      </c>
      <c r="S765" s="35">
        <f t="shared" si="129"/>
        <v>84</v>
      </c>
    </row>
    <row r="766" spans="2:19" hidden="1" outlineLevel="1">
      <c r="B766" s="14" t="s">
        <v>39</v>
      </c>
      <c r="C766" s="15" t="s">
        <v>66</v>
      </c>
      <c r="D766" s="52">
        <v>2046</v>
      </c>
      <c r="E766" s="34">
        <v>11</v>
      </c>
      <c r="F766" s="38">
        <f t="shared" si="125"/>
        <v>20477.789602482324</v>
      </c>
      <c r="G766" s="34">
        <f t="shared" si="126"/>
        <v>16</v>
      </c>
      <c r="H766" s="34">
        <f t="shared" si="127"/>
        <v>2</v>
      </c>
      <c r="I766" s="34" t="str">
        <f t="shared" si="128"/>
        <v/>
      </c>
      <c r="J766" s="34" t="str">
        <f t="shared" si="128"/>
        <v/>
      </c>
      <c r="K766" s="34" t="str">
        <f t="shared" si="128"/>
        <v/>
      </c>
      <c r="L766" s="34" t="str">
        <f t="shared" si="128"/>
        <v/>
      </c>
      <c r="M766" s="34" t="str">
        <f t="shared" si="128"/>
        <v/>
      </c>
      <c r="N766" s="34" t="str">
        <f t="shared" si="128"/>
        <v/>
      </c>
      <c r="O766" s="34" t="str">
        <f t="shared" si="128"/>
        <v/>
      </c>
      <c r="P766" s="34">
        <f t="shared" si="128"/>
        <v>84</v>
      </c>
      <c r="Q766" s="34">
        <f t="shared" si="128"/>
        <v>86</v>
      </c>
      <c r="R766" s="34">
        <f t="shared" si="128"/>
        <v>98</v>
      </c>
      <c r="S766" s="35">
        <f t="shared" si="129"/>
        <v>84</v>
      </c>
    </row>
    <row r="767" spans="2:19" hidden="1" outlineLevel="1">
      <c r="B767" s="14" t="s">
        <v>39</v>
      </c>
      <c r="C767" s="15" t="s">
        <v>66</v>
      </c>
      <c r="D767" s="52">
        <v>2046</v>
      </c>
      <c r="E767" s="34">
        <v>12</v>
      </c>
      <c r="F767" s="38">
        <f t="shared" si="125"/>
        <v>20477.789602482324</v>
      </c>
      <c r="G767" s="34">
        <f t="shared" si="126"/>
        <v>16</v>
      </c>
      <c r="H767" s="34">
        <f t="shared" si="127"/>
        <v>2</v>
      </c>
      <c r="I767" s="34" t="str">
        <f t="shared" si="128"/>
        <v/>
      </c>
      <c r="J767" s="34" t="str">
        <f t="shared" si="128"/>
        <v/>
      </c>
      <c r="K767" s="34" t="str">
        <f t="shared" si="128"/>
        <v/>
      </c>
      <c r="L767" s="34" t="str">
        <f t="shared" si="128"/>
        <v/>
      </c>
      <c r="M767" s="34" t="str">
        <f t="shared" si="128"/>
        <v/>
      </c>
      <c r="N767" s="34" t="str">
        <f t="shared" si="128"/>
        <v/>
      </c>
      <c r="O767" s="34" t="str">
        <f t="shared" si="128"/>
        <v/>
      </c>
      <c r="P767" s="34">
        <f t="shared" si="128"/>
        <v>84</v>
      </c>
      <c r="Q767" s="34">
        <f t="shared" si="128"/>
        <v>85</v>
      </c>
      <c r="R767" s="34">
        <f t="shared" si="128"/>
        <v>97</v>
      </c>
      <c r="S767" s="35">
        <f t="shared" si="129"/>
        <v>84</v>
      </c>
    </row>
    <row r="768" spans="2:19" hidden="1" outlineLevel="1">
      <c r="B768" s="14" t="s">
        <v>39</v>
      </c>
      <c r="C768" s="15" t="s">
        <v>66</v>
      </c>
      <c r="D768" s="52">
        <v>2047</v>
      </c>
      <c r="E768" s="34">
        <v>1</v>
      </c>
      <c r="F768" s="38">
        <f t="shared" si="125"/>
        <v>20544.993272907512</v>
      </c>
      <c r="G768" s="34">
        <f t="shared" si="126"/>
        <v>16</v>
      </c>
      <c r="H768" s="34">
        <f t="shared" si="127"/>
        <v>2</v>
      </c>
      <c r="I768" s="34" t="str">
        <f t="shared" si="128"/>
        <v/>
      </c>
      <c r="J768" s="34" t="str">
        <f t="shared" si="128"/>
        <v/>
      </c>
      <c r="K768" s="34" t="str">
        <f t="shared" si="128"/>
        <v/>
      </c>
      <c r="L768" s="34" t="str">
        <f t="shared" si="128"/>
        <v/>
      </c>
      <c r="M768" s="34" t="str">
        <f t="shared" si="128"/>
        <v/>
      </c>
      <c r="N768" s="34" t="str">
        <f t="shared" si="128"/>
        <v/>
      </c>
      <c r="O768" s="34" t="str">
        <f t="shared" si="128"/>
        <v/>
      </c>
      <c r="P768" s="34">
        <f t="shared" si="128"/>
        <v>84</v>
      </c>
      <c r="Q768" s="34">
        <f t="shared" si="128"/>
        <v>96</v>
      </c>
      <c r="R768" s="34">
        <f t="shared" si="128"/>
        <v>108</v>
      </c>
      <c r="S768" s="35">
        <f t="shared" si="129"/>
        <v>84</v>
      </c>
    </row>
    <row r="769" spans="2:19" hidden="1" outlineLevel="1">
      <c r="B769" s="14" t="s">
        <v>39</v>
      </c>
      <c r="C769" s="15" t="s">
        <v>66</v>
      </c>
      <c r="D769" s="52">
        <v>2047</v>
      </c>
      <c r="E769" s="34">
        <v>2</v>
      </c>
      <c r="F769" s="38">
        <f t="shared" si="125"/>
        <v>20544.993272907512</v>
      </c>
      <c r="G769" s="34">
        <f t="shared" si="126"/>
        <v>16</v>
      </c>
      <c r="H769" s="34">
        <f t="shared" si="127"/>
        <v>2</v>
      </c>
      <c r="I769" s="34" t="str">
        <f t="shared" si="128"/>
        <v/>
      </c>
      <c r="J769" s="34" t="str">
        <f t="shared" si="128"/>
        <v/>
      </c>
      <c r="K769" s="34" t="str">
        <f t="shared" si="128"/>
        <v/>
      </c>
      <c r="L769" s="34" t="str">
        <f t="shared" si="128"/>
        <v/>
      </c>
      <c r="M769" s="34" t="str">
        <f t="shared" si="128"/>
        <v/>
      </c>
      <c r="N769" s="34" t="str">
        <f t="shared" si="128"/>
        <v/>
      </c>
      <c r="O769" s="34" t="str">
        <f t="shared" si="128"/>
        <v/>
      </c>
      <c r="P769" s="34">
        <f t="shared" si="128"/>
        <v>84</v>
      </c>
      <c r="Q769" s="34">
        <f t="shared" si="128"/>
        <v>95</v>
      </c>
      <c r="R769" s="34">
        <f t="shared" si="128"/>
        <v>107</v>
      </c>
      <c r="S769" s="35">
        <f t="shared" si="129"/>
        <v>84</v>
      </c>
    </row>
    <row r="770" spans="2:19" hidden="1" outlineLevel="1">
      <c r="B770" s="14" t="s">
        <v>39</v>
      </c>
      <c r="C770" s="15" t="s">
        <v>66</v>
      </c>
      <c r="D770" s="52">
        <v>2047</v>
      </c>
      <c r="E770" s="34">
        <v>3</v>
      </c>
      <c r="F770" s="38">
        <f t="shared" si="125"/>
        <v>20544.993272907512</v>
      </c>
      <c r="G770" s="34">
        <f t="shared" si="126"/>
        <v>16</v>
      </c>
      <c r="H770" s="34">
        <f t="shared" si="127"/>
        <v>2</v>
      </c>
      <c r="I770" s="34" t="str">
        <f t="shared" ref="I770:R779" si="130">IF($D770&lt;$Z$18,"",IF(MAX($G770,INDEX($C$65:$F$108,$D770+I$119-2026,$H770))&lt;=12*I$119-$E770+12,MAX($G770,12*I$119-$E770+1,INDEX($C$65:$F$108,$D770+I$119-2026,$H770)),""))</f>
        <v/>
      </c>
      <c r="J770" s="34" t="str">
        <f t="shared" si="130"/>
        <v/>
      </c>
      <c r="K770" s="34" t="str">
        <f t="shared" si="130"/>
        <v/>
      </c>
      <c r="L770" s="34" t="str">
        <f t="shared" si="130"/>
        <v/>
      </c>
      <c r="M770" s="34" t="str">
        <f t="shared" si="130"/>
        <v/>
      </c>
      <c r="N770" s="34" t="str">
        <f t="shared" si="130"/>
        <v/>
      </c>
      <c r="O770" s="34" t="str">
        <f t="shared" si="130"/>
        <v/>
      </c>
      <c r="P770" s="34">
        <f t="shared" si="130"/>
        <v>84</v>
      </c>
      <c r="Q770" s="34">
        <f t="shared" si="130"/>
        <v>94</v>
      </c>
      <c r="R770" s="34">
        <f t="shared" si="130"/>
        <v>106</v>
      </c>
      <c r="S770" s="35">
        <f t="shared" si="129"/>
        <v>84</v>
      </c>
    </row>
    <row r="771" spans="2:19" hidden="1" outlineLevel="1">
      <c r="B771" s="14" t="s">
        <v>39</v>
      </c>
      <c r="C771" s="15" t="s">
        <v>66</v>
      </c>
      <c r="D771" s="52">
        <v>2047</v>
      </c>
      <c r="E771" s="34">
        <v>4</v>
      </c>
      <c r="F771" s="38">
        <f t="shared" si="125"/>
        <v>20544.993272907512</v>
      </c>
      <c r="G771" s="34">
        <f t="shared" si="126"/>
        <v>16</v>
      </c>
      <c r="H771" s="34">
        <f t="shared" si="127"/>
        <v>2</v>
      </c>
      <c r="I771" s="34" t="str">
        <f t="shared" si="130"/>
        <v/>
      </c>
      <c r="J771" s="34" t="str">
        <f t="shared" si="130"/>
        <v/>
      </c>
      <c r="K771" s="34" t="str">
        <f t="shared" si="130"/>
        <v/>
      </c>
      <c r="L771" s="34" t="str">
        <f t="shared" si="130"/>
        <v/>
      </c>
      <c r="M771" s="34" t="str">
        <f t="shared" si="130"/>
        <v/>
      </c>
      <c r="N771" s="34" t="str">
        <f t="shared" si="130"/>
        <v/>
      </c>
      <c r="O771" s="34" t="str">
        <f t="shared" si="130"/>
        <v/>
      </c>
      <c r="P771" s="34">
        <f t="shared" si="130"/>
        <v>84</v>
      </c>
      <c r="Q771" s="34">
        <f t="shared" si="130"/>
        <v>93</v>
      </c>
      <c r="R771" s="34">
        <f t="shared" si="130"/>
        <v>105</v>
      </c>
      <c r="S771" s="35">
        <f t="shared" si="129"/>
        <v>84</v>
      </c>
    </row>
    <row r="772" spans="2:19" hidden="1" outlineLevel="1">
      <c r="B772" s="14" t="s">
        <v>39</v>
      </c>
      <c r="C772" s="15" t="s">
        <v>66</v>
      </c>
      <c r="D772" s="52">
        <v>2047</v>
      </c>
      <c r="E772" s="34">
        <v>5</v>
      </c>
      <c r="F772" s="38">
        <f t="shared" si="125"/>
        <v>20544.993272907512</v>
      </c>
      <c r="G772" s="34">
        <f t="shared" si="126"/>
        <v>16</v>
      </c>
      <c r="H772" s="34">
        <f t="shared" si="127"/>
        <v>2</v>
      </c>
      <c r="I772" s="34" t="str">
        <f t="shared" si="130"/>
        <v/>
      </c>
      <c r="J772" s="34" t="str">
        <f t="shared" si="130"/>
        <v/>
      </c>
      <c r="K772" s="34" t="str">
        <f t="shared" si="130"/>
        <v/>
      </c>
      <c r="L772" s="34" t="str">
        <f t="shared" si="130"/>
        <v/>
      </c>
      <c r="M772" s="34" t="str">
        <f t="shared" si="130"/>
        <v/>
      </c>
      <c r="N772" s="34" t="str">
        <f t="shared" si="130"/>
        <v/>
      </c>
      <c r="O772" s="34" t="str">
        <f t="shared" si="130"/>
        <v/>
      </c>
      <c r="P772" s="34">
        <f t="shared" si="130"/>
        <v>84</v>
      </c>
      <c r="Q772" s="34">
        <f t="shared" si="130"/>
        <v>92</v>
      </c>
      <c r="R772" s="34">
        <f t="shared" si="130"/>
        <v>104</v>
      </c>
      <c r="S772" s="35">
        <f t="shared" si="129"/>
        <v>84</v>
      </c>
    </row>
    <row r="773" spans="2:19" hidden="1" outlineLevel="1">
      <c r="B773" s="14" t="s">
        <v>39</v>
      </c>
      <c r="C773" s="15" t="s">
        <v>66</v>
      </c>
      <c r="D773" s="52">
        <v>2047</v>
      </c>
      <c r="E773" s="34">
        <v>6</v>
      </c>
      <c r="F773" s="38">
        <f t="shared" si="125"/>
        <v>20544.993272907512</v>
      </c>
      <c r="G773" s="34">
        <f t="shared" si="126"/>
        <v>16</v>
      </c>
      <c r="H773" s="34">
        <f t="shared" si="127"/>
        <v>2</v>
      </c>
      <c r="I773" s="34" t="str">
        <f t="shared" si="130"/>
        <v/>
      </c>
      <c r="J773" s="34" t="str">
        <f t="shared" si="130"/>
        <v/>
      </c>
      <c r="K773" s="34" t="str">
        <f t="shared" si="130"/>
        <v/>
      </c>
      <c r="L773" s="34" t="str">
        <f t="shared" si="130"/>
        <v/>
      </c>
      <c r="M773" s="34" t="str">
        <f t="shared" si="130"/>
        <v/>
      </c>
      <c r="N773" s="34" t="str">
        <f t="shared" si="130"/>
        <v/>
      </c>
      <c r="O773" s="34" t="str">
        <f t="shared" si="130"/>
        <v/>
      </c>
      <c r="P773" s="34">
        <f t="shared" si="130"/>
        <v>84</v>
      </c>
      <c r="Q773" s="34">
        <f t="shared" si="130"/>
        <v>91</v>
      </c>
      <c r="R773" s="34">
        <f t="shared" si="130"/>
        <v>103</v>
      </c>
      <c r="S773" s="35">
        <f t="shared" si="129"/>
        <v>84</v>
      </c>
    </row>
    <row r="774" spans="2:19" hidden="1" outlineLevel="1">
      <c r="B774" s="14" t="s">
        <v>39</v>
      </c>
      <c r="C774" s="15" t="s">
        <v>66</v>
      </c>
      <c r="D774" s="52">
        <v>2047</v>
      </c>
      <c r="E774" s="34">
        <v>7</v>
      </c>
      <c r="F774" s="38">
        <f t="shared" si="125"/>
        <v>20544.993272907512</v>
      </c>
      <c r="G774" s="34">
        <f t="shared" si="126"/>
        <v>16</v>
      </c>
      <c r="H774" s="34">
        <f t="shared" si="127"/>
        <v>2</v>
      </c>
      <c r="I774" s="34" t="str">
        <f t="shared" si="130"/>
        <v/>
      </c>
      <c r="J774" s="34" t="str">
        <f t="shared" si="130"/>
        <v/>
      </c>
      <c r="K774" s="34" t="str">
        <f t="shared" si="130"/>
        <v/>
      </c>
      <c r="L774" s="34" t="str">
        <f t="shared" si="130"/>
        <v/>
      </c>
      <c r="M774" s="34" t="str">
        <f t="shared" si="130"/>
        <v/>
      </c>
      <c r="N774" s="34" t="str">
        <f t="shared" si="130"/>
        <v/>
      </c>
      <c r="O774" s="34" t="str">
        <f t="shared" si="130"/>
        <v/>
      </c>
      <c r="P774" s="34">
        <f t="shared" si="130"/>
        <v>84</v>
      </c>
      <c r="Q774" s="34">
        <f t="shared" si="130"/>
        <v>90</v>
      </c>
      <c r="R774" s="34">
        <f t="shared" si="130"/>
        <v>102</v>
      </c>
      <c r="S774" s="35">
        <f t="shared" si="129"/>
        <v>84</v>
      </c>
    </row>
    <row r="775" spans="2:19" hidden="1" outlineLevel="1">
      <c r="B775" s="14" t="s">
        <v>39</v>
      </c>
      <c r="C775" s="15" t="s">
        <v>66</v>
      </c>
      <c r="D775" s="52">
        <v>2047</v>
      </c>
      <c r="E775" s="34">
        <v>8</v>
      </c>
      <c r="F775" s="38">
        <f t="shared" si="125"/>
        <v>20544.993272907512</v>
      </c>
      <c r="G775" s="34">
        <f t="shared" si="126"/>
        <v>16</v>
      </c>
      <c r="H775" s="34">
        <f t="shared" si="127"/>
        <v>2</v>
      </c>
      <c r="I775" s="34" t="str">
        <f t="shared" si="130"/>
        <v/>
      </c>
      <c r="J775" s="34" t="str">
        <f t="shared" si="130"/>
        <v/>
      </c>
      <c r="K775" s="34" t="str">
        <f t="shared" si="130"/>
        <v/>
      </c>
      <c r="L775" s="34" t="str">
        <f t="shared" si="130"/>
        <v/>
      </c>
      <c r="M775" s="34" t="str">
        <f t="shared" si="130"/>
        <v/>
      </c>
      <c r="N775" s="34" t="str">
        <f t="shared" si="130"/>
        <v/>
      </c>
      <c r="O775" s="34" t="str">
        <f t="shared" si="130"/>
        <v/>
      </c>
      <c r="P775" s="34">
        <f t="shared" si="130"/>
        <v>84</v>
      </c>
      <c r="Q775" s="34">
        <f t="shared" si="130"/>
        <v>89</v>
      </c>
      <c r="R775" s="34">
        <f t="shared" si="130"/>
        <v>101</v>
      </c>
      <c r="S775" s="35">
        <f t="shared" si="129"/>
        <v>84</v>
      </c>
    </row>
    <row r="776" spans="2:19" hidden="1" outlineLevel="1">
      <c r="B776" s="14" t="s">
        <v>39</v>
      </c>
      <c r="C776" s="15" t="s">
        <v>66</v>
      </c>
      <c r="D776" s="52">
        <v>2047</v>
      </c>
      <c r="E776" s="34">
        <v>9</v>
      </c>
      <c r="F776" s="38">
        <f t="shared" si="125"/>
        <v>20544.993272907512</v>
      </c>
      <c r="G776" s="34">
        <f t="shared" si="126"/>
        <v>16</v>
      </c>
      <c r="H776" s="34">
        <f t="shared" si="127"/>
        <v>2</v>
      </c>
      <c r="I776" s="34" t="str">
        <f t="shared" si="130"/>
        <v/>
      </c>
      <c r="J776" s="34" t="str">
        <f t="shared" si="130"/>
        <v/>
      </c>
      <c r="K776" s="34" t="str">
        <f t="shared" si="130"/>
        <v/>
      </c>
      <c r="L776" s="34" t="str">
        <f t="shared" si="130"/>
        <v/>
      </c>
      <c r="M776" s="34" t="str">
        <f t="shared" si="130"/>
        <v/>
      </c>
      <c r="N776" s="34" t="str">
        <f t="shared" si="130"/>
        <v/>
      </c>
      <c r="O776" s="34" t="str">
        <f t="shared" si="130"/>
        <v/>
      </c>
      <c r="P776" s="34">
        <f t="shared" si="130"/>
        <v>84</v>
      </c>
      <c r="Q776" s="34">
        <f t="shared" si="130"/>
        <v>88</v>
      </c>
      <c r="R776" s="34">
        <f t="shared" si="130"/>
        <v>100</v>
      </c>
      <c r="S776" s="35">
        <f t="shared" si="129"/>
        <v>84</v>
      </c>
    </row>
    <row r="777" spans="2:19" hidden="1" outlineLevel="1">
      <c r="B777" s="14" t="s">
        <v>39</v>
      </c>
      <c r="C777" s="15" t="s">
        <v>66</v>
      </c>
      <c r="D777" s="52">
        <v>2047</v>
      </c>
      <c r="E777" s="34">
        <v>10</v>
      </c>
      <c r="F777" s="38">
        <f t="shared" si="125"/>
        <v>20544.993272907512</v>
      </c>
      <c r="G777" s="34">
        <f t="shared" si="126"/>
        <v>16</v>
      </c>
      <c r="H777" s="34">
        <f t="shared" si="127"/>
        <v>2</v>
      </c>
      <c r="I777" s="34" t="str">
        <f t="shared" si="130"/>
        <v/>
      </c>
      <c r="J777" s="34" t="str">
        <f t="shared" si="130"/>
        <v/>
      </c>
      <c r="K777" s="34" t="str">
        <f t="shared" si="130"/>
        <v/>
      </c>
      <c r="L777" s="34" t="str">
        <f t="shared" si="130"/>
        <v/>
      </c>
      <c r="M777" s="34" t="str">
        <f t="shared" si="130"/>
        <v/>
      </c>
      <c r="N777" s="34" t="str">
        <f t="shared" si="130"/>
        <v/>
      </c>
      <c r="O777" s="34" t="str">
        <f t="shared" si="130"/>
        <v/>
      </c>
      <c r="P777" s="34">
        <f t="shared" si="130"/>
        <v>84</v>
      </c>
      <c r="Q777" s="34">
        <f t="shared" si="130"/>
        <v>87</v>
      </c>
      <c r="R777" s="34">
        <f t="shared" si="130"/>
        <v>99</v>
      </c>
      <c r="S777" s="35">
        <f t="shared" si="129"/>
        <v>84</v>
      </c>
    </row>
    <row r="778" spans="2:19" hidden="1" outlineLevel="1">
      <c r="B778" s="14" t="s">
        <v>39</v>
      </c>
      <c r="C778" s="15" t="s">
        <v>66</v>
      </c>
      <c r="D778" s="52">
        <v>2047</v>
      </c>
      <c r="E778" s="34">
        <v>11</v>
      </c>
      <c r="F778" s="38">
        <f t="shared" si="125"/>
        <v>20544.993272907512</v>
      </c>
      <c r="G778" s="34">
        <f t="shared" si="126"/>
        <v>16</v>
      </c>
      <c r="H778" s="34">
        <f t="shared" si="127"/>
        <v>2</v>
      </c>
      <c r="I778" s="34" t="str">
        <f t="shared" si="130"/>
        <v/>
      </c>
      <c r="J778" s="34" t="str">
        <f t="shared" si="130"/>
        <v/>
      </c>
      <c r="K778" s="34" t="str">
        <f t="shared" si="130"/>
        <v/>
      </c>
      <c r="L778" s="34" t="str">
        <f t="shared" si="130"/>
        <v/>
      </c>
      <c r="M778" s="34" t="str">
        <f t="shared" si="130"/>
        <v/>
      </c>
      <c r="N778" s="34" t="str">
        <f t="shared" si="130"/>
        <v/>
      </c>
      <c r="O778" s="34" t="str">
        <f t="shared" si="130"/>
        <v/>
      </c>
      <c r="P778" s="34">
        <f t="shared" si="130"/>
        <v>84</v>
      </c>
      <c r="Q778" s="34">
        <f t="shared" si="130"/>
        <v>86</v>
      </c>
      <c r="R778" s="34">
        <f t="shared" si="130"/>
        <v>98</v>
      </c>
      <c r="S778" s="35">
        <f t="shared" si="129"/>
        <v>84</v>
      </c>
    </row>
    <row r="779" spans="2:19" hidden="1" outlineLevel="1">
      <c r="B779" s="14" t="s">
        <v>39</v>
      </c>
      <c r="C779" s="15" t="s">
        <v>66</v>
      </c>
      <c r="D779" s="52">
        <v>2047</v>
      </c>
      <c r="E779" s="34">
        <v>12</v>
      </c>
      <c r="F779" s="38">
        <f t="shared" si="125"/>
        <v>20544.993272907512</v>
      </c>
      <c r="G779" s="34">
        <f t="shared" si="126"/>
        <v>16</v>
      </c>
      <c r="H779" s="34">
        <f t="shared" si="127"/>
        <v>2</v>
      </c>
      <c r="I779" s="34" t="str">
        <f t="shared" si="130"/>
        <v/>
      </c>
      <c r="J779" s="34" t="str">
        <f t="shared" si="130"/>
        <v/>
      </c>
      <c r="K779" s="34" t="str">
        <f t="shared" si="130"/>
        <v/>
      </c>
      <c r="L779" s="34" t="str">
        <f t="shared" si="130"/>
        <v/>
      </c>
      <c r="M779" s="34" t="str">
        <f t="shared" si="130"/>
        <v/>
      </c>
      <c r="N779" s="34" t="str">
        <f t="shared" si="130"/>
        <v/>
      </c>
      <c r="O779" s="34" t="str">
        <f t="shared" si="130"/>
        <v/>
      </c>
      <c r="P779" s="34">
        <f t="shared" si="130"/>
        <v>84</v>
      </c>
      <c r="Q779" s="34">
        <f t="shared" si="130"/>
        <v>85</v>
      </c>
      <c r="R779" s="34">
        <f t="shared" si="130"/>
        <v>97</v>
      </c>
      <c r="S779" s="35">
        <f t="shared" si="129"/>
        <v>84</v>
      </c>
    </row>
    <row r="780" spans="2:19" hidden="1" outlineLevel="1">
      <c r="B780" s="14" t="s">
        <v>39</v>
      </c>
      <c r="C780" s="15" t="s">
        <v>66</v>
      </c>
      <c r="D780" s="52">
        <v>2048</v>
      </c>
      <c r="E780" s="34">
        <v>1</v>
      </c>
      <c r="F780" s="38">
        <f t="shared" si="125"/>
        <v>20621.214938780653</v>
      </c>
      <c r="G780" s="34">
        <f t="shared" si="126"/>
        <v>16</v>
      </c>
      <c r="H780" s="34">
        <f t="shared" si="127"/>
        <v>2</v>
      </c>
      <c r="I780" s="34" t="str">
        <f t="shared" ref="I780:R789" si="131">IF($D780&lt;$Z$18,"",IF(MAX($G780,INDEX($C$65:$F$108,$D780+I$119-2026,$H780))&lt;=12*I$119-$E780+12,MAX($G780,12*I$119-$E780+1,INDEX($C$65:$F$108,$D780+I$119-2026,$H780)),""))</f>
        <v/>
      </c>
      <c r="J780" s="34" t="str">
        <f t="shared" si="131"/>
        <v/>
      </c>
      <c r="K780" s="34" t="str">
        <f t="shared" si="131"/>
        <v/>
      </c>
      <c r="L780" s="34" t="str">
        <f t="shared" si="131"/>
        <v/>
      </c>
      <c r="M780" s="34" t="str">
        <f t="shared" si="131"/>
        <v/>
      </c>
      <c r="N780" s="34" t="str">
        <f t="shared" si="131"/>
        <v/>
      </c>
      <c r="O780" s="34" t="str">
        <f t="shared" si="131"/>
        <v/>
      </c>
      <c r="P780" s="34">
        <f t="shared" si="131"/>
        <v>84</v>
      </c>
      <c r="Q780" s="34">
        <f t="shared" si="131"/>
        <v>96</v>
      </c>
      <c r="R780" s="34">
        <f t="shared" si="131"/>
        <v>108</v>
      </c>
      <c r="S780" s="35">
        <f t="shared" si="129"/>
        <v>84</v>
      </c>
    </row>
    <row r="781" spans="2:19" hidden="1" outlineLevel="1">
      <c r="B781" s="14" t="s">
        <v>39</v>
      </c>
      <c r="C781" s="15" t="s">
        <v>66</v>
      </c>
      <c r="D781" s="52">
        <v>2048</v>
      </c>
      <c r="E781" s="34">
        <v>2</v>
      </c>
      <c r="F781" s="38">
        <f t="shared" si="125"/>
        <v>20621.214938780653</v>
      </c>
      <c r="G781" s="34">
        <f t="shared" si="126"/>
        <v>16</v>
      </c>
      <c r="H781" s="34">
        <f t="shared" si="127"/>
        <v>2</v>
      </c>
      <c r="I781" s="34" t="str">
        <f t="shared" si="131"/>
        <v/>
      </c>
      <c r="J781" s="34" t="str">
        <f t="shared" si="131"/>
        <v/>
      </c>
      <c r="K781" s="34" t="str">
        <f t="shared" si="131"/>
        <v/>
      </c>
      <c r="L781" s="34" t="str">
        <f t="shared" si="131"/>
        <v/>
      </c>
      <c r="M781" s="34" t="str">
        <f t="shared" si="131"/>
        <v/>
      </c>
      <c r="N781" s="34" t="str">
        <f t="shared" si="131"/>
        <v/>
      </c>
      <c r="O781" s="34" t="str">
        <f t="shared" si="131"/>
        <v/>
      </c>
      <c r="P781" s="34">
        <f t="shared" si="131"/>
        <v>84</v>
      </c>
      <c r="Q781" s="34">
        <f t="shared" si="131"/>
        <v>95</v>
      </c>
      <c r="R781" s="34">
        <f t="shared" si="131"/>
        <v>107</v>
      </c>
      <c r="S781" s="35">
        <f t="shared" si="129"/>
        <v>84</v>
      </c>
    </row>
    <row r="782" spans="2:19" hidden="1" outlineLevel="1">
      <c r="B782" s="14" t="s">
        <v>39</v>
      </c>
      <c r="C782" s="15" t="s">
        <v>66</v>
      </c>
      <c r="D782" s="52">
        <v>2048</v>
      </c>
      <c r="E782" s="34">
        <v>3</v>
      </c>
      <c r="F782" s="38">
        <f t="shared" si="125"/>
        <v>20621.214938780653</v>
      </c>
      <c r="G782" s="34">
        <f t="shared" si="126"/>
        <v>16</v>
      </c>
      <c r="H782" s="34">
        <f t="shared" si="127"/>
        <v>2</v>
      </c>
      <c r="I782" s="34" t="str">
        <f t="shared" si="131"/>
        <v/>
      </c>
      <c r="J782" s="34" t="str">
        <f t="shared" si="131"/>
        <v/>
      </c>
      <c r="K782" s="34" t="str">
        <f t="shared" si="131"/>
        <v/>
      </c>
      <c r="L782" s="34" t="str">
        <f t="shared" si="131"/>
        <v/>
      </c>
      <c r="M782" s="34" t="str">
        <f t="shared" si="131"/>
        <v/>
      </c>
      <c r="N782" s="34" t="str">
        <f t="shared" si="131"/>
        <v/>
      </c>
      <c r="O782" s="34" t="str">
        <f t="shared" si="131"/>
        <v/>
      </c>
      <c r="P782" s="34">
        <f t="shared" si="131"/>
        <v>84</v>
      </c>
      <c r="Q782" s="34">
        <f t="shared" si="131"/>
        <v>94</v>
      </c>
      <c r="R782" s="34">
        <f t="shared" si="131"/>
        <v>106</v>
      </c>
      <c r="S782" s="35">
        <f t="shared" si="129"/>
        <v>84</v>
      </c>
    </row>
    <row r="783" spans="2:19" hidden="1" outlineLevel="1">
      <c r="B783" s="14" t="s">
        <v>39</v>
      </c>
      <c r="C783" s="15" t="s">
        <v>66</v>
      </c>
      <c r="D783" s="52">
        <v>2048</v>
      </c>
      <c r="E783" s="34">
        <v>4</v>
      </c>
      <c r="F783" s="38">
        <f t="shared" si="125"/>
        <v>20621.214938780653</v>
      </c>
      <c r="G783" s="34">
        <f t="shared" si="126"/>
        <v>16</v>
      </c>
      <c r="H783" s="34">
        <f t="shared" si="127"/>
        <v>2</v>
      </c>
      <c r="I783" s="34" t="str">
        <f t="shared" si="131"/>
        <v/>
      </c>
      <c r="J783" s="34" t="str">
        <f t="shared" si="131"/>
        <v/>
      </c>
      <c r="K783" s="34" t="str">
        <f t="shared" si="131"/>
        <v/>
      </c>
      <c r="L783" s="34" t="str">
        <f t="shared" si="131"/>
        <v/>
      </c>
      <c r="M783" s="34" t="str">
        <f t="shared" si="131"/>
        <v/>
      </c>
      <c r="N783" s="34" t="str">
        <f t="shared" si="131"/>
        <v/>
      </c>
      <c r="O783" s="34" t="str">
        <f t="shared" si="131"/>
        <v/>
      </c>
      <c r="P783" s="34">
        <f t="shared" si="131"/>
        <v>84</v>
      </c>
      <c r="Q783" s="34">
        <f t="shared" si="131"/>
        <v>93</v>
      </c>
      <c r="R783" s="34">
        <f t="shared" si="131"/>
        <v>105</v>
      </c>
      <c r="S783" s="35">
        <f t="shared" si="129"/>
        <v>84</v>
      </c>
    </row>
    <row r="784" spans="2:19" hidden="1" outlineLevel="1">
      <c r="B784" s="14" t="s">
        <v>39</v>
      </c>
      <c r="C784" s="15" t="s">
        <v>66</v>
      </c>
      <c r="D784" s="52">
        <v>2048</v>
      </c>
      <c r="E784" s="34">
        <v>5</v>
      </c>
      <c r="F784" s="38">
        <f t="shared" si="125"/>
        <v>20621.214938780653</v>
      </c>
      <c r="G784" s="34">
        <f t="shared" si="126"/>
        <v>16</v>
      </c>
      <c r="H784" s="34">
        <f t="shared" si="127"/>
        <v>2</v>
      </c>
      <c r="I784" s="34" t="str">
        <f t="shared" si="131"/>
        <v/>
      </c>
      <c r="J784" s="34" t="str">
        <f t="shared" si="131"/>
        <v/>
      </c>
      <c r="K784" s="34" t="str">
        <f t="shared" si="131"/>
        <v/>
      </c>
      <c r="L784" s="34" t="str">
        <f t="shared" si="131"/>
        <v/>
      </c>
      <c r="M784" s="34" t="str">
        <f t="shared" si="131"/>
        <v/>
      </c>
      <c r="N784" s="34" t="str">
        <f t="shared" si="131"/>
        <v/>
      </c>
      <c r="O784" s="34" t="str">
        <f t="shared" si="131"/>
        <v/>
      </c>
      <c r="P784" s="34">
        <f t="shared" si="131"/>
        <v>84</v>
      </c>
      <c r="Q784" s="34">
        <f t="shared" si="131"/>
        <v>92</v>
      </c>
      <c r="R784" s="34">
        <f t="shared" si="131"/>
        <v>104</v>
      </c>
      <c r="S784" s="35">
        <f t="shared" si="129"/>
        <v>84</v>
      </c>
    </row>
    <row r="785" spans="2:19" hidden="1" outlineLevel="1">
      <c r="B785" s="14" t="s">
        <v>39</v>
      </c>
      <c r="C785" s="15" t="s">
        <v>66</v>
      </c>
      <c r="D785" s="52">
        <v>2048</v>
      </c>
      <c r="E785" s="34">
        <v>6</v>
      </c>
      <c r="F785" s="38">
        <f t="shared" si="125"/>
        <v>20621.214938780653</v>
      </c>
      <c r="G785" s="34">
        <f t="shared" si="126"/>
        <v>16</v>
      </c>
      <c r="H785" s="34">
        <f t="shared" si="127"/>
        <v>2</v>
      </c>
      <c r="I785" s="34" t="str">
        <f t="shared" si="131"/>
        <v/>
      </c>
      <c r="J785" s="34" t="str">
        <f t="shared" si="131"/>
        <v/>
      </c>
      <c r="K785" s="34" t="str">
        <f t="shared" si="131"/>
        <v/>
      </c>
      <c r="L785" s="34" t="str">
        <f t="shared" si="131"/>
        <v/>
      </c>
      <c r="M785" s="34" t="str">
        <f t="shared" si="131"/>
        <v/>
      </c>
      <c r="N785" s="34" t="str">
        <f t="shared" si="131"/>
        <v/>
      </c>
      <c r="O785" s="34" t="str">
        <f t="shared" si="131"/>
        <v/>
      </c>
      <c r="P785" s="34">
        <f t="shared" si="131"/>
        <v>84</v>
      </c>
      <c r="Q785" s="34">
        <f t="shared" si="131"/>
        <v>91</v>
      </c>
      <c r="R785" s="34">
        <f t="shared" si="131"/>
        <v>103</v>
      </c>
      <c r="S785" s="35">
        <f t="shared" si="129"/>
        <v>84</v>
      </c>
    </row>
    <row r="786" spans="2:19" hidden="1" outlineLevel="1">
      <c r="B786" s="14" t="s">
        <v>39</v>
      </c>
      <c r="C786" s="15" t="s">
        <v>66</v>
      </c>
      <c r="D786" s="52">
        <v>2048</v>
      </c>
      <c r="E786" s="34">
        <v>7</v>
      </c>
      <c r="F786" s="38">
        <f t="shared" si="125"/>
        <v>20621.214938780653</v>
      </c>
      <c r="G786" s="34">
        <f t="shared" si="126"/>
        <v>16</v>
      </c>
      <c r="H786" s="34">
        <f t="shared" si="127"/>
        <v>2</v>
      </c>
      <c r="I786" s="34" t="str">
        <f t="shared" si="131"/>
        <v/>
      </c>
      <c r="J786" s="34" t="str">
        <f t="shared" si="131"/>
        <v/>
      </c>
      <c r="K786" s="34" t="str">
        <f t="shared" si="131"/>
        <v/>
      </c>
      <c r="L786" s="34" t="str">
        <f t="shared" si="131"/>
        <v/>
      </c>
      <c r="M786" s="34" t="str">
        <f t="shared" si="131"/>
        <v/>
      </c>
      <c r="N786" s="34" t="str">
        <f t="shared" si="131"/>
        <v/>
      </c>
      <c r="O786" s="34" t="str">
        <f t="shared" si="131"/>
        <v/>
      </c>
      <c r="P786" s="34">
        <f t="shared" si="131"/>
        <v>84</v>
      </c>
      <c r="Q786" s="34">
        <f t="shared" si="131"/>
        <v>90</v>
      </c>
      <c r="R786" s="34">
        <f t="shared" si="131"/>
        <v>102</v>
      </c>
      <c r="S786" s="35">
        <f t="shared" si="129"/>
        <v>84</v>
      </c>
    </row>
    <row r="787" spans="2:19" hidden="1" outlineLevel="1">
      <c r="B787" s="14" t="s">
        <v>39</v>
      </c>
      <c r="C787" s="15" t="s">
        <v>66</v>
      </c>
      <c r="D787" s="52">
        <v>2048</v>
      </c>
      <c r="E787" s="34">
        <v>8</v>
      </c>
      <c r="F787" s="38">
        <f t="shared" si="125"/>
        <v>20621.214938780653</v>
      </c>
      <c r="G787" s="34">
        <f t="shared" si="126"/>
        <v>16</v>
      </c>
      <c r="H787" s="34">
        <f t="shared" si="127"/>
        <v>2</v>
      </c>
      <c r="I787" s="34" t="str">
        <f t="shared" si="131"/>
        <v/>
      </c>
      <c r="J787" s="34" t="str">
        <f t="shared" si="131"/>
        <v/>
      </c>
      <c r="K787" s="34" t="str">
        <f t="shared" si="131"/>
        <v/>
      </c>
      <c r="L787" s="34" t="str">
        <f t="shared" si="131"/>
        <v/>
      </c>
      <c r="M787" s="34" t="str">
        <f t="shared" si="131"/>
        <v/>
      </c>
      <c r="N787" s="34" t="str">
        <f t="shared" si="131"/>
        <v/>
      </c>
      <c r="O787" s="34" t="str">
        <f t="shared" si="131"/>
        <v/>
      </c>
      <c r="P787" s="34">
        <f t="shared" si="131"/>
        <v>84</v>
      </c>
      <c r="Q787" s="34">
        <f t="shared" si="131"/>
        <v>89</v>
      </c>
      <c r="R787" s="34">
        <f t="shared" si="131"/>
        <v>101</v>
      </c>
      <c r="S787" s="35">
        <f t="shared" si="129"/>
        <v>84</v>
      </c>
    </row>
    <row r="788" spans="2:19" hidden="1" outlineLevel="1">
      <c r="B788" s="14" t="s">
        <v>39</v>
      </c>
      <c r="C788" s="15" t="s">
        <v>66</v>
      </c>
      <c r="D788" s="52">
        <v>2048</v>
      </c>
      <c r="E788" s="34">
        <v>9</v>
      </c>
      <c r="F788" s="38">
        <f t="shared" si="125"/>
        <v>20621.214938780653</v>
      </c>
      <c r="G788" s="34">
        <f t="shared" si="126"/>
        <v>16</v>
      </c>
      <c r="H788" s="34">
        <f t="shared" si="127"/>
        <v>2</v>
      </c>
      <c r="I788" s="34" t="str">
        <f t="shared" si="131"/>
        <v/>
      </c>
      <c r="J788" s="34" t="str">
        <f t="shared" si="131"/>
        <v/>
      </c>
      <c r="K788" s="34" t="str">
        <f t="shared" si="131"/>
        <v/>
      </c>
      <c r="L788" s="34" t="str">
        <f t="shared" si="131"/>
        <v/>
      </c>
      <c r="M788" s="34" t="str">
        <f t="shared" si="131"/>
        <v/>
      </c>
      <c r="N788" s="34" t="str">
        <f t="shared" si="131"/>
        <v/>
      </c>
      <c r="O788" s="34" t="str">
        <f t="shared" si="131"/>
        <v/>
      </c>
      <c r="P788" s="34">
        <f t="shared" si="131"/>
        <v>84</v>
      </c>
      <c r="Q788" s="34">
        <f t="shared" si="131"/>
        <v>88</v>
      </c>
      <c r="R788" s="34">
        <f t="shared" si="131"/>
        <v>100</v>
      </c>
      <c r="S788" s="35">
        <f t="shared" si="129"/>
        <v>84</v>
      </c>
    </row>
    <row r="789" spans="2:19" hidden="1" outlineLevel="1">
      <c r="B789" s="14" t="s">
        <v>39</v>
      </c>
      <c r="C789" s="15" t="s">
        <v>66</v>
      </c>
      <c r="D789" s="52">
        <v>2048</v>
      </c>
      <c r="E789" s="34">
        <v>10</v>
      </c>
      <c r="F789" s="38">
        <f t="shared" si="125"/>
        <v>20621.214938780653</v>
      </c>
      <c r="G789" s="34">
        <f t="shared" si="126"/>
        <v>16</v>
      </c>
      <c r="H789" s="34">
        <f t="shared" si="127"/>
        <v>2</v>
      </c>
      <c r="I789" s="34" t="str">
        <f t="shared" si="131"/>
        <v/>
      </c>
      <c r="J789" s="34" t="str">
        <f t="shared" si="131"/>
        <v/>
      </c>
      <c r="K789" s="34" t="str">
        <f t="shared" si="131"/>
        <v/>
      </c>
      <c r="L789" s="34" t="str">
        <f t="shared" si="131"/>
        <v/>
      </c>
      <c r="M789" s="34" t="str">
        <f t="shared" si="131"/>
        <v/>
      </c>
      <c r="N789" s="34" t="str">
        <f t="shared" si="131"/>
        <v/>
      </c>
      <c r="O789" s="34" t="str">
        <f t="shared" si="131"/>
        <v/>
      </c>
      <c r="P789" s="34">
        <f t="shared" si="131"/>
        <v>84</v>
      </c>
      <c r="Q789" s="34">
        <f t="shared" si="131"/>
        <v>87</v>
      </c>
      <c r="R789" s="34">
        <f t="shared" si="131"/>
        <v>99</v>
      </c>
      <c r="S789" s="35">
        <f t="shared" si="129"/>
        <v>84</v>
      </c>
    </row>
    <row r="790" spans="2:19" hidden="1" outlineLevel="1">
      <c r="B790" s="14" t="s">
        <v>39</v>
      </c>
      <c r="C790" s="15" t="s">
        <v>66</v>
      </c>
      <c r="D790" s="52">
        <v>2048</v>
      </c>
      <c r="E790" s="34">
        <v>11</v>
      </c>
      <c r="F790" s="38">
        <f t="shared" si="125"/>
        <v>20621.214938780653</v>
      </c>
      <c r="G790" s="34">
        <f t="shared" si="126"/>
        <v>16</v>
      </c>
      <c r="H790" s="34">
        <f t="shared" si="127"/>
        <v>2</v>
      </c>
      <c r="I790" s="34" t="str">
        <f t="shared" ref="I790:R799" si="132">IF($D790&lt;$Z$18,"",IF(MAX($G790,INDEX($C$65:$F$108,$D790+I$119-2026,$H790))&lt;=12*I$119-$E790+12,MAX($G790,12*I$119-$E790+1,INDEX($C$65:$F$108,$D790+I$119-2026,$H790)),""))</f>
        <v/>
      </c>
      <c r="J790" s="34" t="str">
        <f t="shared" si="132"/>
        <v/>
      </c>
      <c r="K790" s="34" t="str">
        <f t="shared" si="132"/>
        <v/>
      </c>
      <c r="L790" s="34" t="str">
        <f t="shared" si="132"/>
        <v/>
      </c>
      <c r="M790" s="34" t="str">
        <f t="shared" si="132"/>
        <v/>
      </c>
      <c r="N790" s="34" t="str">
        <f t="shared" si="132"/>
        <v/>
      </c>
      <c r="O790" s="34" t="str">
        <f t="shared" si="132"/>
        <v/>
      </c>
      <c r="P790" s="34">
        <f t="shared" si="132"/>
        <v>84</v>
      </c>
      <c r="Q790" s="34">
        <f t="shared" si="132"/>
        <v>86</v>
      </c>
      <c r="R790" s="34">
        <f t="shared" si="132"/>
        <v>98</v>
      </c>
      <c r="S790" s="35">
        <f t="shared" si="129"/>
        <v>84</v>
      </c>
    </row>
    <row r="791" spans="2:19" hidden="1" outlineLevel="1">
      <c r="B791" s="14" t="s">
        <v>39</v>
      </c>
      <c r="C791" s="15" t="s">
        <v>66</v>
      </c>
      <c r="D791" s="52">
        <v>2048</v>
      </c>
      <c r="E791" s="34">
        <v>12</v>
      </c>
      <c r="F791" s="38">
        <f t="shared" si="125"/>
        <v>20621.214938780653</v>
      </c>
      <c r="G791" s="34">
        <f t="shared" si="126"/>
        <v>16</v>
      </c>
      <c r="H791" s="34">
        <f t="shared" si="127"/>
        <v>2</v>
      </c>
      <c r="I791" s="34" t="str">
        <f t="shared" si="132"/>
        <v/>
      </c>
      <c r="J791" s="34" t="str">
        <f t="shared" si="132"/>
        <v/>
      </c>
      <c r="K791" s="34" t="str">
        <f t="shared" si="132"/>
        <v/>
      </c>
      <c r="L791" s="34" t="str">
        <f t="shared" si="132"/>
        <v/>
      </c>
      <c r="M791" s="34" t="str">
        <f t="shared" si="132"/>
        <v/>
      </c>
      <c r="N791" s="34" t="str">
        <f t="shared" si="132"/>
        <v/>
      </c>
      <c r="O791" s="34" t="str">
        <f t="shared" si="132"/>
        <v/>
      </c>
      <c r="P791" s="34">
        <f t="shared" si="132"/>
        <v>84</v>
      </c>
      <c r="Q791" s="34">
        <f t="shared" si="132"/>
        <v>85</v>
      </c>
      <c r="R791" s="34">
        <f t="shared" si="132"/>
        <v>97</v>
      </c>
      <c r="S791" s="35">
        <f t="shared" si="129"/>
        <v>84</v>
      </c>
    </row>
    <row r="792" spans="2:19" hidden="1" outlineLevel="1">
      <c r="B792" s="14" t="s">
        <v>39</v>
      </c>
      <c r="C792" s="15" t="s">
        <v>66</v>
      </c>
      <c r="D792" s="52">
        <v>2049</v>
      </c>
      <c r="E792" s="34">
        <v>1</v>
      </c>
      <c r="F792" s="38">
        <f t="shared" si="125"/>
        <v>20655.417973689775</v>
      </c>
      <c r="G792" s="34">
        <f t="shared" si="126"/>
        <v>16</v>
      </c>
      <c r="H792" s="34">
        <f t="shared" si="127"/>
        <v>2</v>
      </c>
      <c r="I792" s="34" t="str">
        <f t="shared" si="132"/>
        <v/>
      </c>
      <c r="J792" s="34" t="str">
        <f t="shared" si="132"/>
        <v/>
      </c>
      <c r="K792" s="34" t="str">
        <f t="shared" si="132"/>
        <v/>
      </c>
      <c r="L792" s="34" t="str">
        <f t="shared" si="132"/>
        <v/>
      </c>
      <c r="M792" s="34" t="str">
        <f t="shared" si="132"/>
        <v/>
      </c>
      <c r="N792" s="34" t="str">
        <f t="shared" si="132"/>
        <v/>
      </c>
      <c r="O792" s="34" t="str">
        <f t="shared" si="132"/>
        <v/>
      </c>
      <c r="P792" s="34">
        <f t="shared" si="132"/>
        <v>84</v>
      </c>
      <c r="Q792" s="34">
        <f t="shared" si="132"/>
        <v>96</v>
      </c>
      <c r="R792" s="34">
        <f t="shared" si="132"/>
        <v>108</v>
      </c>
      <c r="S792" s="35">
        <f t="shared" si="129"/>
        <v>84</v>
      </c>
    </row>
    <row r="793" spans="2:19" hidden="1" outlineLevel="1">
      <c r="B793" s="14" t="s">
        <v>39</v>
      </c>
      <c r="C793" s="15" t="s">
        <v>66</v>
      </c>
      <c r="D793" s="52">
        <v>2049</v>
      </c>
      <c r="E793" s="34">
        <v>2</v>
      </c>
      <c r="F793" s="38">
        <f t="shared" si="125"/>
        <v>20655.417973689775</v>
      </c>
      <c r="G793" s="34">
        <f t="shared" si="126"/>
        <v>16</v>
      </c>
      <c r="H793" s="34">
        <f t="shared" si="127"/>
        <v>2</v>
      </c>
      <c r="I793" s="34" t="str">
        <f t="shared" si="132"/>
        <v/>
      </c>
      <c r="J793" s="34" t="str">
        <f t="shared" si="132"/>
        <v/>
      </c>
      <c r="K793" s="34" t="str">
        <f t="shared" si="132"/>
        <v/>
      </c>
      <c r="L793" s="34" t="str">
        <f t="shared" si="132"/>
        <v/>
      </c>
      <c r="M793" s="34" t="str">
        <f t="shared" si="132"/>
        <v/>
      </c>
      <c r="N793" s="34" t="str">
        <f t="shared" si="132"/>
        <v/>
      </c>
      <c r="O793" s="34" t="str">
        <f t="shared" si="132"/>
        <v/>
      </c>
      <c r="P793" s="34">
        <f t="shared" si="132"/>
        <v>84</v>
      </c>
      <c r="Q793" s="34">
        <f t="shared" si="132"/>
        <v>95</v>
      </c>
      <c r="R793" s="34">
        <f t="shared" si="132"/>
        <v>107</v>
      </c>
      <c r="S793" s="35">
        <f t="shared" si="129"/>
        <v>84</v>
      </c>
    </row>
    <row r="794" spans="2:19" hidden="1" outlineLevel="1">
      <c r="B794" s="14" t="s">
        <v>39</v>
      </c>
      <c r="C794" s="15" t="s">
        <v>66</v>
      </c>
      <c r="D794" s="52">
        <v>2049</v>
      </c>
      <c r="E794" s="34">
        <v>3</v>
      </c>
      <c r="F794" s="38">
        <f t="shared" si="125"/>
        <v>20655.417973689775</v>
      </c>
      <c r="G794" s="34">
        <f t="shared" si="126"/>
        <v>16</v>
      </c>
      <c r="H794" s="34">
        <f t="shared" si="127"/>
        <v>2</v>
      </c>
      <c r="I794" s="34" t="str">
        <f t="shared" si="132"/>
        <v/>
      </c>
      <c r="J794" s="34" t="str">
        <f t="shared" si="132"/>
        <v/>
      </c>
      <c r="K794" s="34" t="str">
        <f t="shared" si="132"/>
        <v/>
      </c>
      <c r="L794" s="34" t="str">
        <f t="shared" si="132"/>
        <v/>
      </c>
      <c r="M794" s="34" t="str">
        <f t="shared" si="132"/>
        <v/>
      </c>
      <c r="N794" s="34" t="str">
        <f t="shared" si="132"/>
        <v/>
      </c>
      <c r="O794" s="34" t="str">
        <f t="shared" si="132"/>
        <v/>
      </c>
      <c r="P794" s="34">
        <f t="shared" si="132"/>
        <v>84</v>
      </c>
      <c r="Q794" s="34">
        <f t="shared" si="132"/>
        <v>94</v>
      </c>
      <c r="R794" s="34">
        <f t="shared" si="132"/>
        <v>106</v>
      </c>
      <c r="S794" s="35">
        <f t="shared" si="129"/>
        <v>84</v>
      </c>
    </row>
    <row r="795" spans="2:19" hidden="1" outlineLevel="1">
      <c r="B795" s="14" t="s">
        <v>39</v>
      </c>
      <c r="C795" s="15" t="s">
        <v>66</v>
      </c>
      <c r="D795" s="52">
        <v>2049</v>
      </c>
      <c r="E795" s="34">
        <v>4</v>
      </c>
      <c r="F795" s="38">
        <f t="shared" si="125"/>
        <v>20655.417973689775</v>
      </c>
      <c r="G795" s="34">
        <f t="shared" si="126"/>
        <v>16</v>
      </c>
      <c r="H795" s="34">
        <f t="shared" si="127"/>
        <v>2</v>
      </c>
      <c r="I795" s="34" t="str">
        <f t="shared" si="132"/>
        <v/>
      </c>
      <c r="J795" s="34" t="str">
        <f t="shared" si="132"/>
        <v/>
      </c>
      <c r="K795" s="34" t="str">
        <f t="shared" si="132"/>
        <v/>
      </c>
      <c r="L795" s="34" t="str">
        <f t="shared" si="132"/>
        <v/>
      </c>
      <c r="M795" s="34" t="str">
        <f t="shared" si="132"/>
        <v/>
      </c>
      <c r="N795" s="34" t="str">
        <f t="shared" si="132"/>
        <v/>
      </c>
      <c r="O795" s="34" t="str">
        <f t="shared" si="132"/>
        <v/>
      </c>
      <c r="P795" s="34">
        <f t="shared" si="132"/>
        <v>84</v>
      </c>
      <c r="Q795" s="34">
        <f t="shared" si="132"/>
        <v>93</v>
      </c>
      <c r="R795" s="34">
        <f t="shared" si="132"/>
        <v>105</v>
      </c>
      <c r="S795" s="35">
        <f t="shared" si="129"/>
        <v>84</v>
      </c>
    </row>
    <row r="796" spans="2:19" hidden="1" outlineLevel="1">
      <c r="B796" s="14" t="s">
        <v>39</v>
      </c>
      <c r="C796" s="15" t="s">
        <v>66</v>
      </c>
      <c r="D796" s="52">
        <v>2049</v>
      </c>
      <c r="E796" s="34">
        <v>5</v>
      </c>
      <c r="F796" s="38">
        <f t="shared" si="125"/>
        <v>20655.417973689775</v>
      </c>
      <c r="G796" s="34">
        <f t="shared" si="126"/>
        <v>16</v>
      </c>
      <c r="H796" s="34">
        <f t="shared" si="127"/>
        <v>2</v>
      </c>
      <c r="I796" s="34" t="str">
        <f t="shared" si="132"/>
        <v/>
      </c>
      <c r="J796" s="34" t="str">
        <f t="shared" si="132"/>
        <v/>
      </c>
      <c r="K796" s="34" t="str">
        <f t="shared" si="132"/>
        <v/>
      </c>
      <c r="L796" s="34" t="str">
        <f t="shared" si="132"/>
        <v/>
      </c>
      <c r="M796" s="34" t="str">
        <f t="shared" si="132"/>
        <v/>
      </c>
      <c r="N796" s="34" t="str">
        <f t="shared" si="132"/>
        <v/>
      </c>
      <c r="O796" s="34" t="str">
        <f t="shared" si="132"/>
        <v/>
      </c>
      <c r="P796" s="34">
        <f t="shared" si="132"/>
        <v>84</v>
      </c>
      <c r="Q796" s="34">
        <f t="shared" si="132"/>
        <v>92</v>
      </c>
      <c r="R796" s="34">
        <f t="shared" si="132"/>
        <v>104</v>
      </c>
      <c r="S796" s="35">
        <f t="shared" si="129"/>
        <v>84</v>
      </c>
    </row>
    <row r="797" spans="2:19" hidden="1" outlineLevel="1">
      <c r="B797" s="14" t="s">
        <v>39</v>
      </c>
      <c r="C797" s="15" t="s">
        <v>66</v>
      </c>
      <c r="D797" s="52">
        <v>2049</v>
      </c>
      <c r="E797" s="34">
        <v>6</v>
      </c>
      <c r="F797" s="38">
        <f t="shared" si="125"/>
        <v>20655.417973689775</v>
      </c>
      <c r="G797" s="34">
        <f t="shared" si="126"/>
        <v>16</v>
      </c>
      <c r="H797" s="34">
        <f t="shared" si="127"/>
        <v>2</v>
      </c>
      <c r="I797" s="34" t="str">
        <f t="shared" si="132"/>
        <v/>
      </c>
      <c r="J797" s="34" t="str">
        <f t="shared" si="132"/>
        <v/>
      </c>
      <c r="K797" s="34" t="str">
        <f t="shared" si="132"/>
        <v/>
      </c>
      <c r="L797" s="34" t="str">
        <f t="shared" si="132"/>
        <v/>
      </c>
      <c r="M797" s="34" t="str">
        <f t="shared" si="132"/>
        <v/>
      </c>
      <c r="N797" s="34" t="str">
        <f t="shared" si="132"/>
        <v/>
      </c>
      <c r="O797" s="34" t="str">
        <f t="shared" si="132"/>
        <v/>
      </c>
      <c r="P797" s="34">
        <f t="shared" si="132"/>
        <v>84</v>
      </c>
      <c r="Q797" s="34">
        <f t="shared" si="132"/>
        <v>91</v>
      </c>
      <c r="R797" s="34">
        <f t="shared" si="132"/>
        <v>103</v>
      </c>
      <c r="S797" s="35">
        <f t="shared" si="129"/>
        <v>84</v>
      </c>
    </row>
    <row r="798" spans="2:19" hidden="1" outlineLevel="1">
      <c r="B798" s="14" t="s">
        <v>39</v>
      </c>
      <c r="C798" s="15" t="s">
        <v>66</v>
      </c>
      <c r="D798" s="52">
        <v>2049</v>
      </c>
      <c r="E798" s="34">
        <v>7</v>
      </c>
      <c r="F798" s="38">
        <f t="shared" si="125"/>
        <v>20655.417973689775</v>
      </c>
      <c r="G798" s="34">
        <f t="shared" si="126"/>
        <v>16</v>
      </c>
      <c r="H798" s="34">
        <f t="shared" si="127"/>
        <v>2</v>
      </c>
      <c r="I798" s="34" t="str">
        <f t="shared" si="132"/>
        <v/>
      </c>
      <c r="J798" s="34" t="str">
        <f t="shared" si="132"/>
        <v/>
      </c>
      <c r="K798" s="34" t="str">
        <f t="shared" si="132"/>
        <v/>
      </c>
      <c r="L798" s="34" t="str">
        <f t="shared" si="132"/>
        <v/>
      </c>
      <c r="M798" s="34" t="str">
        <f t="shared" si="132"/>
        <v/>
      </c>
      <c r="N798" s="34" t="str">
        <f t="shared" si="132"/>
        <v/>
      </c>
      <c r="O798" s="34" t="str">
        <f t="shared" si="132"/>
        <v/>
      </c>
      <c r="P798" s="34">
        <f t="shared" si="132"/>
        <v>84</v>
      </c>
      <c r="Q798" s="34">
        <f t="shared" si="132"/>
        <v>90</v>
      </c>
      <c r="R798" s="34">
        <f t="shared" si="132"/>
        <v>102</v>
      </c>
      <c r="S798" s="35">
        <f t="shared" si="129"/>
        <v>84</v>
      </c>
    </row>
    <row r="799" spans="2:19" hidden="1" outlineLevel="1">
      <c r="B799" s="14" t="s">
        <v>39</v>
      </c>
      <c r="C799" s="15" t="s">
        <v>66</v>
      </c>
      <c r="D799" s="52">
        <v>2049</v>
      </c>
      <c r="E799" s="34">
        <v>8</v>
      </c>
      <c r="F799" s="38">
        <f t="shared" si="125"/>
        <v>20655.417973689775</v>
      </c>
      <c r="G799" s="34">
        <f t="shared" si="126"/>
        <v>16</v>
      </c>
      <c r="H799" s="34">
        <f t="shared" si="127"/>
        <v>2</v>
      </c>
      <c r="I799" s="34" t="str">
        <f t="shared" si="132"/>
        <v/>
      </c>
      <c r="J799" s="34" t="str">
        <f t="shared" si="132"/>
        <v/>
      </c>
      <c r="K799" s="34" t="str">
        <f t="shared" si="132"/>
        <v/>
      </c>
      <c r="L799" s="34" t="str">
        <f t="shared" si="132"/>
        <v/>
      </c>
      <c r="M799" s="34" t="str">
        <f t="shared" si="132"/>
        <v/>
      </c>
      <c r="N799" s="34" t="str">
        <f t="shared" si="132"/>
        <v/>
      </c>
      <c r="O799" s="34" t="str">
        <f t="shared" si="132"/>
        <v/>
      </c>
      <c r="P799" s="34">
        <f t="shared" si="132"/>
        <v>84</v>
      </c>
      <c r="Q799" s="34">
        <f t="shared" si="132"/>
        <v>89</v>
      </c>
      <c r="R799" s="34">
        <f t="shared" si="132"/>
        <v>101</v>
      </c>
      <c r="S799" s="35">
        <f t="shared" si="129"/>
        <v>84</v>
      </c>
    </row>
    <row r="800" spans="2:19" hidden="1" outlineLevel="1">
      <c r="B800" s="14" t="s">
        <v>39</v>
      </c>
      <c r="C800" s="15" t="s">
        <v>66</v>
      </c>
      <c r="D800" s="52">
        <v>2049</v>
      </c>
      <c r="E800" s="34">
        <v>9</v>
      </c>
      <c r="F800" s="38">
        <f t="shared" si="125"/>
        <v>20655.417973689775</v>
      </c>
      <c r="G800" s="34">
        <f t="shared" si="126"/>
        <v>16</v>
      </c>
      <c r="H800" s="34">
        <f t="shared" si="127"/>
        <v>2</v>
      </c>
      <c r="I800" s="34" t="str">
        <f t="shared" ref="I800:R809" si="133">IF($D800&lt;$Z$18,"",IF(MAX($G800,INDEX($C$65:$F$108,$D800+I$119-2026,$H800))&lt;=12*I$119-$E800+12,MAX($G800,12*I$119-$E800+1,INDEX($C$65:$F$108,$D800+I$119-2026,$H800)),""))</f>
        <v/>
      </c>
      <c r="J800" s="34" t="str">
        <f t="shared" si="133"/>
        <v/>
      </c>
      <c r="K800" s="34" t="str">
        <f t="shared" si="133"/>
        <v/>
      </c>
      <c r="L800" s="34" t="str">
        <f t="shared" si="133"/>
        <v/>
      </c>
      <c r="M800" s="34" t="str">
        <f t="shared" si="133"/>
        <v/>
      </c>
      <c r="N800" s="34" t="str">
        <f t="shared" si="133"/>
        <v/>
      </c>
      <c r="O800" s="34" t="str">
        <f t="shared" si="133"/>
        <v/>
      </c>
      <c r="P800" s="34">
        <f t="shared" si="133"/>
        <v>84</v>
      </c>
      <c r="Q800" s="34">
        <f t="shared" si="133"/>
        <v>88</v>
      </c>
      <c r="R800" s="34">
        <f t="shared" si="133"/>
        <v>100</v>
      </c>
      <c r="S800" s="35">
        <f t="shared" si="129"/>
        <v>84</v>
      </c>
    </row>
    <row r="801" spans="2:19" hidden="1" outlineLevel="1">
      <c r="B801" s="14" t="s">
        <v>39</v>
      </c>
      <c r="C801" s="15" t="s">
        <v>66</v>
      </c>
      <c r="D801" s="52">
        <v>2049</v>
      </c>
      <c r="E801" s="34">
        <v>10</v>
      </c>
      <c r="F801" s="38">
        <f t="shared" si="125"/>
        <v>20655.417973689775</v>
      </c>
      <c r="G801" s="34">
        <f t="shared" si="126"/>
        <v>16</v>
      </c>
      <c r="H801" s="34">
        <f t="shared" si="127"/>
        <v>2</v>
      </c>
      <c r="I801" s="34" t="str">
        <f t="shared" si="133"/>
        <v/>
      </c>
      <c r="J801" s="34" t="str">
        <f t="shared" si="133"/>
        <v/>
      </c>
      <c r="K801" s="34" t="str">
        <f t="shared" si="133"/>
        <v/>
      </c>
      <c r="L801" s="34" t="str">
        <f t="shared" si="133"/>
        <v/>
      </c>
      <c r="M801" s="34" t="str">
        <f t="shared" si="133"/>
        <v/>
      </c>
      <c r="N801" s="34" t="str">
        <f t="shared" si="133"/>
        <v/>
      </c>
      <c r="O801" s="34" t="str">
        <f t="shared" si="133"/>
        <v/>
      </c>
      <c r="P801" s="34">
        <f t="shared" si="133"/>
        <v>84</v>
      </c>
      <c r="Q801" s="34">
        <f t="shared" si="133"/>
        <v>87</v>
      </c>
      <c r="R801" s="34">
        <f t="shared" si="133"/>
        <v>99</v>
      </c>
      <c r="S801" s="35">
        <f t="shared" si="129"/>
        <v>84</v>
      </c>
    </row>
    <row r="802" spans="2:19" hidden="1" outlineLevel="1">
      <c r="B802" s="14" t="s">
        <v>39</v>
      </c>
      <c r="C802" s="15" t="s">
        <v>66</v>
      </c>
      <c r="D802" s="52">
        <v>2049</v>
      </c>
      <c r="E802" s="34">
        <v>11</v>
      </c>
      <c r="F802" s="38">
        <f t="shared" si="125"/>
        <v>20655.417973689775</v>
      </c>
      <c r="G802" s="34">
        <f t="shared" si="126"/>
        <v>16</v>
      </c>
      <c r="H802" s="34">
        <f t="shared" si="127"/>
        <v>2</v>
      </c>
      <c r="I802" s="34" t="str">
        <f t="shared" si="133"/>
        <v/>
      </c>
      <c r="J802" s="34" t="str">
        <f t="shared" si="133"/>
        <v/>
      </c>
      <c r="K802" s="34" t="str">
        <f t="shared" si="133"/>
        <v/>
      </c>
      <c r="L802" s="34" t="str">
        <f t="shared" si="133"/>
        <v/>
      </c>
      <c r="M802" s="34" t="str">
        <f t="shared" si="133"/>
        <v/>
      </c>
      <c r="N802" s="34" t="str">
        <f t="shared" si="133"/>
        <v/>
      </c>
      <c r="O802" s="34" t="str">
        <f t="shared" si="133"/>
        <v/>
      </c>
      <c r="P802" s="34">
        <f t="shared" si="133"/>
        <v>84</v>
      </c>
      <c r="Q802" s="34">
        <f t="shared" si="133"/>
        <v>86</v>
      </c>
      <c r="R802" s="34">
        <f t="shared" si="133"/>
        <v>98</v>
      </c>
      <c r="S802" s="35">
        <f t="shared" si="129"/>
        <v>84</v>
      </c>
    </row>
    <row r="803" spans="2:19" hidden="1" outlineLevel="1">
      <c r="B803" s="14" t="s">
        <v>39</v>
      </c>
      <c r="C803" s="15" t="s">
        <v>66</v>
      </c>
      <c r="D803" s="52">
        <v>2049</v>
      </c>
      <c r="E803" s="34">
        <v>12</v>
      </c>
      <c r="F803" s="38">
        <f t="shared" si="125"/>
        <v>20655.417973689775</v>
      </c>
      <c r="G803" s="34">
        <f t="shared" si="126"/>
        <v>16</v>
      </c>
      <c r="H803" s="34">
        <f t="shared" si="127"/>
        <v>2</v>
      </c>
      <c r="I803" s="34" t="str">
        <f t="shared" si="133"/>
        <v/>
      </c>
      <c r="J803" s="34" t="str">
        <f t="shared" si="133"/>
        <v/>
      </c>
      <c r="K803" s="34" t="str">
        <f t="shared" si="133"/>
        <v/>
      </c>
      <c r="L803" s="34" t="str">
        <f t="shared" si="133"/>
        <v/>
      </c>
      <c r="M803" s="34" t="str">
        <f t="shared" si="133"/>
        <v/>
      </c>
      <c r="N803" s="34" t="str">
        <f t="shared" si="133"/>
        <v/>
      </c>
      <c r="O803" s="34" t="str">
        <f t="shared" si="133"/>
        <v/>
      </c>
      <c r="P803" s="34">
        <f t="shared" si="133"/>
        <v>84</v>
      </c>
      <c r="Q803" s="34">
        <f t="shared" si="133"/>
        <v>85</v>
      </c>
      <c r="R803" s="34">
        <f t="shared" si="133"/>
        <v>97</v>
      </c>
      <c r="S803" s="35">
        <f t="shared" si="129"/>
        <v>84</v>
      </c>
    </row>
    <row r="804" spans="2:19" hidden="1" outlineLevel="1">
      <c r="B804" s="14" t="s">
        <v>39</v>
      </c>
      <c r="C804" s="15" t="s">
        <v>66</v>
      </c>
      <c r="D804" s="52">
        <v>2050</v>
      </c>
      <c r="E804" s="34">
        <v>1</v>
      </c>
      <c r="F804" s="38">
        <f t="shared" si="125"/>
        <v>20675.283702792512</v>
      </c>
      <c r="G804" s="34">
        <f t="shared" si="126"/>
        <v>16</v>
      </c>
      <c r="H804" s="34">
        <f t="shared" si="127"/>
        <v>2</v>
      </c>
      <c r="I804" s="34" t="str">
        <f t="shared" si="133"/>
        <v/>
      </c>
      <c r="J804" s="34" t="str">
        <f t="shared" si="133"/>
        <v/>
      </c>
      <c r="K804" s="34" t="str">
        <f t="shared" si="133"/>
        <v/>
      </c>
      <c r="L804" s="34" t="str">
        <f t="shared" si="133"/>
        <v/>
      </c>
      <c r="M804" s="34" t="str">
        <f t="shared" si="133"/>
        <v/>
      </c>
      <c r="N804" s="34" t="str">
        <f t="shared" si="133"/>
        <v/>
      </c>
      <c r="O804" s="34" t="str">
        <f t="shared" si="133"/>
        <v/>
      </c>
      <c r="P804" s="34">
        <f t="shared" si="133"/>
        <v>84</v>
      </c>
      <c r="Q804" s="34">
        <f t="shared" si="133"/>
        <v>96</v>
      </c>
      <c r="R804" s="34">
        <f t="shared" si="133"/>
        <v>108</v>
      </c>
      <c r="S804" s="35">
        <f t="shared" si="129"/>
        <v>84</v>
      </c>
    </row>
    <row r="805" spans="2:19" hidden="1" outlineLevel="1">
      <c r="B805" s="14" t="s">
        <v>39</v>
      </c>
      <c r="C805" s="15" t="s">
        <v>66</v>
      </c>
      <c r="D805" s="52">
        <v>2050</v>
      </c>
      <c r="E805" s="34">
        <v>2</v>
      </c>
      <c r="F805" s="38">
        <f t="shared" si="125"/>
        <v>20675.283702792512</v>
      </c>
      <c r="G805" s="34">
        <f t="shared" si="126"/>
        <v>16</v>
      </c>
      <c r="H805" s="34">
        <f t="shared" si="127"/>
        <v>2</v>
      </c>
      <c r="I805" s="34" t="str">
        <f t="shared" si="133"/>
        <v/>
      </c>
      <c r="J805" s="34" t="str">
        <f t="shared" si="133"/>
        <v/>
      </c>
      <c r="K805" s="34" t="str">
        <f t="shared" si="133"/>
        <v/>
      </c>
      <c r="L805" s="34" t="str">
        <f t="shared" si="133"/>
        <v/>
      </c>
      <c r="M805" s="34" t="str">
        <f t="shared" si="133"/>
        <v/>
      </c>
      <c r="N805" s="34" t="str">
        <f t="shared" si="133"/>
        <v/>
      </c>
      <c r="O805" s="34" t="str">
        <f t="shared" si="133"/>
        <v/>
      </c>
      <c r="P805" s="34">
        <f t="shared" si="133"/>
        <v>84</v>
      </c>
      <c r="Q805" s="34">
        <f t="shared" si="133"/>
        <v>95</v>
      </c>
      <c r="R805" s="34">
        <f t="shared" si="133"/>
        <v>107</v>
      </c>
      <c r="S805" s="35">
        <f t="shared" si="129"/>
        <v>84</v>
      </c>
    </row>
    <row r="806" spans="2:19" hidden="1" outlineLevel="1">
      <c r="B806" s="14" t="s">
        <v>39</v>
      </c>
      <c r="C806" s="15" t="s">
        <v>66</v>
      </c>
      <c r="D806" s="52">
        <v>2050</v>
      </c>
      <c r="E806" s="34">
        <v>3</v>
      </c>
      <c r="F806" s="38">
        <f t="shared" si="125"/>
        <v>20675.283702792512</v>
      </c>
      <c r="G806" s="34">
        <f t="shared" si="126"/>
        <v>16</v>
      </c>
      <c r="H806" s="34">
        <f t="shared" si="127"/>
        <v>2</v>
      </c>
      <c r="I806" s="34" t="str">
        <f t="shared" si="133"/>
        <v/>
      </c>
      <c r="J806" s="34" t="str">
        <f t="shared" si="133"/>
        <v/>
      </c>
      <c r="K806" s="34" t="str">
        <f t="shared" si="133"/>
        <v/>
      </c>
      <c r="L806" s="34" t="str">
        <f t="shared" si="133"/>
        <v/>
      </c>
      <c r="M806" s="34" t="str">
        <f t="shared" si="133"/>
        <v/>
      </c>
      <c r="N806" s="34" t="str">
        <f t="shared" si="133"/>
        <v/>
      </c>
      <c r="O806" s="34" t="str">
        <f t="shared" si="133"/>
        <v/>
      </c>
      <c r="P806" s="34">
        <f t="shared" si="133"/>
        <v>84</v>
      </c>
      <c r="Q806" s="34">
        <f t="shared" si="133"/>
        <v>94</v>
      </c>
      <c r="R806" s="34">
        <f t="shared" si="133"/>
        <v>106</v>
      </c>
      <c r="S806" s="35">
        <f t="shared" si="129"/>
        <v>84</v>
      </c>
    </row>
    <row r="807" spans="2:19" hidden="1" outlineLevel="1">
      <c r="B807" s="14" t="s">
        <v>39</v>
      </c>
      <c r="C807" s="15" t="s">
        <v>66</v>
      </c>
      <c r="D807" s="52">
        <v>2050</v>
      </c>
      <c r="E807" s="34">
        <v>4</v>
      </c>
      <c r="F807" s="38">
        <f t="shared" si="125"/>
        <v>20675.283702792512</v>
      </c>
      <c r="G807" s="34">
        <f t="shared" si="126"/>
        <v>16</v>
      </c>
      <c r="H807" s="34">
        <f t="shared" si="127"/>
        <v>2</v>
      </c>
      <c r="I807" s="34" t="str">
        <f t="shared" si="133"/>
        <v/>
      </c>
      <c r="J807" s="34" t="str">
        <f t="shared" si="133"/>
        <v/>
      </c>
      <c r="K807" s="34" t="str">
        <f t="shared" si="133"/>
        <v/>
      </c>
      <c r="L807" s="34" t="str">
        <f t="shared" si="133"/>
        <v/>
      </c>
      <c r="M807" s="34" t="str">
        <f t="shared" si="133"/>
        <v/>
      </c>
      <c r="N807" s="34" t="str">
        <f t="shared" si="133"/>
        <v/>
      </c>
      <c r="O807" s="34" t="str">
        <f t="shared" si="133"/>
        <v/>
      </c>
      <c r="P807" s="34">
        <f t="shared" si="133"/>
        <v>84</v>
      </c>
      <c r="Q807" s="34">
        <f t="shared" si="133"/>
        <v>93</v>
      </c>
      <c r="R807" s="34">
        <f t="shared" si="133"/>
        <v>105</v>
      </c>
      <c r="S807" s="35">
        <f t="shared" si="129"/>
        <v>84</v>
      </c>
    </row>
    <row r="808" spans="2:19" hidden="1" outlineLevel="1">
      <c r="B808" s="14" t="s">
        <v>39</v>
      </c>
      <c r="C808" s="15" t="s">
        <v>66</v>
      </c>
      <c r="D808" s="52">
        <v>2050</v>
      </c>
      <c r="E808" s="34">
        <v>5</v>
      </c>
      <c r="F808" s="38">
        <f t="shared" si="125"/>
        <v>20675.283702792512</v>
      </c>
      <c r="G808" s="34">
        <f t="shared" si="126"/>
        <v>16</v>
      </c>
      <c r="H808" s="34">
        <f t="shared" si="127"/>
        <v>2</v>
      </c>
      <c r="I808" s="34" t="str">
        <f t="shared" si="133"/>
        <v/>
      </c>
      <c r="J808" s="34" t="str">
        <f t="shared" si="133"/>
        <v/>
      </c>
      <c r="K808" s="34" t="str">
        <f t="shared" si="133"/>
        <v/>
      </c>
      <c r="L808" s="34" t="str">
        <f t="shared" si="133"/>
        <v/>
      </c>
      <c r="M808" s="34" t="str">
        <f t="shared" si="133"/>
        <v/>
      </c>
      <c r="N808" s="34" t="str">
        <f t="shared" si="133"/>
        <v/>
      </c>
      <c r="O808" s="34" t="str">
        <f t="shared" si="133"/>
        <v/>
      </c>
      <c r="P808" s="34">
        <f t="shared" si="133"/>
        <v>84</v>
      </c>
      <c r="Q808" s="34">
        <f t="shared" si="133"/>
        <v>92</v>
      </c>
      <c r="R808" s="34">
        <f t="shared" si="133"/>
        <v>104</v>
      </c>
      <c r="S808" s="35">
        <f t="shared" si="129"/>
        <v>84</v>
      </c>
    </row>
    <row r="809" spans="2:19" hidden="1" outlineLevel="1">
      <c r="B809" s="14" t="s">
        <v>39</v>
      </c>
      <c r="C809" s="15" t="s">
        <v>66</v>
      </c>
      <c r="D809" s="52">
        <v>2050</v>
      </c>
      <c r="E809" s="34">
        <v>6</v>
      </c>
      <c r="F809" s="38">
        <f t="shared" si="125"/>
        <v>20675.283702792512</v>
      </c>
      <c r="G809" s="34">
        <f t="shared" si="126"/>
        <v>16</v>
      </c>
      <c r="H809" s="34">
        <f t="shared" si="127"/>
        <v>2</v>
      </c>
      <c r="I809" s="34" t="str">
        <f t="shared" si="133"/>
        <v/>
      </c>
      <c r="J809" s="34" t="str">
        <f t="shared" si="133"/>
        <v/>
      </c>
      <c r="K809" s="34" t="str">
        <f t="shared" si="133"/>
        <v/>
      </c>
      <c r="L809" s="34" t="str">
        <f t="shared" si="133"/>
        <v/>
      </c>
      <c r="M809" s="34" t="str">
        <f t="shared" si="133"/>
        <v/>
      </c>
      <c r="N809" s="34" t="str">
        <f t="shared" si="133"/>
        <v/>
      </c>
      <c r="O809" s="34" t="str">
        <f t="shared" si="133"/>
        <v/>
      </c>
      <c r="P809" s="34">
        <f t="shared" si="133"/>
        <v>84</v>
      </c>
      <c r="Q809" s="34">
        <f t="shared" si="133"/>
        <v>91</v>
      </c>
      <c r="R809" s="34">
        <f t="shared" si="133"/>
        <v>103</v>
      </c>
      <c r="S809" s="35">
        <f t="shared" si="129"/>
        <v>84</v>
      </c>
    </row>
    <row r="810" spans="2:19" hidden="1" outlineLevel="1">
      <c r="B810" s="14" t="s">
        <v>39</v>
      </c>
      <c r="C810" s="15" t="s">
        <v>66</v>
      </c>
      <c r="D810" s="52">
        <v>2050</v>
      </c>
      <c r="E810" s="34">
        <v>7</v>
      </c>
      <c r="F810" s="38">
        <f t="shared" si="125"/>
        <v>20675.283702792512</v>
      </c>
      <c r="G810" s="34">
        <f t="shared" si="126"/>
        <v>16</v>
      </c>
      <c r="H810" s="34">
        <f t="shared" si="127"/>
        <v>2</v>
      </c>
      <c r="I810" s="34" t="str">
        <f t="shared" ref="I810:R819" si="134">IF($D810&lt;$Z$18,"",IF(MAX($G810,INDEX($C$65:$F$108,$D810+I$119-2026,$H810))&lt;=12*I$119-$E810+12,MAX($G810,12*I$119-$E810+1,INDEX($C$65:$F$108,$D810+I$119-2026,$H810)),""))</f>
        <v/>
      </c>
      <c r="J810" s="34" t="str">
        <f t="shared" si="134"/>
        <v/>
      </c>
      <c r="K810" s="34" t="str">
        <f t="shared" si="134"/>
        <v/>
      </c>
      <c r="L810" s="34" t="str">
        <f t="shared" si="134"/>
        <v/>
      </c>
      <c r="M810" s="34" t="str">
        <f t="shared" si="134"/>
        <v/>
      </c>
      <c r="N810" s="34" t="str">
        <f t="shared" si="134"/>
        <v/>
      </c>
      <c r="O810" s="34" t="str">
        <f t="shared" si="134"/>
        <v/>
      </c>
      <c r="P810" s="34">
        <f t="shared" si="134"/>
        <v>84</v>
      </c>
      <c r="Q810" s="34">
        <f t="shared" si="134"/>
        <v>90</v>
      </c>
      <c r="R810" s="34">
        <f t="shared" si="134"/>
        <v>102</v>
      </c>
      <c r="S810" s="35">
        <f t="shared" si="129"/>
        <v>84</v>
      </c>
    </row>
    <row r="811" spans="2:19" hidden="1" outlineLevel="1">
      <c r="B811" s="14" t="s">
        <v>39</v>
      </c>
      <c r="C811" s="15" t="s">
        <v>66</v>
      </c>
      <c r="D811" s="52">
        <v>2050</v>
      </c>
      <c r="E811" s="34">
        <v>8</v>
      </c>
      <c r="F811" s="38">
        <f t="shared" si="125"/>
        <v>20675.283702792512</v>
      </c>
      <c r="G811" s="34">
        <f t="shared" si="126"/>
        <v>16</v>
      </c>
      <c r="H811" s="34">
        <f t="shared" si="127"/>
        <v>2</v>
      </c>
      <c r="I811" s="34" t="str">
        <f t="shared" si="134"/>
        <v/>
      </c>
      <c r="J811" s="34" t="str">
        <f t="shared" si="134"/>
        <v/>
      </c>
      <c r="K811" s="34" t="str">
        <f t="shared" si="134"/>
        <v/>
      </c>
      <c r="L811" s="34" t="str">
        <f t="shared" si="134"/>
        <v/>
      </c>
      <c r="M811" s="34" t="str">
        <f t="shared" si="134"/>
        <v/>
      </c>
      <c r="N811" s="34" t="str">
        <f t="shared" si="134"/>
        <v/>
      </c>
      <c r="O811" s="34" t="str">
        <f t="shared" si="134"/>
        <v/>
      </c>
      <c r="P811" s="34">
        <f t="shared" si="134"/>
        <v>84</v>
      </c>
      <c r="Q811" s="34">
        <f t="shared" si="134"/>
        <v>89</v>
      </c>
      <c r="R811" s="34">
        <f t="shared" si="134"/>
        <v>101</v>
      </c>
      <c r="S811" s="35">
        <f t="shared" si="129"/>
        <v>84</v>
      </c>
    </row>
    <row r="812" spans="2:19" hidden="1" outlineLevel="1">
      <c r="B812" s="14" t="s">
        <v>39</v>
      </c>
      <c r="C812" s="15" t="s">
        <v>66</v>
      </c>
      <c r="D812" s="52">
        <v>2050</v>
      </c>
      <c r="E812" s="34">
        <v>9</v>
      </c>
      <c r="F812" s="38">
        <f t="shared" si="125"/>
        <v>20675.283702792512</v>
      </c>
      <c r="G812" s="34">
        <f t="shared" si="126"/>
        <v>16</v>
      </c>
      <c r="H812" s="34">
        <f t="shared" si="127"/>
        <v>2</v>
      </c>
      <c r="I812" s="34" t="str">
        <f t="shared" si="134"/>
        <v/>
      </c>
      <c r="J812" s="34" t="str">
        <f t="shared" si="134"/>
        <v/>
      </c>
      <c r="K812" s="34" t="str">
        <f t="shared" si="134"/>
        <v/>
      </c>
      <c r="L812" s="34" t="str">
        <f t="shared" si="134"/>
        <v/>
      </c>
      <c r="M812" s="34" t="str">
        <f t="shared" si="134"/>
        <v/>
      </c>
      <c r="N812" s="34" t="str">
        <f t="shared" si="134"/>
        <v/>
      </c>
      <c r="O812" s="34" t="str">
        <f t="shared" si="134"/>
        <v/>
      </c>
      <c r="P812" s="34">
        <f t="shared" si="134"/>
        <v>84</v>
      </c>
      <c r="Q812" s="34">
        <f t="shared" si="134"/>
        <v>88</v>
      </c>
      <c r="R812" s="34">
        <f t="shared" si="134"/>
        <v>100</v>
      </c>
      <c r="S812" s="35">
        <f t="shared" si="129"/>
        <v>84</v>
      </c>
    </row>
    <row r="813" spans="2:19" hidden="1" outlineLevel="1">
      <c r="B813" s="14" t="s">
        <v>39</v>
      </c>
      <c r="C813" s="15" t="s">
        <v>66</v>
      </c>
      <c r="D813" s="52">
        <v>2050</v>
      </c>
      <c r="E813" s="34">
        <v>10</v>
      </c>
      <c r="F813" s="38">
        <f t="shared" si="125"/>
        <v>20675.283702792512</v>
      </c>
      <c r="G813" s="34">
        <f t="shared" si="126"/>
        <v>16</v>
      </c>
      <c r="H813" s="34">
        <f t="shared" si="127"/>
        <v>2</v>
      </c>
      <c r="I813" s="34" t="str">
        <f t="shared" si="134"/>
        <v/>
      </c>
      <c r="J813" s="34" t="str">
        <f t="shared" si="134"/>
        <v/>
      </c>
      <c r="K813" s="34" t="str">
        <f t="shared" si="134"/>
        <v/>
      </c>
      <c r="L813" s="34" t="str">
        <f t="shared" si="134"/>
        <v/>
      </c>
      <c r="M813" s="34" t="str">
        <f t="shared" si="134"/>
        <v/>
      </c>
      <c r="N813" s="34" t="str">
        <f t="shared" si="134"/>
        <v/>
      </c>
      <c r="O813" s="34" t="str">
        <f t="shared" si="134"/>
        <v/>
      </c>
      <c r="P813" s="34">
        <f t="shared" si="134"/>
        <v>84</v>
      </c>
      <c r="Q813" s="34">
        <f t="shared" si="134"/>
        <v>87</v>
      </c>
      <c r="R813" s="34">
        <f t="shared" si="134"/>
        <v>99</v>
      </c>
      <c r="S813" s="35">
        <f t="shared" si="129"/>
        <v>84</v>
      </c>
    </row>
    <row r="814" spans="2:19" hidden="1" outlineLevel="1">
      <c r="B814" s="14" t="s">
        <v>39</v>
      </c>
      <c r="C814" s="15" t="s">
        <v>66</v>
      </c>
      <c r="D814" s="52">
        <v>2050</v>
      </c>
      <c r="E814" s="34">
        <v>11</v>
      </c>
      <c r="F814" s="38">
        <f t="shared" si="125"/>
        <v>20675.283702792512</v>
      </c>
      <c r="G814" s="34">
        <f t="shared" si="126"/>
        <v>16</v>
      </c>
      <c r="H814" s="34">
        <f t="shared" si="127"/>
        <v>2</v>
      </c>
      <c r="I814" s="34" t="str">
        <f t="shared" si="134"/>
        <v/>
      </c>
      <c r="J814" s="34" t="str">
        <f t="shared" si="134"/>
        <v/>
      </c>
      <c r="K814" s="34" t="str">
        <f t="shared" si="134"/>
        <v/>
      </c>
      <c r="L814" s="34" t="str">
        <f t="shared" si="134"/>
        <v/>
      </c>
      <c r="M814" s="34" t="str">
        <f t="shared" si="134"/>
        <v/>
      </c>
      <c r="N814" s="34" t="str">
        <f t="shared" si="134"/>
        <v/>
      </c>
      <c r="O814" s="34" t="str">
        <f t="shared" si="134"/>
        <v/>
      </c>
      <c r="P814" s="34">
        <f t="shared" si="134"/>
        <v>84</v>
      </c>
      <c r="Q814" s="34">
        <f t="shared" si="134"/>
        <v>86</v>
      </c>
      <c r="R814" s="34">
        <f t="shared" si="134"/>
        <v>98</v>
      </c>
      <c r="S814" s="35">
        <f t="shared" si="129"/>
        <v>84</v>
      </c>
    </row>
    <row r="815" spans="2:19" hidden="1" outlineLevel="1">
      <c r="B815" s="14" t="s">
        <v>39</v>
      </c>
      <c r="C815" s="15" t="s">
        <v>66</v>
      </c>
      <c r="D815" s="52">
        <v>2050</v>
      </c>
      <c r="E815" s="34">
        <v>12</v>
      </c>
      <c r="F815" s="38">
        <f t="shared" si="125"/>
        <v>20675.283702792512</v>
      </c>
      <c r="G815" s="34">
        <f t="shared" si="126"/>
        <v>16</v>
      </c>
      <c r="H815" s="34">
        <f t="shared" si="127"/>
        <v>2</v>
      </c>
      <c r="I815" s="34" t="str">
        <f t="shared" si="134"/>
        <v/>
      </c>
      <c r="J815" s="34" t="str">
        <f t="shared" si="134"/>
        <v/>
      </c>
      <c r="K815" s="34" t="str">
        <f t="shared" si="134"/>
        <v/>
      </c>
      <c r="L815" s="34" t="str">
        <f t="shared" si="134"/>
        <v/>
      </c>
      <c r="M815" s="34" t="str">
        <f t="shared" si="134"/>
        <v/>
      </c>
      <c r="N815" s="34" t="str">
        <f t="shared" si="134"/>
        <v/>
      </c>
      <c r="O815" s="34" t="str">
        <f t="shared" si="134"/>
        <v/>
      </c>
      <c r="P815" s="34">
        <f t="shared" si="134"/>
        <v>84</v>
      </c>
      <c r="Q815" s="34">
        <f t="shared" si="134"/>
        <v>85</v>
      </c>
      <c r="R815" s="34">
        <f t="shared" si="134"/>
        <v>97</v>
      </c>
      <c r="S815" s="35">
        <f t="shared" si="129"/>
        <v>84</v>
      </c>
    </row>
    <row r="816" spans="2:19" hidden="1" outlineLevel="1">
      <c r="B816" s="14" t="s">
        <v>39</v>
      </c>
      <c r="C816" s="15" t="s">
        <v>66</v>
      </c>
      <c r="D816" s="52">
        <v>2051</v>
      </c>
      <c r="E816" s="34">
        <v>1</v>
      </c>
      <c r="F816" s="38">
        <f t="shared" si="125"/>
        <v>20664.370621344628</v>
      </c>
      <c r="G816" s="34">
        <f t="shared" si="126"/>
        <v>16</v>
      </c>
      <c r="H816" s="34">
        <f t="shared" si="127"/>
        <v>2</v>
      </c>
      <c r="I816" s="34" t="str">
        <f t="shared" si="134"/>
        <v/>
      </c>
      <c r="J816" s="34" t="str">
        <f t="shared" si="134"/>
        <v/>
      </c>
      <c r="K816" s="34" t="str">
        <f t="shared" si="134"/>
        <v/>
      </c>
      <c r="L816" s="34" t="str">
        <f t="shared" si="134"/>
        <v/>
      </c>
      <c r="M816" s="34" t="str">
        <f t="shared" si="134"/>
        <v/>
      </c>
      <c r="N816" s="34" t="str">
        <f t="shared" si="134"/>
        <v/>
      </c>
      <c r="O816" s="34" t="str">
        <f t="shared" si="134"/>
        <v/>
      </c>
      <c r="P816" s="34">
        <f t="shared" si="134"/>
        <v>84</v>
      </c>
      <c r="Q816" s="34">
        <f t="shared" si="134"/>
        <v>96</v>
      </c>
      <c r="R816" s="34">
        <f t="shared" si="134"/>
        <v>108</v>
      </c>
      <c r="S816" s="35">
        <f t="shared" si="129"/>
        <v>84</v>
      </c>
    </row>
    <row r="817" spans="2:19" hidden="1" outlineLevel="1">
      <c r="B817" s="14" t="s">
        <v>39</v>
      </c>
      <c r="C817" s="15" t="s">
        <v>66</v>
      </c>
      <c r="D817" s="52">
        <v>2051</v>
      </c>
      <c r="E817" s="34">
        <v>2</v>
      </c>
      <c r="F817" s="38">
        <f t="shared" si="125"/>
        <v>20664.370621344628</v>
      </c>
      <c r="G817" s="34">
        <f t="shared" si="126"/>
        <v>16</v>
      </c>
      <c r="H817" s="34">
        <f t="shared" si="127"/>
        <v>2</v>
      </c>
      <c r="I817" s="34" t="str">
        <f t="shared" si="134"/>
        <v/>
      </c>
      <c r="J817" s="34" t="str">
        <f t="shared" si="134"/>
        <v/>
      </c>
      <c r="K817" s="34" t="str">
        <f t="shared" si="134"/>
        <v/>
      </c>
      <c r="L817" s="34" t="str">
        <f t="shared" si="134"/>
        <v/>
      </c>
      <c r="M817" s="34" t="str">
        <f t="shared" si="134"/>
        <v/>
      </c>
      <c r="N817" s="34" t="str">
        <f t="shared" si="134"/>
        <v/>
      </c>
      <c r="O817" s="34" t="str">
        <f t="shared" si="134"/>
        <v/>
      </c>
      <c r="P817" s="34">
        <f t="shared" si="134"/>
        <v>84</v>
      </c>
      <c r="Q817" s="34">
        <f t="shared" si="134"/>
        <v>95</v>
      </c>
      <c r="R817" s="34">
        <f t="shared" si="134"/>
        <v>107</v>
      </c>
      <c r="S817" s="35">
        <f t="shared" si="129"/>
        <v>84</v>
      </c>
    </row>
    <row r="818" spans="2:19" hidden="1" outlineLevel="1">
      <c r="B818" s="14" t="s">
        <v>39</v>
      </c>
      <c r="C818" s="15" t="s">
        <v>66</v>
      </c>
      <c r="D818" s="52">
        <v>2051</v>
      </c>
      <c r="E818" s="34">
        <v>3</v>
      </c>
      <c r="F818" s="38">
        <f t="shared" si="125"/>
        <v>20664.370621344628</v>
      </c>
      <c r="G818" s="34">
        <f t="shared" si="126"/>
        <v>16</v>
      </c>
      <c r="H818" s="34">
        <f t="shared" si="127"/>
        <v>2</v>
      </c>
      <c r="I818" s="34" t="str">
        <f t="shared" si="134"/>
        <v/>
      </c>
      <c r="J818" s="34" t="str">
        <f t="shared" si="134"/>
        <v/>
      </c>
      <c r="K818" s="34" t="str">
        <f t="shared" si="134"/>
        <v/>
      </c>
      <c r="L818" s="34" t="str">
        <f t="shared" si="134"/>
        <v/>
      </c>
      <c r="M818" s="34" t="str">
        <f t="shared" si="134"/>
        <v/>
      </c>
      <c r="N818" s="34" t="str">
        <f t="shared" si="134"/>
        <v/>
      </c>
      <c r="O818" s="34" t="str">
        <f t="shared" si="134"/>
        <v/>
      </c>
      <c r="P818" s="34">
        <f t="shared" si="134"/>
        <v>84</v>
      </c>
      <c r="Q818" s="34">
        <f t="shared" si="134"/>
        <v>94</v>
      </c>
      <c r="R818" s="34">
        <f t="shared" si="134"/>
        <v>106</v>
      </c>
      <c r="S818" s="35">
        <f t="shared" si="129"/>
        <v>84</v>
      </c>
    </row>
    <row r="819" spans="2:19" hidden="1" outlineLevel="1">
      <c r="B819" s="14" t="s">
        <v>39</v>
      </c>
      <c r="C819" s="15" t="s">
        <v>66</v>
      </c>
      <c r="D819" s="52">
        <v>2051</v>
      </c>
      <c r="E819" s="34">
        <v>4</v>
      </c>
      <c r="F819" s="38">
        <f t="shared" si="125"/>
        <v>20664.370621344628</v>
      </c>
      <c r="G819" s="34">
        <f t="shared" si="126"/>
        <v>16</v>
      </c>
      <c r="H819" s="34">
        <f t="shared" si="127"/>
        <v>2</v>
      </c>
      <c r="I819" s="34" t="str">
        <f t="shared" si="134"/>
        <v/>
      </c>
      <c r="J819" s="34" t="str">
        <f t="shared" si="134"/>
        <v/>
      </c>
      <c r="K819" s="34" t="str">
        <f t="shared" si="134"/>
        <v/>
      </c>
      <c r="L819" s="34" t="str">
        <f t="shared" si="134"/>
        <v/>
      </c>
      <c r="M819" s="34" t="str">
        <f t="shared" si="134"/>
        <v/>
      </c>
      <c r="N819" s="34" t="str">
        <f t="shared" si="134"/>
        <v/>
      </c>
      <c r="O819" s="34" t="str">
        <f t="shared" si="134"/>
        <v/>
      </c>
      <c r="P819" s="34">
        <f t="shared" si="134"/>
        <v>84</v>
      </c>
      <c r="Q819" s="34">
        <f t="shared" si="134"/>
        <v>93</v>
      </c>
      <c r="R819" s="34">
        <f t="shared" si="134"/>
        <v>105</v>
      </c>
      <c r="S819" s="35">
        <f t="shared" si="129"/>
        <v>84</v>
      </c>
    </row>
    <row r="820" spans="2:19" hidden="1" outlineLevel="1">
      <c r="B820" s="14" t="s">
        <v>39</v>
      </c>
      <c r="C820" s="15" t="s">
        <v>66</v>
      </c>
      <c r="D820" s="52">
        <v>2051</v>
      </c>
      <c r="E820" s="34">
        <v>5</v>
      </c>
      <c r="F820" s="38">
        <f t="shared" si="125"/>
        <v>20664.370621344628</v>
      </c>
      <c r="G820" s="34">
        <f t="shared" si="126"/>
        <v>16</v>
      </c>
      <c r="H820" s="34">
        <f t="shared" si="127"/>
        <v>2</v>
      </c>
      <c r="I820" s="34" t="str">
        <f t="shared" ref="I820:R829" si="135">IF($D820&lt;$Z$18,"",IF(MAX($G820,INDEX($C$65:$F$108,$D820+I$119-2026,$H820))&lt;=12*I$119-$E820+12,MAX($G820,12*I$119-$E820+1,INDEX($C$65:$F$108,$D820+I$119-2026,$H820)),""))</f>
        <v/>
      </c>
      <c r="J820" s="34" t="str">
        <f t="shared" si="135"/>
        <v/>
      </c>
      <c r="K820" s="34" t="str">
        <f t="shared" si="135"/>
        <v/>
      </c>
      <c r="L820" s="34" t="str">
        <f t="shared" si="135"/>
        <v/>
      </c>
      <c r="M820" s="34" t="str">
        <f t="shared" si="135"/>
        <v/>
      </c>
      <c r="N820" s="34" t="str">
        <f t="shared" si="135"/>
        <v/>
      </c>
      <c r="O820" s="34" t="str">
        <f t="shared" si="135"/>
        <v/>
      </c>
      <c r="P820" s="34">
        <f t="shared" si="135"/>
        <v>84</v>
      </c>
      <c r="Q820" s="34">
        <f t="shared" si="135"/>
        <v>92</v>
      </c>
      <c r="R820" s="34">
        <f t="shared" si="135"/>
        <v>104</v>
      </c>
      <c r="S820" s="35">
        <f t="shared" si="129"/>
        <v>84</v>
      </c>
    </row>
    <row r="821" spans="2:19" hidden="1" outlineLevel="1">
      <c r="B821" s="14" t="s">
        <v>39</v>
      </c>
      <c r="C821" s="15" t="s">
        <v>66</v>
      </c>
      <c r="D821" s="52">
        <v>2051</v>
      </c>
      <c r="E821" s="34">
        <v>6</v>
      </c>
      <c r="F821" s="38">
        <f t="shared" si="125"/>
        <v>20664.370621344628</v>
      </c>
      <c r="G821" s="34">
        <f t="shared" si="126"/>
        <v>16</v>
      </c>
      <c r="H821" s="34">
        <f t="shared" si="127"/>
        <v>2</v>
      </c>
      <c r="I821" s="34" t="str">
        <f t="shared" si="135"/>
        <v/>
      </c>
      <c r="J821" s="34" t="str">
        <f t="shared" si="135"/>
        <v/>
      </c>
      <c r="K821" s="34" t="str">
        <f t="shared" si="135"/>
        <v/>
      </c>
      <c r="L821" s="34" t="str">
        <f t="shared" si="135"/>
        <v/>
      </c>
      <c r="M821" s="34" t="str">
        <f t="shared" si="135"/>
        <v/>
      </c>
      <c r="N821" s="34" t="str">
        <f t="shared" si="135"/>
        <v/>
      </c>
      <c r="O821" s="34" t="str">
        <f t="shared" si="135"/>
        <v/>
      </c>
      <c r="P821" s="34">
        <f t="shared" si="135"/>
        <v>84</v>
      </c>
      <c r="Q821" s="34">
        <f t="shared" si="135"/>
        <v>91</v>
      </c>
      <c r="R821" s="34">
        <f t="shared" si="135"/>
        <v>103</v>
      </c>
      <c r="S821" s="35">
        <f t="shared" si="129"/>
        <v>84</v>
      </c>
    </row>
    <row r="822" spans="2:19" hidden="1" outlineLevel="1">
      <c r="B822" s="14" t="s">
        <v>39</v>
      </c>
      <c r="C822" s="15" t="s">
        <v>66</v>
      </c>
      <c r="D822" s="52">
        <v>2051</v>
      </c>
      <c r="E822" s="34">
        <v>7</v>
      </c>
      <c r="F822" s="38">
        <f t="shared" si="125"/>
        <v>20664.370621344628</v>
      </c>
      <c r="G822" s="34">
        <f t="shared" si="126"/>
        <v>16</v>
      </c>
      <c r="H822" s="34">
        <f t="shared" si="127"/>
        <v>2</v>
      </c>
      <c r="I822" s="34" t="str">
        <f t="shared" si="135"/>
        <v/>
      </c>
      <c r="J822" s="34" t="str">
        <f t="shared" si="135"/>
        <v/>
      </c>
      <c r="K822" s="34" t="str">
        <f t="shared" si="135"/>
        <v/>
      </c>
      <c r="L822" s="34" t="str">
        <f t="shared" si="135"/>
        <v/>
      </c>
      <c r="M822" s="34" t="str">
        <f t="shared" si="135"/>
        <v/>
      </c>
      <c r="N822" s="34" t="str">
        <f t="shared" si="135"/>
        <v/>
      </c>
      <c r="O822" s="34" t="str">
        <f t="shared" si="135"/>
        <v/>
      </c>
      <c r="P822" s="34">
        <f t="shared" si="135"/>
        <v>84</v>
      </c>
      <c r="Q822" s="34">
        <f t="shared" si="135"/>
        <v>90</v>
      </c>
      <c r="R822" s="34">
        <f t="shared" si="135"/>
        <v>102</v>
      </c>
      <c r="S822" s="35">
        <f t="shared" si="129"/>
        <v>84</v>
      </c>
    </row>
    <row r="823" spans="2:19" hidden="1" outlineLevel="1">
      <c r="B823" s="14" t="s">
        <v>39</v>
      </c>
      <c r="C823" s="15" t="s">
        <v>66</v>
      </c>
      <c r="D823" s="52">
        <v>2051</v>
      </c>
      <c r="E823" s="34">
        <v>8</v>
      </c>
      <c r="F823" s="38">
        <f t="shared" si="125"/>
        <v>20664.370621344628</v>
      </c>
      <c r="G823" s="34">
        <f t="shared" si="126"/>
        <v>16</v>
      </c>
      <c r="H823" s="34">
        <f t="shared" si="127"/>
        <v>2</v>
      </c>
      <c r="I823" s="34" t="str">
        <f t="shared" si="135"/>
        <v/>
      </c>
      <c r="J823" s="34" t="str">
        <f t="shared" si="135"/>
        <v/>
      </c>
      <c r="K823" s="34" t="str">
        <f t="shared" si="135"/>
        <v/>
      </c>
      <c r="L823" s="34" t="str">
        <f t="shared" si="135"/>
        <v/>
      </c>
      <c r="M823" s="34" t="str">
        <f t="shared" si="135"/>
        <v/>
      </c>
      <c r="N823" s="34" t="str">
        <f t="shared" si="135"/>
        <v/>
      </c>
      <c r="O823" s="34" t="str">
        <f t="shared" si="135"/>
        <v/>
      </c>
      <c r="P823" s="34">
        <f t="shared" si="135"/>
        <v>84</v>
      </c>
      <c r="Q823" s="34">
        <f t="shared" si="135"/>
        <v>89</v>
      </c>
      <c r="R823" s="34">
        <f t="shared" si="135"/>
        <v>101</v>
      </c>
      <c r="S823" s="35">
        <f t="shared" si="129"/>
        <v>84</v>
      </c>
    </row>
    <row r="824" spans="2:19" hidden="1" outlineLevel="1">
      <c r="B824" s="14" t="s">
        <v>39</v>
      </c>
      <c r="C824" s="15" t="s">
        <v>66</v>
      </c>
      <c r="D824" s="52">
        <v>2051</v>
      </c>
      <c r="E824" s="34">
        <v>9</v>
      </c>
      <c r="F824" s="38">
        <f t="shared" ref="F824:F887" si="136">IF($C824="Homens",INDEX($C$5:$C$55,MATCH($D824,$B$5:$B$55,0)),INDEX($F$5:$F$55,MATCH($D824,$B$5:$B$55,0)))/12</f>
        <v>20664.370621344628</v>
      </c>
      <c r="G824" s="34">
        <f t="shared" ref="G824:G887" si="137">IF($C824="Homens",$Z$17,$AA$17)</f>
        <v>16</v>
      </c>
      <c r="H824" s="34">
        <f t="shared" ref="H824:H887" si="138">1+2*($B824="Com Transição")+($C824="Mulheres")</f>
        <v>2</v>
      </c>
      <c r="I824" s="34" t="str">
        <f t="shared" si="135"/>
        <v/>
      </c>
      <c r="J824" s="34" t="str">
        <f t="shared" si="135"/>
        <v/>
      </c>
      <c r="K824" s="34" t="str">
        <f t="shared" si="135"/>
        <v/>
      </c>
      <c r="L824" s="34" t="str">
        <f t="shared" si="135"/>
        <v/>
      </c>
      <c r="M824" s="34" t="str">
        <f t="shared" si="135"/>
        <v/>
      </c>
      <c r="N824" s="34" t="str">
        <f t="shared" si="135"/>
        <v/>
      </c>
      <c r="O824" s="34" t="str">
        <f t="shared" si="135"/>
        <v/>
      </c>
      <c r="P824" s="34">
        <f t="shared" si="135"/>
        <v>84</v>
      </c>
      <c r="Q824" s="34">
        <f t="shared" si="135"/>
        <v>88</v>
      </c>
      <c r="R824" s="34">
        <f t="shared" si="135"/>
        <v>100</v>
      </c>
      <c r="S824" s="35">
        <f t="shared" ref="S824:S887" si="139">IF($D824&lt;$Z$18,$G824,MIN(I824:R824))</f>
        <v>84</v>
      </c>
    </row>
    <row r="825" spans="2:19" hidden="1" outlineLevel="1">
      <c r="B825" s="14" t="s">
        <v>39</v>
      </c>
      <c r="C825" s="15" t="s">
        <v>66</v>
      </c>
      <c r="D825" s="52">
        <v>2051</v>
      </c>
      <c r="E825" s="34">
        <v>10</v>
      </c>
      <c r="F825" s="38">
        <f t="shared" si="136"/>
        <v>20664.370621344628</v>
      </c>
      <c r="G825" s="34">
        <f t="shared" si="137"/>
        <v>16</v>
      </c>
      <c r="H825" s="34">
        <f t="shared" si="138"/>
        <v>2</v>
      </c>
      <c r="I825" s="34" t="str">
        <f t="shared" si="135"/>
        <v/>
      </c>
      <c r="J825" s="34" t="str">
        <f t="shared" si="135"/>
        <v/>
      </c>
      <c r="K825" s="34" t="str">
        <f t="shared" si="135"/>
        <v/>
      </c>
      <c r="L825" s="34" t="str">
        <f t="shared" si="135"/>
        <v/>
      </c>
      <c r="M825" s="34" t="str">
        <f t="shared" si="135"/>
        <v/>
      </c>
      <c r="N825" s="34" t="str">
        <f t="shared" si="135"/>
        <v/>
      </c>
      <c r="O825" s="34" t="str">
        <f t="shared" si="135"/>
        <v/>
      </c>
      <c r="P825" s="34">
        <f t="shared" si="135"/>
        <v>84</v>
      </c>
      <c r="Q825" s="34">
        <f t="shared" si="135"/>
        <v>87</v>
      </c>
      <c r="R825" s="34">
        <f t="shared" si="135"/>
        <v>99</v>
      </c>
      <c r="S825" s="35">
        <f t="shared" si="139"/>
        <v>84</v>
      </c>
    </row>
    <row r="826" spans="2:19" hidden="1" outlineLevel="1">
      <c r="B826" s="14" t="s">
        <v>39</v>
      </c>
      <c r="C826" s="15" t="s">
        <v>66</v>
      </c>
      <c r="D826" s="52">
        <v>2051</v>
      </c>
      <c r="E826" s="34">
        <v>11</v>
      </c>
      <c r="F826" s="38">
        <f t="shared" si="136"/>
        <v>20664.370621344628</v>
      </c>
      <c r="G826" s="34">
        <f t="shared" si="137"/>
        <v>16</v>
      </c>
      <c r="H826" s="34">
        <f t="shared" si="138"/>
        <v>2</v>
      </c>
      <c r="I826" s="34" t="str">
        <f t="shared" si="135"/>
        <v/>
      </c>
      <c r="J826" s="34" t="str">
        <f t="shared" si="135"/>
        <v/>
      </c>
      <c r="K826" s="34" t="str">
        <f t="shared" si="135"/>
        <v/>
      </c>
      <c r="L826" s="34" t="str">
        <f t="shared" si="135"/>
        <v/>
      </c>
      <c r="M826" s="34" t="str">
        <f t="shared" si="135"/>
        <v/>
      </c>
      <c r="N826" s="34" t="str">
        <f t="shared" si="135"/>
        <v/>
      </c>
      <c r="O826" s="34" t="str">
        <f t="shared" si="135"/>
        <v/>
      </c>
      <c r="P826" s="34">
        <f t="shared" si="135"/>
        <v>84</v>
      </c>
      <c r="Q826" s="34">
        <f t="shared" si="135"/>
        <v>86</v>
      </c>
      <c r="R826" s="34">
        <f t="shared" si="135"/>
        <v>98</v>
      </c>
      <c r="S826" s="35">
        <f t="shared" si="139"/>
        <v>84</v>
      </c>
    </row>
    <row r="827" spans="2:19" hidden="1" outlineLevel="1">
      <c r="B827" s="14" t="s">
        <v>39</v>
      </c>
      <c r="C827" s="15" t="s">
        <v>66</v>
      </c>
      <c r="D827" s="52">
        <v>2051</v>
      </c>
      <c r="E827" s="34">
        <v>12</v>
      </c>
      <c r="F827" s="38">
        <f t="shared" si="136"/>
        <v>20664.370621344628</v>
      </c>
      <c r="G827" s="34">
        <f t="shared" si="137"/>
        <v>16</v>
      </c>
      <c r="H827" s="34">
        <f t="shared" si="138"/>
        <v>2</v>
      </c>
      <c r="I827" s="34" t="str">
        <f t="shared" si="135"/>
        <v/>
      </c>
      <c r="J827" s="34" t="str">
        <f t="shared" si="135"/>
        <v/>
      </c>
      <c r="K827" s="34" t="str">
        <f t="shared" si="135"/>
        <v/>
      </c>
      <c r="L827" s="34" t="str">
        <f t="shared" si="135"/>
        <v/>
      </c>
      <c r="M827" s="34" t="str">
        <f t="shared" si="135"/>
        <v/>
      </c>
      <c r="N827" s="34" t="str">
        <f t="shared" si="135"/>
        <v/>
      </c>
      <c r="O827" s="34" t="str">
        <f t="shared" si="135"/>
        <v/>
      </c>
      <c r="P827" s="34">
        <f t="shared" si="135"/>
        <v>84</v>
      </c>
      <c r="Q827" s="34">
        <f t="shared" si="135"/>
        <v>85</v>
      </c>
      <c r="R827" s="34">
        <f t="shared" si="135"/>
        <v>97</v>
      </c>
      <c r="S827" s="35">
        <f t="shared" si="139"/>
        <v>84</v>
      </c>
    </row>
    <row r="828" spans="2:19" hidden="1" outlineLevel="1">
      <c r="B828" s="14" t="s">
        <v>39</v>
      </c>
      <c r="C828" s="15" t="s">
        <v>66</v>
      </c>
      <c r="D828" s="52">
        <v>2052</v>
      </c>
      <c r="E828" s="34">
        <v>1</v>
      </c>
      <c r="F828" s="38">
        <f t="shared" si="136"/>
        <v>20619.99946982897</v>
      </c>
      <c r="G828" s="34">
        <f t="shared" si="137"/>
        <v>16</v>
      </c>
      <c r="H828" s="34">
        <f t="shared" si="138"/>
        <v>2</v>
      </c>
      <c r="I828" s="34" t="str">
        <f t="shared" si="135"/>
        <v/>
      </c>
      <c r="J828" s="34" t="str">
        <f t="shared" si="135"/>
        <v/>
      </c>
      <c r="K828" s="34" t="str">
        <f t="shared" si="135"/>
        <v/>
      </c>
      <c r="L828" s="34" t="str">
        <f t="shared" si="135"/>
        <v/>
      </c>
      <c r="M828" s="34" t="str">
        <f t="shared" si="135"/>
        <v/>
      </c>
      <c r="N828" s="34" t="str">
        <f t="shared" si="135"/>
        <v/>
      </c>
      <c r="O828" s="34" t="str">
        <f t="shared" si="135"/>
        <v/>
      </c>
      <c r="P828" s="34">
        <f t="shared" si="135"/>
        <v>84</v>
      </c>
      <c r="Q828" s="34">
        <f t="shared" si="135"/>
        <v>96</v>
      </c>
      <c r="R828" s="34">
        <f t="shared" si="135"/>
        <v>108</v>
      </c>
      <c r="S828" s="35">
        <f t="shared" si="139"/>
        <v>84</v>
      </c>
    </row>
    <row r="829" spans="2:19" hidden="1" outlineLevel="1">
      <c r="B829" s="14" t="s">
        <v>39</v>
      </c>
      <c r="C829" s="15" t="s">
        <v>66</v>
      </c>
      <c r="D829" s="52">
        <v>2052</v>
      </c>
      <c r="E829" s="34">
        <v>2</v>
      </c>
      <c r="F829" s="38">
        <f t="shared" si="136"/>
        <v>20619.99946982897</v>
      </c>
      <c r="G829" s="34">
        <f t="shared" si="137"/>
        <v>16</v>
      </c>
      <c r="H829" s="34">
        <f t="shared" si="138"/>
        <v>2</v>
      </c>
      <c r="I829" s="34" t="str">
        <f t="shared" si="135"/>
        <v/>
      </c>
      <c r="J829" s="34" t="str">
        <f t="shared" si="135"/>
        <v/>
      </c>
      <c r="K829" s="34" t="str">
        <f t="shared" si="135"/>
        <v/>
      </c>
      <c r="L829" s="34" t="str">
        <f t="shared" si="135"/>
        <v/>
      </c>
      <c r="M829" s="34" t="str">
        <f t="shared" si="135"/>
        <v/>
      </c>
      <c r="N829" s="34" t="str">
        <f t="shared" si="135"/>
        <v/>
      </c>
      <c r="O829" s="34" t="str">
        <f t="shared" si="135"/>
        <v/>
      </c>
      <c r="P829" s="34">
        <f t="shared" si="135"/>
        <v>84</v>
      </c>
      <c r="Q829" s="34">
        <f t="shared" si="135"/>
        <v>95</v>
      </c>
      <c r="R829" s="34">
        <f t="shared" si="135"/>
        <v>107</v>
      </c>
      <c r="S829" s="35">
        <f t="shared" si="139"/>
        <v>84</v>
      </c>
    </row>
    <row r="830" spans="2:19" hidden="1" outlineLevel="1">
      <c r="B830" s="14" t="s">
        <v>39</v>
      </c>
      <c r="C830" s="15" t="s">
        <v>66</v>
      </c>
      <c r="D830" s="52">
        <v>2052</v>
      </c>
      <c r="E830" s="34">
        <v>3</v>
      </c>
      <c r="F830" s="38">
        <f t="shared" si="136"/>
        <v>20619.99946982897</v>
      </c>
      <c r="G830" s="34">
        <f t="shared" si="137"/>
        <v>16</v>
      </c>
      <c r="H830" s="34">
        <f t="shared" si="138"/>
        <v>2</v>
      </c>
      <c r="I830" s="34" t="str">
        <f t="shared" ref="I830:R839" si="140">IF($D830&lt;$Z$18,"",IF(MAX($G830,INDEX($C$65:$F$108,$D830+I$119-2026,$H830))&lt;=12*I$119-$E830+12,MAX($G830,12*I$119-$E830+1,INDEX($C$65:$F$108,$D830+I$119-2026,$H830)),""))</f>
        <v/>
      </c>
      <c r="J830" s="34" t="str">
        <f t="shared" si="140"/>
        <v/>
      </c>
      <c r="K830" s="34" t="str">
        <f t="shared" si="140"/>
        <v/>
      </c>
      <c r="L830" s="34" t="str">
        <f t="shared" si="140"/>
        <v/>
      </c>
      <c r="M830" s="34" t="str">
        <f t="shared" si="140"/>
        <v/>
      </c>
      <c r="N830" s="34" t="str">
        <f t="shared" si="140"/>
        <v/>
      </c>
      <c r="O830" s="34" t="str">
        <f t="shared" si="140"/>
        <v/>
      </c>
      <c r="P830" s="34">
        <f t="shared" si="140"/>
        <v>84</v>
      </c>
      <c r="Q830" s="34">
        <f t="shared" si="140"/>
        <v>94</v>
      </c>
      <c r="R830" s="34">
        <f t="shared" si="140"/>
        <v>106</v>
      </c>
      <c r="S830" s="35">
        <f t="shared" si="139"/>
        <v>84</v>
      </c>
    </row>
    <row r="831" spans="2:19" hidden="1" outlineLevel="1">
      <c r="B831" s="14" t="s">
        <v>39</v>
      </c>
      <c r="C831" s="15" t="s">
        <v>66</v>
      </c>
      <c r="D831" s="52">
        <v>2052</v>
      </c>
      <c r="E831" s="34">
        <v>4</v>
      </c>
      <c r="F831" s="38">
        <f t="shared" si="136"/>
        <v>20619.99946982897</v>
      </c>
      <c r="G831" s="34">
        <f t="shared" si="137"/>
        <v>16</v>
      </c>
      <c r="H831" s="34">
        <f t="shared" si="138"/>
        <v>2</v>
      </c>
      <c r="I831" s="34" t="str">
        <f t="shared" si="140"/>
        <v/>
      </c>
      <c r="J831" s="34" t="str">
        <f t="shared" si="140"/>
        <v/>
      </c>
      <c r="K831" s="34" t="str">
        <f t="shared" si="140"/>
        <v/>
      </c>
      <c r="L831" s="34" t="str">
        <f t="shared" si="140"/>
        <v/>
      </c>
      <c r="M831" s="34" t="str">
        <f t="shared" si="140"/>
        <v/>
      </c>
      <c r="N831" s="34" t="str">
        <f t="shared" si="140"/>
        <v/>
      </c>
      <c r="O831" s="34" t="str">
        <f t="shared" si="140"/>
        <v/>
      </c>
      <c r="P831" s="34">
        <f t="shared" si="140"/>
        <v>84</v>
      </c>
      <c r="Q831" s="34">
        <f t="shared" si="140"/>
        <v>93</v>
      </c>
      <c r="R831" s="34">
        <f t="shared" si="140"/>
        <v>105</v>
      </c>
      <c r="S831" s="35">
        <f t="shared" si="139"/>
        <v>84</v>
      </c>
    </row>
    <row r="832" spans="2:19" hidden="1" outlineLevel="1">
      <c r="B832" s="14" t="s">
        <v>39</v>
      </c>
      <c r="C832" s="15" t="s">
        <v>66</v>
      </c>
      <c r="D832" s="52">
        <v>2052</v>
      </c>
      <c r="E832" s="34">
        <v>5</v>
      </c>
      <c r="F832" s="38">
        <f t="shared" si="136"/>
        <v>20619.99946982897</v>
      </c>
      <c r="G832" s="34">
        <f t="shared" si="137"/>
        <v>16</v>
      </c>
      <c r="H832" s="34">
        <f t="shared" si="138"/>
        <v>2</v>
      </c>
      <c r="I832" s="34" t="str">
        <f t="shared" si="140"/>
        <v/>
      </c>
      <c r="J832" s="34" t="str">
        <f t="shared" si="140"/>
        <v/>
      </c>
      <c r="K832" s="34" t="str">
        <f t="shared" si="140"/>
        <v/>
      </c>
      <c r="L832" s="34" t="str">
        <f t="shared" si="140"/>
        <v/>
      </c>
      <c r="M832" s="34" t="str">
        <f t="shared" si="140"/>
        <v/>
      </c>
      <c r="N832" s="34" t="str">
        <f t="shared" si="140"/>
        <v/>
      </c>
      <c r="O832" s="34" t="str">
        <f t="shared" si="140"/>
        <v/>
      </c>
      <c r="P832" s="34">
        <f t="shared" si="140"/>
        <v>84</v>
      </c>
      <c r="Q832" s="34">
        <f t="shared" si="140"/>
        <v>92</v>
      </c>
      <c r="R832" s="34">
        <f t="shared" si="140"/>
        <v>104</v>
      </c>
      <c r="S832" s="35">
        <f t="shared" si="139"/>
        <v>84</v>
      </c>
    </row>
    <row r="833" spans="2:19" hidden="1" outlineLevel="1">
      <c r="B833" s="14" t="s">
        <v>39</v>
      </c>
      <c r="C833" s="15" t="s">
        <v>66</v>
      </c>
      <c r="D833" s="52">
        <v>2052</v>
      </c>
      <c r="E833" s="34">
        <v>6</v>
      </c>
      <c r="F833" s="38">
        <f t="shared" si="136"/>
        <v>20619.99946982897</v>
      </c>
      <c r="G833" s="34">
        <f t="shared" si="137"/>
        <v>16</v>
      </c>
      <c r="H833" s="34">
        <f t="shared" si="138"/>
        <v>2</v>
      </c>
      <c r="I833" s="34" t="str">
        <f t="shared" si="140"/>
        <v/>
      </c>
      <c r="J833" s="34" t="str">
        <f t="shared" si="140"/>
        <v/>
      </c>
      <c r="K833" s="34" t="str">
        <f t="shared" si="140"/>
        <v/>
      </c>
      <c r="L833" s="34" t="str">
        <f t="shared" si="140"/>
        <v/>
      </c>
      <c r="M833" s="34" t="str">
        <f t="shared" si="140"/>
        <v/>
      </c>
      <c r="N833" s="34" t="str">
        <f t="shared" si="140"/>
        <v/>
      </c>
      <c r="O833" s="34" t="str">
        <f t="shared" si="140"/>
        <v/>
      </c>
      <c r="P833" s="34">
        <f t="shared" si="140"/>
        <v>84</v>
      </c>
      <c r="Q833" s="34">
        <f t="shared" si="140"/>
        <v>91</v>
      </c>
      <c r="R833" s="34">
        <f t="shared" si="140"/>
        <v>103</v>
      </c>
      <c r="S833" s="35">
        <f t="shared" si="139"/>
        <v>84</v>
      </c>
    </row>
    <row r="834" spans="2:19" hidden="1" outlineLevel="1">
      <c r="B834" s="14" t="s">
        <v>39</v>
      </c>
      <c r="C834" s="15" t="s">
        <v>66</v>
      </c>
      <c r="D834" s="52">
        <v>2052</v>
      </c>
      <c r="E834" s="34">
        <v>7</v>
      </c>
      <c r="F834" s="38">
        <f t="shared" si="136"/>
        <v>20619.99946982897</v>
      </c>
      <c r="G834" s="34">
        <f t="shared" si="137"/>
        <v>16</v>
      </c>
      <c r="H834" s="34">
        <f t="shared" si="138"/>
        <v>2</v>
      </c>
      <c r="I834" s="34" t="str">
        <f t="shared" si="140"/>
        <v/>
      </c>
      <c r="J834" s="34" t="str">
        <f t="shared" si="140"/>
        <v/>
      </c>
      <c r="K834" s="34" t="str">
        <f t="shared" si="140"/>
        <v/>
      </c>
      <c r="L834" s="34" t="str">
        <f t="shared" si="140"/>
        <v/>
      </c>
      <c r="M834" s="34" t="str">
        <f t="shared" si="140"/>
        <v/>
      </c>
      <c r="N834" s="34" t="str">
        <f t="shared" si="140"/>
        <v/>
      </c>
      <c r="O834" s="34" t="str">
        <f t="shared" si="140"/>
        <v/>
      </c>
      <c r="P834" s="34">
        <f t="shared" si="140"/>
        <v>84</v>
      </c>
      <c r="Q834" s="34">
        <f t="shared" si="140"/>
        <v>90</v>
      </c>
      <c r="R834" s="34">
        <f t="shared" si="140"/>
        <v>102</v>
      </c>
      <c r="S834" s="35">
        <f t="shared" si="139"/>
        <v>84</v>
      </c>
    </row>
    <row r="835" spans="2:19" hidden="1" outlineLevel="1">
      <c r="B835" s="14" t="s">
        <v>39</v>
      </c>
      <c r="C835" s="15" t="s">
        <v>66</v>
      </c>
      <c r="D835" s="52">
        <v>2052</v>
      </c>
      <c r="E835" s="34">
        <v>8</v>
      </c>
      <c r="F835" s="38">
        <f t="shared" si="136"/>
        <v>20619.99946982897</v>
      </c>
      <c r="G835" s="34">
        <f t="shared" si="137"/>
        <v>16</v>
      </c>
      <c r="H835" s="34">
        <f t="shared" si="138"/>
        <v>2</v>
      </c>
      <c r="I835" s="34" t="str">
        <f t="shared" si="140"/>
        <v/>
      </c>
      <c r="J835" s="34" t="str">
        <f t="shared" si="140"/>
        <v/>
      </c>
      <c r="K835" s="34" t="str">
        <f t="shared" si="140"/>
        <v/>
      </c>
      <c r="L835" s="34" t="str">
        <f t="shared" si="140"/>
        <v/>
      </c>
      <c r="M835" s="34" t="str">
        <f t="shared" si="140"/>
        <v/>
      </c>
      <c r="N835" s="34" t="str">
        <f t="shared" si="140"/>
        <v/>
      </c>
      <c r="O835" s="34" t="str">
        <f t="shared" si="140"/>
        <v/>
      </c>
      <c r="P835" s="34">
        <f t="shared" si="140"/>
        <v>84</v>
      </c>
      <c r="Q835" s="34">
        <f t="shared" si="140"/>
        <v>89</v>
      </c>
      <c r="R835" s="34">
        <f t="shared" si="140"/>
        <v>101</v>
      </c>
      <c r="S835" s="35">
        <f t="shared" si="139"/>
        <v>84</v>
      </c>
    </row>
    <row r="836" spans="2:19" hidden="1" outlineLevel="1">
      <c r="B836" s="14" t="s">
        <v>39</v>
      </c>
      <c r="C836" s="15" t="s">
        <v>66</v>
      </c>
      <c r="D836" s="52">
        <v>2052</v>
      </c>
      <c r="E836" s="34">
        <v>9</v>
      </c>
      <c r="F836" s="38">
        <f t="shared" si="136"/>
        <v>20619.99946982897</v>
      </c>
      <c r="G836" s="34">
        <f t="shared" si="137"/>
        <v>16</v>
      </c>
      <c r="H836" s="34">
        <f t="shared" si="138"/>
        <v>2</v>
      </c>
      <c r="I836" s="34" t="str">
        <f t="shared" si="140"/>
        <v/>
      </c>
      <c r="J836" s="34" t="str">
        <f t="shared" si="140"/>
        <v/>
      </c>
      <c r="K836" s="34" t="str">
        <f t="shared" si="140"/>
        <v/>
      </c>
      <c r="L836" s="34" t="str">
        <f t="shared" si="140"/>
        <v/>
      </c>
      <c r="M836" s="34" t="str">
        <f t="shared" si="140"/>
        <v/>
      </c>
      <c r="N836" s="34" t="str">
        <f t="shared" si="140"/>
        <v/>
      </c>
      <c r="O836" s="34" t="str">
        <f t="shared" si="140"/>
        <v/>
      </c>
      <c r="P836" s="34">
        <f t="shared" si="140"/>
        <v>84</v>
      </c>
      <c r="Q836" s="34">
        <f t="shared" si="140"/>
        <v>88</v>
      </c>
      <c r="R836" s="34">
        <f t="shared" si="140"/>
        <v>100</v>
      </c>
      <c r="S836" s="35">
        <f t="shared" si="139"/>
        <v>84</v>
      </c>
    </row>
    <row r="837" spans="2:19" hidden="1" outlineLevel="1">
      <c r="B837" s="14" t="s">
        <v>39</v>
      </c>
      <c r="C837" s="15" t="s">
        <v>66</v>
      </c>
      <c r="D837" s="52">
        <v>2052</v>
      </c>
      <c r="E837" s="34">
        <v>10</v>
      </c>
      <c r="F837" s="38">
        <f t="shared" si="136"/>
        <v>20619.99946982897</v>
      </c>
      <c r="G837" s="34">
        <f t="shared" si="137"/>
        <v>16</v>
      </c>
      <c r="H837" s="34">
        <f t="shared" si="138"/>
        <v>2</v>
      </c>
      <c r="I837" s="34" t="str">
        <f t="shared" si="140"/>
        <v/>
      </c>
      <c r="J837" s="34" t="str">
        <f t="shared" si="140"/>
        <v/>
      </c>
      <c r="K837" s="34" t="str">
        <f t="shared" si="140"/>
        <v/>
      </c>
      <c r="L837" s="34" t="str">
        <f t="shared" si="140"/>
        <v/>
      </c>
      <c r="M837" s="34" t="str">
        <f t="shared" si="140"/>
        <v/>
      </c>
      <c r="N837" s="34" t="str">
        <f t="shared" si="140"/>
        <v/>
      </c>
      <c r="O837" s="34" t="str">
        <f t="shared" si="140"/>
        <v/>
      </c>
      <c r="P837" s="34">
        <f t="shared" si="140"/>
        <v>84</v>
      </c>
      <c r="Q837" s="34">
        <f t="shared" si="140"/>
        <v>87</v>
      </c>
      <c r="R837" s="34">
        <f t="shared" si="140"/>
        <v>99</v>
      </c>
      <c r="S837" s="35">
        <f t="shared" si="139"/>
        <v>84</v>
      </c>
    </row>
    <row r="838" spans="2:19" hidden="1" outlineLevel="1">
      <c r="B838" s="14" t="s">
        <v>39</v>
      </c>
      <c r="C838" s="15" t="s">
        <v>66</v>
      </c>
      <c r="D838" s="52">
        <v>2052</v>
      </c>
      <c r="E838" s="34">
        <v>11</v>
      </c>
      <c r="F838" s="38">
        <f t="shared" si="136"/>
        <v>20619.99946982897</v>
      </c>
      <c r="G838" s="34">
        <f t="shared" si="137"/>
        <v>16</v>
      </c>
      <c r="H838" s="34">
        <f t="shared" si="138"/>
        <v>2</v>
      </c>
      <c r="I838" s="34" t="str">
        <f t="shared" si="140"/>
        <v/>
      </c>
      <c r="J838" s="34" t="str">
        <f t="shared" si="140"/>
        <v/>
      </c>
      <c r="K838" s="34" t="str">
        <f t="shared" si="140"/>
        <v/>
      </c>
      <c r="L838" s="34" t="str">
        <f t="shared" si="140"/>
        <v/>
      </c>
      <c r="M838" s="34" t="str">
        <f t="shared" si="140"/>
        <v/>
      </c>
      <c r="N838" s="34" t="str">
        <f t="shared" si="140"/>
        <v/>
      </c>
      <c r="O838" s="34" t="str">
        <f t="shared" si="140"/>
        <v/>
      </c>
      <c r="P838" s="34">
        <f t="shared" si="140"/>
        <v>84</v>
      </c>
      <c r="Q838" s="34">
        <f t="shared" si="140"/>
        <v>86</v>
      </c>
      <c r="R838" s="34">
        <f t="shared" si="140"/>
        <v>98</v>
      </c>
      <c r="S838" s="35">
        <f t="shared" si="139"/>
        <v>84</v>
      </c>
    </row>
    <row r="839" spans="2:19" hidden="1" outlineLevel="1">
      <c r="B839" s="14" t="s">
        <v>39</v>
      </c>
      <c r="C839" s="15" t="s">
        <v>66</v>
      </c>
      <c r="D839" s="52">
        <v>2052</v>
      </c>
      <c r="E839" s="34">
        <v>12</v>
      </c>
      <c r="F839" s="38">
        <f t="shared" si="136"/>
        <v>20619.99946982897</v>
      </c>
      <c r="G839" s="34">
        <f t="shared" si="137"/>
        <v>16</v>
      </c>
      <c r="H839" s="34">
        <f t="shared" si="138"/>
        <v>2</v>
      </c>
      <c r="I839" s="34" t="str">
        <f t="shared" si="140"/>
        <v/>
      </c>
      <c r="J839" s="34" t="str">
        <f t="shared" si="140"/>
        <v/>
      </c>
      <c r="K839" s="34" t="str">
        <f t="shared" si="140"/>
        <v/>
      </c>
      <c r="L839" s="34" t="str">
        <f t="shared" si="140"/>
        <v/>
      </c>
      <c r="M839" s="34" t="str">
        <f t="shared" si="140"/>
        <v/>
      </c>
      <c r="N839" s="34" t="str">
        <f t="shared" si="140"/>
        <v/>
      </c>
      <c r="O839" s="34" t="str">
        <f t="shared" si="140"/>
        <v/>
      </c>
      <c r="P839" s="34">
        <f t="shared" si="140"/>
        <v>84</v>
      </c>
      <c r="Q839" s="34">
        <f t="shared" si="140"/>
        <v>85</v>
      </c>
      <c r="R839" s="34">
        <f t="shared" si="140"/>
        <v>97</v>
      </c>
      <c r="S839" s="35">
        <f t="shared" si="139"/>
        <v>84</v>
      </c>
    </row>
    <row r="840" spans="2:19" hidden="1" outlineLevel="1">
      <c r="B840" s="14" t="s">
        <v>39</v>
      </c>
      <c r="C840" s="15" t="s">
        <v>66</v>
      </c>
      <c r="D840" s="52">
        <v>2053</v>
      </c>
      <c r="E840" s="34">
        <v>1</v>
      </c>
      <c r="F840" s="38">
        <f t="shared" si="136"/>
        <v>20582.293793209628</v>
      </c>
      <c r="G840" s="34">
        <f t="shared" si="137"/>
        <v>16</v>
      </c>
      <c r="H840" s="34">
        <f t="shared" si="138"/>
        <v>2</v>
      </c>
      <c r="I840" s="34" t="str">
        <f t="shared" ref="I840:R849" si="141">IF($D840&lt;$Z$18,"",IF(MAX($G840,INDEX($C$65:$F$108,$D840+I$119-2026,$H840))&lt;=12*I$119-$E840+12,MAX($G840,12*I$119-$E840+1,INDEX($C$65:$F$108,$D840+I$119-2026,$H840)),""))</f>
        <v/>
      </c>
      <c r="J840" s="34" t="str">
        <f t="shared" si="141"/>
        <v/>
      </c>
      <c r="K840" s="34" t="str">
        <f t="shared" si="141"/>
        <v/>
      </c>
      <c r="L840" s="34" t="str">
        <f t="shared" si="141"/>
        <v/>
      </c>
      <c r="M840" s="34" t="str">
        <f t="shared" si="141"/>
        <v/>
      </c>
      <c r="N840" s="34" t="str">
        <f t="shared" si="141"/>
        <v/>
      </c>
      <c r="O840" s="34" t="str">
        <f t="shared" si="141"/>
        <v/>
      </c>
      <c r="P840" s="34">
        <f t="shared" si="141"/>
        <v>84</v>
      </c>
      <c r="Q840" s="34">
        <f t="shared" si="141"/>
        <v>96</v>
      </c>
      <c r="R840" s="34">
        <f t="shared" si="141"/>
        <v>108</v>
      </c>
      <c r="S840" s="35">
        <f t="shared" si="139"/>
        <v>84</v>
      </c>
    </row>
    <row r="841" spans="2:19" hidden="1" outlineLevel="1">
      <c r="B841" s="14" t="s">
        <v>39</v>
      </c>
      <c r="C841" s="15" t="s">
        <v>66</v>
      </c>
      <c r="D841" s="52">
        <v>2053</v>
      </c>
      <c r="E841" s="34">
        <v>2</v>
      </c>
      <c r="F841" s="38">
        <f t="shared" si="136"/>
        <v>20582.293793209628</v>
      </c>
      <c r="G841" s="34">
        <f t="shared" si="137"/>
        <v>16</v>
      </c>
      <c r="H841" s="34">
        <f t="shared" si="138"/>
        <v>2</v>
      </c>
      <c r="I841" s="34" t="str">
        <f t="shared" si="141"/>
        <v/>
      </c>
      <c r="J841" s="34" t="str">
        <f t="shared" si="141"/>
        <v/>
      </c>
      <c r="K841" s="34" t="str">
        <f t="shared" si="141"/>
        <v/>
      </c>
      <c r="L841" s="34" t="str">
        <f t="shared" si="141"/>
        <v/>
      </c>
      <c r="M841" s="34" t="str">
        <f t="shared" si="141"/>
        <v/>
      </c>
      <c r="N841" s="34" t="str">
        <f t="shared" si="141"/>
        <v/>
      </c>
      <c r="O841" s="34" t="str">
        <f t="shared" si="141"/>
        <v/>
      </c>
      <c r="P841" s="34">
        <f t="shared" si="141"/>
        <v>84</v>
      </c>
      <c r="Q841" s="34">
        <f t="shared" si="141"/>
        <v>95</v>
      </c>
      <c r="R841" s="34">
        <f t="shared" si="141"/>
        <v>107</v>
      </c>
      <c r="S841" s="35">
        <f t="shared" si="139"/>
        <v>84</v>
      </c>
    </row>
    <row r="842" spans="2:19" hidden="1" outlineLevel="1">
      <c r="B842" s="14" t="s">
        <v>39</v>
      </c>
      <c r="C842" s="15" t="s">
        <v>66</v>
      </c>
      <c r="D842" s="52">
        <v>2053</v>
      </c>
      <c r="E842" s="34">
        <v>3</v>
      </c>
      <c r="F842" s="38">
        <f t="shared" si="136"/>
        <v>20582.293793209628</v>
      </c>
      <c r="G842" s="34">
        <f t="shared" si="137"/>
        <v>16</v>
      </c>
      <c r="H842" s="34">
        <f t="shared" si="138"/>
        <v>2</v>
      </c>
      <c r="I842" s="34" t="str">
        <f t="shared" si="141"/>
        <v/>
      </c>
      <c r="J842" s="34" t="str">
        <f t="shared" si="141"/>
        <v/>
      </c>
      <c r="K842" s="34" t="str">
        <f t="shared" si="141"/>
        <v/>
      </c>
      <c r="L842" s="34" t="str">
        <f t="shared" si="141"/>
        <v/>
      </c>
      <c r="M842" s="34" t="str">
        <f t="shared" si="141"/>
        <v/>
      </c>
      <c r="N842" s="34" t="str">
        <f t="shared" si="141"/>
        <v/>
      </c>
      <c r="O842" s="34" t="str">
        <f t="shared" si="141"/>
        <v/>
      </c>
      <c r="P842" s="34">
        <f t="shared" si="141"/>
        <v>84</v>
      </c>
      <c r="Q842" s="34">
        <f t="shared" si="141"/>
        <v>94</v>
      </c>
      <c r="R842" s="34">
        <f t="shared" si="141"/>
        <v>106</v>
      </c>
      <c r="S842" s="35">
        <f t="shared" si="139"/>
        <v>84</v>
      </c>
    </row>
    <row r="843" spans="2:19" hidden="1" outlineLevel="1">
      <c r="B843" s="14" t="s">
        <v>39</v>
      </c>
      <c r="C843" s="15" t="s">
        <v>66</v>
      </c>
      <c r="D843" s="52">
        <v>2053</v>
      </c>
      <c r="E843" s="34">
        <v>4</v>
      </c>
      <c r="F843" s="38">
        <f t="shared" si="136"/>
        <v>20582.293793209628</v>
      </c>
      <c r="G843" s="34">
        <f t="shared" si="137"/>
        <v>16</v>
      </c>
      <c r="H843" s="34">
        <f t="shared" si="138"/>
        <v>2</v>
      </c>
      <c r="I843" s="34" t="str">
        <f t="shared" si="141"/>
        <v/>
      </c>
      <c r="J843" s="34" t="str">
        <f t="shared" si="141"/>
        <v/>
      </c>
      <c r="K843" s="34" t="str">
        <f t="shared" si="141"/>
        <v/>
      </c>
      <c r="L843" s="34" t="str">
        <f t="shared" si="141"/>
        <v/>
      </c>
      <c r="M843" s="34" t="str">
        <f t="shared" si="141"/>
        <v/>
      </c>
      <c r="N843" s="34" t="str">
        <f t="shared" si="141"/>
        <v/>
      </c>
      <c r="O843" s="34" t="str">
        <f t="shared" si="141"/>
        <v/>
      </c>
      <c r="P843" s="34">
        <f t="shared" si="141"/>
        <v>84</v>
      </c>
      <c r="Q843" s="34">
        <f t="shared" si="141"/>
        <v>93</v>
      </c>
      <c r="R843" s="34">
        <f t="shared" si="141"/>
        <v>105</v>
      </c>
      <c r="S843" s="35">
        <f t="shared" si="139"/>
        <v>84</v>
      </c>
    </row>
    <row r="844" spans="2:19" hidden="1" outlineLevel="1">
      <c r="B844" s="14" t="s">
        <v>39</v>
      </c>
      <c r="C844" s="15" t="s">
        <v>66</v>
      </c>
      <c r="D844" s="52">
        <v>2053</v>
      </c>
      <c r="E844" s="34">
        <v>5</v>
      </c>
      <c r="F844" s="38">
        <f t="shared" si="136"/>
        <v>20582.293793209628</v>
      </c>
      <c r="G844" s="34">
        <f t="shared" si="137"/>
        <v>16</v>
      </c>
      <c r="H844" s="34">
        <f t="shared" si="138"/>
        <v>2</v>
      </c>
      <c r="I844" s="34" t="str">
        <f t="shared" si="141"/>
        <v/>
      </c>
      <c r="J844" s="34" t="str">
        <f t="shared" si="141"/>
        <v/>
      </c>
      <c r="K844" s="34" t="str">
        <f t="shared" si="141"/>
        <v/>
      </c>
      <c r="L844" s="34" t="str">
        <f t="shared" si="141"/>
        <v/>
      </c>
      <c r="M844" s="34" t="str">
        <f t="shared" si="141"/>
        <v/>
      </c>
      <c r="N844" s="34" t="str">
        <f t="shared" si="141"/>
        <v/>
      </c>
      <c r="O844" s="34" t="str">
        <f t="shared" si="141"/>
        <v/>
      </c>
      <c r="P844" s="34">
        <f t="shared" si="141"/>
        <v>84</v>
      </c>
      <c r="Q844" s="34">
        <f t="shared" si="141"/>
        <v>92</v>
      </c>
      <c r="R844" s="34">
        <f t="shared" si="141"/>
        <v>104</v>
      </c>
      <c r="S844" s="35">
        <f t="shared" si="139"/>
        <v>84</v>
      </c>
    </row>
    <row r="845" spans="2:19" hidden="1" outlineLevel="1">
      <c r="B845" s="14" t="s">
        <v>39</v>
      </c>
      <c r="C845" s="15" t="s">
        <v>66</v>
      </c>
      <c r="D845" s="52">
        <v>2053</v>
      </c>
      <c r="E845" s="34">
        <v>6</v>
      </c>
      <c r="F845" s="38">
        <f t="shared" si="136"/>
        <v>20582.293793209628</v>
      </c>
      <c r="G845" s="34">
        <f t="shared" si="137"/>
        <v>16</v>
      </c>
      <c r="H845" s="34">
        <f t="shared" si="138"/>
        <v>2</v>
      </c>
      <c r="I845" s="34" t="str">
        <f t="shared" si="141"/>
        <v/>
      </c>
      <c r="J845" s="34" t="str">
        <f t="shared" si="141"/>
        <v/>
      </c>
      <c r="K845" s="34" t="str">
        <f t="shared" si="141"/>
        <v/>
      </c>
      <c r="L845" s="34" t="str">
        <f t="shared" si="141"/>
        <v/>
      </c>
      <c r="M845" s="34" t="str">
        <f t="shared" si="141"/>
        <v/>
      </c>
      <c r="N845" s="34" t="str">
        <f t="shared" si="141"/>
        <v/>
      </c>
      <c r="O845" s="34" t="str">
        <f t="shared" si="141"/>
        <v/>
      </c>
      <c r="P845" s="34">
        <f t="shared" si="141"/>
        <v>84</v>
      </c>
      <c r="Q845" s="34">
        <f t="shared" si="141"/>
        <v>91</v>
      </c>
      <c r="R845" s="34">
        <f t="shared" si="141"/>
        <v>103</v>
      </c>
      <c r="S845" s="35">
        <f t="shared" si="139"/>
        <v>84</v>
      </c>
    </row>
    <row r="846" spans="2:19" hidden="1" outlineLevel="1">
      <c r="B846" s="14" t="s">
        <v>39</v>
      </c>
      <c r="C846" s="15" t="s">
        <v>66</v>
      </c>
      <c r="D846" s="52">
        <v>2053</v>
      </c>
      <c r="E846" s="34">
        <v>7</v>
      </c>
      <c r="F846" s="38">
        <f t="shared" si="136"/>
        <v>20582.293793209628</v>
      </c>
      <c r="G846" s="34">
        <f t="shared" si="137"/>
        <v>16</v>
      </c>
      <c r="H846" s="34">
        <f t="shared" si="138"/>
        <v>2</v>
      </c>
      <c r="I846" s="34" t="str">
        <f t="shared" si="141"/>
        <v/>
      </c>
      <c r="J846" s="34" t="str">
        <f t="shared" si="141"/>
        <v/>
      </c>
      <c r="K846" s="34" t="str">
        <f t="shared" si="141"/>
        <v/>
      </c>
      <c r="L846" s="34" t="str">
        <f t="shared" si="141"/>
        <v/>
      </c>
      <c r="M846" s="34" t="str">
        <f t="shared" si="141"/>
        <v/>
      </c>
      <c r="N846" s="34" t="str">
        <f t="shared" si="141"/>
        <v/>
      </c>
      <c r="O846" s="34" t="str">
        <f t="shared" si="141"/>
        <v/>
      </c>
      <c r="P846" s="34">
        <f t="shared" si="141"/>
        <v>84</v>
      </c>
      <c r="Q846" s="34">
        <f t="shared" si="141"/>
        <v>90</v>
      </c>
      <c r="R846" s="34">
        <f t="shared" si="141"/>
        <v>102</v>
      </c>
      <c r="S846" s="35">
        <f t="shared" si="139"/>
        <v>84</v>
      </c>
    </row>
    <row r="847" spans="2:19" hidden="1" outlineLevel="1">
      <c r="B847" s="14" t="s">
        <v>39</v>
      </c>
      <c r="C847" s="15" t="s">
        <v>66</v>
      </c>
      <c r="D847" s="52">
        <v>2053</v>
      </c>
      <c r="E847" s="34">
        <v>8</v>
      </c>
      <c r="F847" s="38">
        <f t="shared" si="136"/>
        <v>20582.293793209628</v>
      </c>
      <c r="G847" s="34">
        <f t="shared" si="137"/>
        <v>16</v>
      </c>
      <c r="H847" s="34">
        <f t="shared" si="138"/>
        <v>2</v>
      </c>
      <c r="I847" s="34" t="str">
        <f t="shared" si="141"/>
        <v/>
      </c>
      <c r="J847" s="34" t="str">
        <f t="shared" si="141"/>
        <v/>
      </c>
      <c r="K847" s="34" t="str">
        <f t="shared" si="141"/>
        <v/>
      </c>
      <c r="L847" s="34" t="str">
        <f t="shared" si="141"/>
        <v/>
      </c>
      <c r="M847" s="34" t="str">
        <f t="shared" si="141"/>
        <v/>
      </c>
      <c r="N847" s="34" t="str">
        <f t="shared" si="141"/>
        <v/>
      </c>
      <c r="O847" s="34" t="str">
        <f t="shared" si="141"/>
        <v/>
      </c>
      <c r="P847" s="34">
        <f t="shared" si="141"/>
        <v>84</v>
      </c>
      <c r="Q847" s="34">
        <f t="shared" si="141"/>
        <v>89</v>
      </c>
      <c r="R847" s="34">
        <f t="shared" si="141"/>
        <v>101</v>
      </c>
      <c r="S847" s="35">
        <f t="shared" si="139"/>
        <v>84</v>
      </c>
    </row>
    <row r="848" spans="2:19" hidden="1" outlineLevel="1">
      <c r="B848" s="14" t="s">
        <v>39</v>
      </c>
      <c r="C848" s="15" t="s">
        <v>66</v>
      </c>
      <c r="D848" s="52">
        <v>2053</v>
      </c>
      <c r="E848" s="34">
        <v>9</v>
      </c>
      <c r="F848" s="38">
        <f t="shared" si="136"/>
        <v>20582.293793209628</v>
      </c>
      <c r="G848" s="34">
        <f t="shared" si="137"/>
        <v>16</v>
      </c>
      <c r="H848" s="34">
        <f t="shared" si="138"/>
        <v>2</v>
      </c>
      <c r="I848" s="34" t="str">
        <f t="shared" si="141"/>
        <v/>
      </c>
      <c r="J848" s="34" t="str">
        <f t="shared" si="141"/>
        <v/>
      </c>
      <c r="K848" s="34" t="str">
        <f t="shared" si="141"/>
        <v/>
      </c>
      <c r="L848" s="34" t="str">
        <f t="shared" si="141"/>
        <v/>
      </c>
      <c r="M848" s="34" t="str">
        <f t="shared" si="141"/>
        <v/>
      </c>
      <c r="N848" s="34" t="str">
        <f t="shared" si="141"/>
        <v/>
      </c>
      <c r="O848" s="34" t="str">
        <f t="shared" si="141"/>
        <v/>
      </c>
      <c r="P848" s="34">
        <f t="shared" si="141"/>
        <v>84</v>
      </c>
      <c r="Q848" s="34">
        <f t="shared" si="141"/>
        <v>88</v>
      </c>
      <c r="R848" s="34">
        <f t="shared" si="141"/>
        <v>100</v>
      </c>
      <c r="S848" s="35">
        <f t="shared" si="139"/>
        <v>84</v>
      </c>
    </row>
    <row r="849" spans="2:19" hidden="1" outlineLevel="1">
      <c r="B849" s="14" t="s">
        <v>39</v>
      </c>
      <c r="C849" s="15" t="s">
        <v>66</v>
      </c>
      <c r="D849" s="52">
        <v>2053</v>
      </c>
      <c r="E849" s="34">
        <v>10</v>
      </c>
      <c r="F849" s="38">
        <f t="shared" si="136"/>
        <v>20582.293793209628</v>
      </c>
      <c r="G849" s="34">
        <f t="shared" si="137"/>
        <v>16</v>
      </c>
      <c r="H849" s="34">
        <f t="shared" si="138"/>
        <v>2</v>
      </c>
      <c r="I849" s="34" t="str">
        <f t="shared" si="141"/>
        <v/>
      </c>
      <c r="J849" s="34" t="str">
        <f t="shared" si="141"/>
        <v/>
      </c>
      <c r="K849" s="34" t="str">
        <f t="shared" si="141"/>
        <v/>
      </c>
      <c r="L849" s="34" t="str">
        <f t="shared" si="141"/>
        <v/>
      </c>
      <c r="M849" s="34" t="str">
        <f t="shared" si="141"/>
        <v/>
      </c>
      <c r="N849" s="34" t="str">
        <f t="shared" si="141"/>
        <v/>
      </c>
      <c r="O849" s="34" t="str">
        <f t="shared" si="141"/>
        <v/>
      </c>
      <c r="P849" s="34">
        <f t="shared" si="141"/>
        <v>84</v>
      </c>
      <c r="Q849" s="34">
        <f t="shared" si="141"/>
        <v>87</v>
      </c>
      <c r="R849" s="34">
        <f t="shared" si="141"/>
        <v>99</v>
      </c>
      <c r="S849" s="35">
        <f t="shared" si="139"/>
        <v>84</v>
      </c>
    </row>
    <row r="850" spans="2:19" hidden="1" outlineLevel="1">
      <c r="B850" s="14" t="s">
        <v>39</v>
      </c>
      <c r="C850" s="15" t="s">
        <v>66</v>
      </c>
      <c r="D850" s="52">
        <v>2053</v>
      </c>
      <c r="E850" s="34">
        <v>11</v>
      </c>
      <c r="F850" s="38">
        <f t="shared" si="136"/>
        <v>20582.293793209628</v>
      </c>
      <c r="G850" s="34">
        <f t="shared" si="137"/>
        <v>16</v>
      </c>
      <c r="H850" s="34">
        <f t="shared" si="138"/>
        <v>2</v>
      </c>
      <c r="I850" s="34" t="str">
        <f t="shared" ref="I850:R859" si="142">IF($D850&lt;$Z$18,"",IF(MAX($G850,INDEX($C$65:$F$108,$D850+I$119-2026,$H850))&lt;=12*I$119-$E850+12,MAX($G850,12*I$119-$E850+1,INDEX($C$65:$F$108,$D850+I$119-2026,$H850)),""))</f>
        <v/>
      </c>
      <c r="J850" s="34" t="str">
        <f t="shared" si="142"/>
        <v/>
      </c>
      <c r="K850" s="34" t="str">
        <f t="shared" si="142"/>
        <v/>
      </c>
      <c r="L850" s="34" t="str">
        <f t="shared" si="142"/>
        <v/>
      </c>
      <c r="M850" s="34" t="str">
        <f t="shared" si="142"/>
        <v/>
      </c>
      <c r="N850" s="34" t="str">
        <f t="shared" si="142"/>
        <v/>
      </c>
      <c r="O850" s="34" t="str">
        <f t="shared" si="142"/>
        <v/>
      </c>
      <c r="P850" s="34">
        <f t="shared" si="142"/>
        <v>84</v>
      </c>
      <c r="Q850" s="34">
        <f t="shared" si="142"/>
        <v>86</v>
      </c>
      <c r="R850" s="34">
        <f t="shared" si="142"/>
        <v>98</v>
      </c>
      <c r="S850" s="35">
        <f t="shared" si="139"/>
        <v>84</v>
      </c>
    </row>
    <row r="851" spans="2:19" hidden="1" outlineLevel="1">
      <c r="B851" s="14" t="s">
        <v>39</v>
      </c>
      <c r="C851" s="15" t="s">
        <v>66</v>
      </c>
      <c r="D851" s="52">
        <v>2053</v>
      </c>
      <c r="E851" s="34">
        <v>12</v>
      </c>
      <c r="F851" s="38">
        <f t="shared" si="136"/>
        <v>20582.293793209628</v>
      </c>
      <c r="G851" s="34">
        <f t="shared" si="137"/>
        <v>16</v>
      </c>
      <c r="H851" s="34">
        <f t="shared" si="138"/>
        <v>2</v>
      </c>
      <c r="I851" s="34" t="str">
        <f t="shared" si="142"/>
        <v/>
      </c>
      <c r="J851" s="34" t="str">
        <f t="shared" si="142"/>
        <v/>
      </c>
      <c r="K851" s="34" t="str">
        <f t="shared" si="142"/>
        <v/>
      </c>
      <c r="L851" s="34" t="str">
        <f t="shared" si="142"/>
        <v/>
      </c>
      <c r="M851" s="34" t="str">
        <f t="shared" si="142"/>
        <v/>
      </c>
      <c r="N851" s="34" t="str">
        <f t="shared" si="142"/>
        <v/>
      </c>
      <c r="O851" s="34" t="str">
        <f t="shared" si="142"/>
        <v/>
      </c>
      <c r="P851" s="34">
        <f t="shared" si="142"/>
        <v>84</v>
      </c>
      <c r="Q851" s="34">
        <f t="shared" si="142"/>
        <v>85</v>
      </c>
      <c r="R851" s="34">
        <f t="shared" si="142"/>
        <v>97</v>
      </c>
      <c r="S851" s="35">
        <f t="shared" si="139"/>
        <v>84</v>
      </c>
    </row>
    <row r="852" spans="2:19" hidden="1" outlineLevel="1">
      <c r="B852" s="14" t="s">
        <v>39</v>
      </c>
      <c r="C852" s="15" t="s">
        <v>66</v>
      </c>
      <c r="D852" s="52">
        <v>2054</v>
      </c>
      <c r="E852" s="34">
        <v>1</v>
      </c>
      <c r="F852" s="38">
        <f t="shared" si="136"/>
        <v>20524.709317928926</v>
      </c>
      <c r="G852" s="34">
        <f t="shared" si="137"/>
        <v>16</v>
      </c>
      <c r="H852" s="34">
        <f t="shared" si="138"/>
        <v>2</v>
      </c>
      <c r="I852" s="34" t="str">
        <f t="shared" si="142"/>
        <v/>
      </c>
      <c r="J852" s="34" t="str">
        <f t="shared" si="142"/>
        <v/>
      </c>
      <c r="K852" s="34" t="str">
        <f t="shared" si="142"/>
        <v/>
      </c>
      <c r="L852" s="34" t="str">
        <f t="shared" si="142"/>
        <v/>
      </c>
      <c r="M852" s="34" t="str">
        <f t="shared" si="142"/>
        <v/>
      </c>
      <c r="N852" s="34" t="str">
        <f t="shared" si="142"/>
        <v/>
      </c>
      <c r="O852" s="34" t="str">
        <f t="shared" si="142"/>
        <v/>
      </c>
      <c r="P852" s="34">
        <f t="shared" si="142"/>
        <v>84</v>
      </c>
      <c r="Q852" s="34">
        <f t="shared" si="142"/>
        <v>96</v>
      </c>
      <c r="R852" s="34">
        <f t="shared" si="142"/>
        <v>108</v>
      </c>
      <c r="S852" s="35">
        <f t="shared" si="139"/>
        <v>84</v>
      </c>
    </row>
    <row r="853" spans="2:19" hidden="1" outlineLevel="1">
      <c r="B853" s="14" t="s">
        <v>39</v>
      </c>
      <c r="C853" s="15" t="s">
        <v>66</v>
      </c>
      <c r="D853" s="52">
        <v>2054</v>
      </c>
      <c r="E853" s="34">
        <v>2</v>
      </c>
      <c r="F853" s="38">
        <f t="shared" si="136"/>
        <v>20524.709317928926</v>
      </c>
      <c r="G853" s="34">
        <f t="shared" si="137"/>
        <v>16</v>
      </c>
      <c r="H853" s="34">
        <f t="shared" si="138"/>
        <v>2</v>
      </c>
      <c r="I853" s="34" t="str">
        <f t="shared" si="142"/>
        <v/>
      </c>
      <c r="J853" s="34" t="str">
        <f t="shared" si="142"/>
        <v/>
      </c>
      <c r="K853" s="34" t="str">
        <f t="shared" si="142"/>
        <v/>
      </c>
      <c r="L853" s="34" t="str">
        <f t="shared" si="142"/>
        <v/>
      </c>
      <c r="M853" s="34" t="str">
        <f t="shared" si="142"/>
        <v/>
      </c>
      <c r="N853" s="34" t="str">
        <f t="shared" si="142"/>
        <v/>
      </c>
      <c r="O853" s="34" t="str">
        <f t="shared" si="142"/>
        <v/>
      </c>
      <c r="P853" s="34">
        <f t="shared" si="142"/>
        <v>84</v>
      </c>
      <c r="Q853" s="34">
        <f t="shared" si="142"/>
        <v>95</v>
      </c>
      <c r="R853" s="34">
        <f t="shared" si="142"/>
        <v>107</v>
      </c>
      <c r="S853" s="35">
        <f t="shared" si="139"/>
        <v>84</v>
      </c>
    </row>
    <row r="854" spans="2:19" hidden="1" outlineLevel="1">
      <c r="B854" s="14" t="s">
        <v>39</v>
      </c>
      <c r="C854" s="15" t="s">
        <v>66</v>
      </c>
      <c r="D854" s="52">
        <v>2054</v>
      </c>
      <c r="E854" s="34">
        <v>3</v>
      </c>
      <c r="F854" s="38">
        <f t="shared" si="136"/>
        <v>20524.709317928926</v>
      </c>
      <c r="G854" s="34">
        <f t="shared" si="137"/>
        <v>16</v>
      </c>
      <c r="H854" s="34">
        <f t="shared" si="138"/>
        <v>2</v>
      </c>
      <c r="I854" s="34" t="str">
        <f t="shared" si="142"/>
        <v/>
      </c>
      <c r="J854" s="34" t="str">
        <f t="shared" si="142"/>
        <v/>
      </c>
      <c r="K854" s="34" t="str">
        <f t="shared" si="142"/>
        <v/>
      </c>
      <c r="L854" s="34" t="str">
        <f t="shared" si="142"/>
        <v/>
      </c>
      <c r="M854" s="34" t="str">
        <f t="shared" si="142"/>
        <v/>
      </c>
      <c r="N854" s="34" t="str">
        <f t="shared" si="142"/>
        <v/>
      </c>
      <c r="O854" s="34" t="str">
        <f t="shared" si="142"/>
        <v/>
      </c>
      <c r="P854" s="34">
        <f t="shared" si="142"/>
        <v>84</v>
      </c>
      <c r="Q854" s="34">
        <f t="shared" si="142"/>
        <v>94</v>
      </c>
      <c r="R854" s="34">
        <f t="shared" si="142"/>
        <v>106</v>
      </c>
      <c r="S854" s="35">
        <f t="shared" si="139"/>
        <v>84</v>
      </c>
    </row>
    <row r="855" spans="2:19" hidden="1" outlineLevel="1">
      <c r="B855" s="14" t="s">
        <v>39</v>
      </c>
      <c r="C855" s="15" t="s">
        <v>66</v>
      </c>
      <c r="D855" s="52">
        <v>2054</v>
      </c>
      <c r="E855" s="34">
        <v>4</v>
      </c>
      <c r="F855" s="38">
        <f t="shared" si="136"/>
        <v>20524.709317928926</v>
      </c>
      <c r="G855" s="34">
        <f t="shared" si="137"/>
        <v>16</v>
      </c>
      <c r="H855" s="34">
        <f t="shared" si="138"/>
        <v>2</v>
      </c>
      <c r="I855" s="34" t="str">
        <f t="shared" si="142"/>
        <v/>
      </c>
      <c r="J855" s="34" t="str">
        <f t="shared" si="142"/>
        <v/>
      </c>
      <c r="K855" s="34" t="str">
        <f t="shared" si="142"/>
        <v/>
      </c>
      <c r="L855" s="34" t="str">
        <f t="shared" si="142"/>
        <v/>
      </c>
      <c r="M855" s="34" t="str">
        <f t="shared" si="142"/>
        <v/>
      </c>
      <c r="N855" s="34" t="str">
        <f t="shared" si="142"/>
        <v/>
      </c>
      <c r="O855" s="34" t="str">
        <f t="shared" si="142"/>
        <v/>
      </c>
      <c r="P855" s="34">
        <f t="shared" si="142"/>
        <v>84</v>
      </c>
      <c r="Q855" s="34">
        <f t="shared" si="142"/>
        <v>93</v>
      </c>
      <c r="R855" s="34">
        <f t="shared" si="142"/>
        <v>105</v>
      </c>
      <c r="S855" s="35">
        <f t="shared" si="139"/>
        <v>84</v>
      </c>
    </row>
    <row r="856" spans="2:19" hidden="1" outlineLevel="1">
      <c r="B856" s="14" t="s">
        <v>39</v>
      </c>
      <c r="C856" s="15" t="s">
        <v>66</v>
      </c>
      <c r="D856" s="52">
        <v>2054</v>
      </c>
      <c r="E856" s="34">
        <v>5</v>
      </c>
      <c r="F856" s="38">
        <f t="shared" si="136"/>
        <v>20524.709317928926</v>
      </c>
      <c r="G856" s="34">
        <f t="shared" si="137"/>
        <v>16</v>
      </c>
      <c r="H856" s="34">
        <f t="shared" si="138"/>
        <v>2</v>
      </c>
      <c r="I856" s="34" t="str">
        <f t="shared" si="142"/>
        <v/>
      </c>
      <c r="J856" s="34" t="str">
        <f t="shared" si="142"/>
        <v/>
      </c>
      <c r="K856" s="34" t="str">
        <f t="shared" si="142"/>
        <v/>
      </c>
      <c r="L856" s="34" t="str">
        <f t="shared" si="142"/>
        <v/>
      </c>
      <c r="M856" s="34" t="str">
        <f t="shared" si="142"/>
        <v/>
      </c>
      <c r="N856" s="34" t="str">
        <f t="shared" si="142"/>
        <v/>
      </c>
      <c r="O856" s="34" t="str">
        <f t="shared" si="142"/>
        <v/>
      </c>
      <c r="P856" s="34">
        <f t="shared" si="142"/>
        <v>84</v>
      </c>
      <c r="Q856" s="34">
        <f t="shared" si="142"/>
        <v>92</v>
      </c>
      <c r="R856" s="34">
        <f t="shared" si="142"/>
        <v>104</v>
      </c>
      <c r="S856" s="35">
        <f t="shared" si="139"/>
        <v>84</v>
      </c>
    </row>
    <row r="857" spans="2:19" hidden="1" outlineLevel="1">
      <c r="B857" s="14" t="s">
        <v>39</v>
      </c>
      <c r="C857" s="15" t="s">
        <v>66</v>
      </c>
      <c r="D857" s="52">
        <v>2054</v>
      </c>
      <c r="E857" s="34">
        <v>6</v>
      </c>
      <c r="F857" s="38">
        <f t="shared" si="136"/>
        <v>20524.709317928926</v>
      </c>
      <c r="G857" s="34">
        <f t="shared" si="137"/>
        <v>16</v>
      </c>
      <c r="H857" s="34">
        <f t="shared" si="138"/>
        <v>2</v>
      </c>
      <c r="I857" s="34" t="str">
        <f t="shared" si="142"/>
        <v/>
      </c>
      <c r="J857" s="34" t="str">
        <f t="shared" si="142"/>
        <v/>
      </c>
      <c r="K857" s="34" t="str">
        <f t="shared" si="142"/>
        <v/>
      </c>
      <c r="L857" s="34" t="str">
        <f t="shared" si="142"/>
        <v/>
      </c>
      <c r="M857" s="34" t="str">
        <f t="shared" si="142"/>
        <v/>
      </c>
      <c r="N857" s="34" t="str">
        <f t="shared" si="142"/>
        <v/>
      </c>
      <c r="O857" s="34" t="str">
        <f t="shared" si="142"/>
        <v/>
      </c>
      <c r="P857" s="34">
        <f t="shared" si="142"/>
        <v>84</v>
      </c>
      <c r="Q857" s="34">
        <f t="shared" si="142"/>
        <v>91</v>
      </c>
      <c r="R857" s="34">
        <f t="shared" si="142"/>
        <v>103</v>
      </c>
      <c r="S857" s="35">
        <f t="shared" si="139"/>
        <v>84</v>
      </c>
    </row>
    <row r="858" spans="2:19" hidden="1" outlineLevel="1">
      <c r="B858" s="14" t="s">
        <v>39</v>
      </c>
      <c r="C858" s="15" t="s">
        <v>66</v>
      </c>
      <c r="D858" s="52">
        <v>2054</v>
      </c>
      <c r="E858" s="34">
        <v>7</v>
      </c>
      <c r="F858" s="38">
        <f t="shared" si="136"/>
        <v>20524.709317928926</v>
      </c>
      <c r="G858" s="34">
        <f t="shared" si="137"/>
        <v>16</v>
      </c>
      <c r="H858" s="34">
        <f t="shared" si="138"/>
        <v>2</v>
      </c>
      <c r="I858" s="34" t="str">
        <f t="shared" si="142"/>
        <v/>
      </c>
      <c r="J858" s="34" t="str">
        <f t="shared" si="142"/>
        <v/>
      </c>
      <c r="K858" s="34" t="str">
        <f t="shared" si="142"/>
        <v/>
      </c>
      <c r="L858" s="34" t="str">
        <f t="shared" si="142"/>
        <v/>
      </c>
      <c r="M858" s="34" t="str">
        <f t="shared" si="142"/>
        <v/>
      </c>
      <c r="N858" s="34" t="str">
        <f t="shared" si="142"/>
        <v/>
      </c>
      <c r="O858" s="34" t="str">
        <f t="shared" si="142"/>
        <v/>
      </c>
      <c r="P858" s="34">
        <f t="shared" si="142"/>
        <v>84</v>
      </c>
      <c r="Q858" s="34">
        <f t="shared" si="142"/>
        <v>90</v>
      </c>
      <c r="R858" s="34">
        <f t="shared" si="142"/>
        <v>102</v>
      </c>
      <c r="S858" s="35">
        <f t="shared" si="139"/>
        <v>84</v>
      </c>
    </row>
    <row r="859" spans="2:19" hidden="1" outlineLevel="1">
      <c r="B859" s="14" t="s">
        <v>39</v>
      </c>
      <c r="C859" s="15" t="s">
        <v>66</v>
      </c>
      <c r="D859" s="52">
        <v>2054</v>
      </c>
      <c r="E859" s="34">
        <v>8</v>
      </c>
      <c r="F859" s="38">
        <f t="shared" si="136"/>
        <v>20524.709317928926</v>
      </c>
      <c r="G859" s="34">
        <f t="shared" si="137"/>
        <v>16</v>
      </c>
      <c r="H859" s="34">
        <f t="shared" si="138"/>
        <v>2</v>
      </c>
      <c r="I859" s="34" t="str">
        <f t="shared" si="142"/>
        <v/>
      </c>
      <c r="J859" s="34" t="str">
        <f t="shared" si="142"/>
        <v/>
      </c>
      <c r="K859" s="34" t="str">
        <f t="shared" si="142"/>
        <v/>
      </c>
      <c r="L859" s="34" t="str">
        <f t="shared" si="142"/>
        <v/>
      </c>
      <c r="M859" s="34" t="str">
        <f t="shared" si="142"/>
        <v/>
      </c>
      <c r="N859" s="34" t="str">
        <f t="shared" si="142"/>
        <v/>
      </c>
      <c r="O859" s="34" t="str">
        <f t="shared" si="142"/>
        <v/>
      </c>
      <c r="P859" s="34">
        <f t="shared" si="142"/>
        <v>84</v>
      </c>
      <c r="Q859" s="34">
        <f t="shared" si="142"/>
        <v>89</v>
      </c>
      <c r="R859" s="34">
        <f t="shared" si="142"/>
        <v>101</v>
      </c>
      <c r="S859" s="35">
        <f t="shared" si="139"/>
        <v>84</v>
      </c>
    </row>
    <row r="860" spans="2:19" hidden="1" outlineLevel="1">
      <c r="B860" s="14" t="s">
        <v>39</v>
      </c>
      <c r="C860" s="15" t="s">
        <v>66</v>
      </c>
      <c r="D860" s="52">
        <v>2054</v>
      </c>
      <c r="E860" s="34">
        <v>9</v>
      </c>
      <c r="F860" s="38">
        <f t="shared" si="136"/>
        <v>20524.709317928926</v>
      </c>
      <c r="G860" s="34">
        <f t="shared" si="137"/>
        <v>16</v>
      </c>
      <c r="H860" s="34">
        <f t="shared" si="138"/>
        <v>2</v>
      </c>
      <c r="I860" s="34" t="str">
        <f t="shared" ref="I860:R869" si="143">IF($D860&lt;$Z$18,"",IF(MAX($G860,INDEX($C$65:$F$108,$D860+I$119-2026,$H860))&lt;=12*I$119-$E860+12,MAX($G860,12*I$119-$E860+1,INDEX($C$65:$F$108,$D860+I$119-2026,$H860)),""))</f>
        <v/>
      </c>
      <c r="J860" s="34" t="str">
        <f t="shared" si="143"/>
        <v/>
      </c>
      <c r="K860" s="34" t="str">
        <f t="shared" si="143"/>
        <v/>
      </c>
      <c r="L860" s="34" t="str">
        <f t="shared" si="143"/>
        <v/>
      </c>
      <c r="M860" s="34" t="str">
        <f t="shared" si="143"/>
        <v/>
      </c>
      <c r="N860" s="34" t="str">
        <f t="shared" si="143"/>
        <v/>
      </c>
      <c r="O860" s="34" t="str">
        <f t="shared" si="143"/>
        <v/>
      </c>
      <c r="P860" s="34">
        <f t="shared" si="143"/>
        <v>84</v>
      </c>
      <c r="Q860" s="34">
        <f t="shared" si="143"/>
        <v>88</v>
      </c>
      <c r="R860" s="34">
        <f t="shared" si="143"/>
        <v>100</v>
      </c>
      <c r="S860" s="35">
        <f t="shared" si="139"/>
        <v>84</v>
      </c>
    </row>
    <row r="861" spans="2:19" hidden="1" outlineLevel="1">
      <c r="B861" s="14" t="s">
        <v>39</v>
      </c>
      <c r="C861" s="15" t="s">
        <v>66</v>
      </c>
      <c r="D861" s="52">
        <v>2054</v>
      </c>
      <c r="E861" s="34">
        <v>10</v>
      </c>
      <c r="F861" s="38">
        <f t="shared" si="136"/>
        <v>20524.709317928926</v>
      </c>
      <c r="G861" s="34">
        <f t="shared" si="137"/>
        <v>16</v>
      </c>
      <c r="H861" s="34">
        <f t="shared" si="138"/>
        <v>2</v>
      </c>
      <c r="I861" s="34" t="str">
        <f t="shared" si="143"/>
        <v/>
      </c>
      <c r="J861" s="34" t="str">
        <f t="shared" si="143"/>
        <v/>
      </c>
      <c r="K861" s="34" t="str">
        <f t="shared" si="143"/>
        <v/>
      </c>
      <c r="L861" s="34" t="str">
        <f t="shared" si="143"/>
        <v/>
      </c>
      <c r="M861" s="34" t="str">
        <f t="shared" si="143"/>
        <v/>
      </c>
      <c r="N861" s="34" t="str">
        <f t="shared" si="143"/>
        <v/>
      </c>
      <c r="O861" s="34" t="str">
        <f t="shared" si="143"/>
        <v/>
      </c>
      <c r="P861" s="34">
        <f t="shared" si="143"/>
        <v>84</v>
      </c>
      <c r="Q861" s="34">
        <f t="shared" si="143"/>
        <v>87</v>
      </c>
      <c r="R861" s="34">
        <f t="shared" si="143"/>
        <v>99</v>
      </c>
      <c r="S861" s="35">
        <f t="shared" si="139"/>
        <v>84</v>
      </c>
    </row>
    <row r="862" spans="2:19" hidden="1" outlineLevel="1">
      <c r="B862" s="14" t="s">
        <v>39</v>
      </c>
      <c r="C862" s="15" t="s">
        <v>66</v>
      </c>
      <c r="D862" s="52">
        <v>2054</v>
      </c>
      <c r="E862" s="34">
        <v>11</v>
      </c>
      <c r="F862" s="38">
        <f t="shared" si="136"/>
        <v>20524.709317928926</v>
      </c>
      <c r="G862" s="34">
        <f t="shared" si="137"/>
        <v>16</v>
      </c>
      <c r="H862" s="34">
        <f t="shared" si="138"/>
        <v>2</v>
      </c>
      <c r="I862" s="34" t="str">
        <f t="shared" si="143"/>
        <v/>
      </c>
      <c r="J862" s="34" t="str">
        <f t="shared" si="143"/>
        <v/>
      </c>
      <c r="K862" s="34" t="str">
        <f t="shared" si="143"/>
        <v/>
      </c>
      <c r="L862" s="34" t="str">
        <f t="shared" si="143"/>
        <v/>
      </c>
      <c r="M862" s="34" t="str">
        <f t="shared" si="143"/>
        <v/>
      </c>
      <c r="N862" s="34" t="str">
        <f t="shared" si="143"/>
        <v/>
      </c>
      <c r="O862" s="34" t="str">
        <f t="shared" si="143"/>
        <v/>
      </c>
      <c r="P862" s="34">
        <f t="shared" si="143"/>
        <v>84</v>
      </c>
      <c r="Q862" s="34">
        <f t="shared" si="143"/>
        <v>86</v>
      </c>
      <c r="R862" s="34">
        <f t="shared" si="143"/>
        <v>98</v>
      </c>
      <c r="S862" s="35">
        <f t="shared" si="139"/>
        <v>84</v>
      </c>
    </row>
    <row r="863" spans="2:19" hidden="1" outlineLevel="1">
      <c r="B863" s="14" t="s">
        <v>39</v>
      </c>
      <c r="C863" s="15" t="s">
        <v>66</v>
      </c>
      <c r="D863" s="52">
        <v>2054</v>
      </c>
      <c r="E863" s="34">
        <v>12</v>
      </c>
      <c r="F863" s="38">
        <f t="shared" si="136"/>
        <v>20524.709317928926</v>
      </c>
      <c r="G863" s="34">
        <f t="shared" si="137"/>
        <v>16</v>
      </c>
      <c r="H863" s="34">
        <f t="shared" si="138"/>
        <v>2</v>
      </c>
      <c r="I863" s="34" t="str">
        <f t="shared" si="143"/>
        <v/>
      </c>
      <c r="J863" s="34" t="str">
        <f t="shared" si="143"/>
        <v/>
      </c>
      <c r="K863" s="34" t="str">
        <f t="shared" si="143"/>
        <v/>
      </c>
      <c r="L863" s="34" t="str">
        <f t="shared" si="143"/>
        <v/>
      </c>
      <c r="M863" s="34" t="str">
        <f t="shared" si="143"/>
        <v/>
      </c>
      <c r="N863" s="34" t="str">
        <f t="shared" si="143"/>
        <v/>
      </c>
      <c r="O863" s="34" t="str">
        <f t="shared" si="143"/>
        <v/>
      </c>
      <c r="P863" s="34">
        <f t="shared" si="143"/>
        <v>84</v>
      </c>
      <c r="Q863" s="34">
        <f t="shared" si="143"/>
        <v>85</v>
      </c>
      <c r="R863" s="34">
        <f t="shared" si="143"/>
        <v>97</v>
      </c>
      <c r="S863" s="35">
        <f t="shared" si="139"/>
        <v>84</v>
      </c>
    </row>
    <row r="864" spans="2:19" hidden="1" outlineLevel="1">
      <c r="B864" s="14" t="s">
        <v>39</v>
      </c>
      <c r="C864" s="15" t="s">
        <v>66</v>
      </c>
      <c r="D864" s="52">
        <v>2055</v>
      </c>
      <c r="E864" s="34">
        <v>1</v>
      </c>
      <c r="F864" s="38">
        <f t="shared" si="136"/>
        <v>20319.752499646591</v>
      </c>
      <c r="G864" s="34">
        <f t="shared" si="137"/>
        <v>16</v>
      </c>
      <c r="H864" s="34">
        <f t="shared" si="138"/>
        <v>2</v>
      </c>
      <c r="I864" s="34" t="str">
        <f t="shared" si="143"/>
        <v/>
      </c>
      <c r="J864" s="34" t="str">
        <f t="shared" si="143"/>
        <v/>
      </c>
      <c r="K864" s="34" t="str">
        <f t="shared" si="143"/>
        <v/>
      </c>
      <c r="L864" s="34" t="str">
        <f t="shared" si="143"/>
        <v/>
      </c>
      <c r="M864" s="34" t="str">
        <f t="shared" si="143"/>
        <v/>
      </c>
      <c r="N864" s="34" t="str">
        <f t="shared" si="143"/>
        <v/>
      </c>
      <c r="O864" s="34" t="str">
        <f t="shared" si="143"/>
        <v/>
      </c>
      <c r="P864" s="34">
        <f t="shared" si="143"/>
        <v>84</v>
      </c>
      <c r="Q864" s="34">
        <f t="shared" si="143"/>
        <v>96</v>
      </c>
      <c r="R864" s="34">
        <f t="shared" si="143"/>
        <v>108</v>
      </c>
      <c r="S864" s="35">
        <f t="shared" si="139"/>
        <v>84</v>
      </c>
    </row>
    <row r="865" spans="2:19" hidden="1" outlineLevel="1">
      <c r="B865" s="14" t="s">
        <v>39</v>
      </c>
      <c r="C865" s="15" t="s">
        <v>66</v>
      </c>
      <c r="D865" s="52">
        <v>2055</v>
      </c>
      <c r="E865" s="34">
        <v>2</v>
      </c>
      <c r="F865" s="38">
        <f t="shared" si="136"/>
        <v>20319.752499646591</v>
      </c>
      <c r="G865" s="34">
        <f t="shared" si="137"/>
        <v>16</v>
      </c>
      <c r="H865" s="34">
        <f t="shared" si="138"/>
        <v>2</v>
      </c>
      <c r="I865" s="34" t="str">
        <f t="shared" si="143"/>
        <v/>
      </c>
      <c r="J865" s="34" t="str">
        <f t="shared" si="143"/>
        <v/>
      </c>
      <c r="K865" s="34" t="str">
        <f t="shared" si="143"/>
        <v/>
      </c>
      <c r="L865" s="34" t="str">
        <f t="shared" si="143"/>
        <v/>
      </c>
      <c r="M865" s="34" t="str">
        <f t="shared" si="143"/>
        <v/>
      </c>
      <c r="N865" s="34" t="str">
        <f t="shared" si="143"/>
        <v/>
      </c>
      <c r="O865" s="34" t="str">
        <f t="shared" si="143"/>
        <v/>
      </c>
      <c r="P865" s="34">
        <f t="shared" si="143"/>
        <v>84</v>
      </c>
      <c r="Q865" s="34">
        <f t="shared" si="143"/>
        <v>95</v>
      </c>
      <c r="R865" s="34">
        <f t="shared" si="143"/>
        <v>107</v>
      </c>
      <c r="S865" s="35">
        <f t="shared" si="139"/>
        <v>84</v>
      </c>
    </row>
    <row r="866" spans="2:19" hidden="1" outlineLevel="1">
      <c r="B866" s="14" t="s">
        <v>39</v>
      </c>
      <c r="C866" s="15" t="s">
        <v>66</v>
      </c>
      <c r="D866" s="52">
        <v>2055</v>
      </c>
      <c r="E866" s="34">
        <v>3</v>
      </c>
      <c r="F866" s="38">
        <f t="shared" si="136"/>
        <v>20319.752499646591</v>
      </c>
      <c r="G866" s="34">
        <f t="shared" si="137"/>
        <v>16</v>
      </c>
      <c r="H866" s="34">
        <f t="shared" si="138"/>
        <v>2</v>
      </c>
      <c r="I866" s="34" t="str">
        <f t="shared" si="143"/>
        <v/>
      </c>
      <c r="J866" s="34" t="str">
        <f t="shared" si="143"/>
        <v/>
      </c>
      <c r="K866" s="34" t="str">
        <f t="shared" si="143"/>
        <v/>
      </c>
      <c r="L866" s="34" t="str">
        <f t="shared" si="143"/>
        <v/>
      </c>
      <c r="M866" s="34" t="str">
        <f t="shared" si="143"/>
        <v/>
      </c>
      <c r="N866" s="34" t="str">
        <f t="shared" si="143"/>
        <v/>
      </c>
      <c r="O866" s="34" t="str">
        <f t="shared" si="143"/>
        <v/>
      </c>
      <c r="P866" s="34">
        <f t="shared" si="143"/>
        <v>84</v>
      </c>
      <c r="Q866" s="34">
        <f t="shared" si="143"/>
        <v>94</v>
      </c>
      <c r="R866" s="34">
        <f t="shared" si="143"/>
        <v>106</v>
      </c>
      <c r="S866" s="35">
        <f t="shared" si="139"/>
        <v>84</v>
      </c>
    </row>
    <row r="867" spans="2:19" hidden="1" outlineLevel="1">
      <c r="B867" s="14" t="s">
        <v>39</v>
      </c>
      <c r="C867" s="15" t="s">
        <v>66</v>
      </c>
      <c r="D867" s="52">
        <v>2055</v>
      </c>
      <c r="E867" s="34">
        <v>4</v>
      </c>
      <c r="F867" s="38">
        <f t="shared" si="136"/>
        <v>20319.752499646591</v>
      </c>
      <c r="G867" s="34">
        <f t="shared" si="137"/>
        <v>16</v>
      </c>
      <c r="H867" s="34">
        <f t="shared" si="138"/>
        <v>2</v>
      </c>
      <c r="I867" s="34" t="str">
        <f t="shared" si="143"/>
        <v/>
      </c>
      <c r="J867" s="34" t="str">
        <f t="shared" si="143"/>
        <v/>
      </c>
      <c r="K867" s="34" t="str">
        <f t="shared" si="143"/>
        <v/>
      </c>
      <c r="L867" s="34" t="str">
        <f t="shared" si="143"/>
        <v/>
      </c>
      <c r="M867" s="34" t="str">
        <f t="shared" si="143"/>
        <v/>
      </c>
      <c r="N867" s="34" t="str">
        <f t="shared" si="143"/>
        <v/>
      </c>
      <c r="O867" s="34" t="str">
        <f t="shared" si="143"/>
        <v/>
      </c>
      <c r="P867" s="34">
        <f t="shared" si="143"/>
        <v>84</v>
      </c>
      <c r="Q867" s="34">
        <f t="shared" si="143"/>
        <v>93</v>
      </c>
      <c r="R867" s="34">
        <f t="shared" si="143"/>
        <v>105</v>
      </c>
      <c r="S867" s="35">
        <f t="shared" si="139"/>
        <v>84</v>
      </c>
    </row>
    <row r="868" spans="2:19" hidden="1" outlineLevel="1">
      <c r="B868" s="14" t="s">
        <v>39</v>
      </c>
      <c r="C868" s="15" t="s">
        <v>66</v>
      </c>
      <c r="D868" s="52">
        <v>2055</v>
      </c>
      <c r="E868" s="34">
        <v>5</v>
      </c>
      <c r="F868" s="38">
        <f t="shared" si="136"/>
        <v>20319.752499646591</v>
      </c>
      <c r="G868" s="34">
        <f t="shared" si="137"/>
        <v>16</v>
      </c>
      <c r="H868" s="34">
        <f t="shared" si="138"/>
        <v>2</v>
      </c>
      <c r="I868" s="34" t="str">
        <f t="shared" si="143"/>
        <v/>
      </c>
      <c r="J868" s="34" t="str">
        <f t="shared" si="143"/>
        <v/>
      </c>
      <c r="K868" s="34" t="str">
        <f t="shared" si="143"/>
        <v/>
      </c>
      <c r="L868" s="34" t="str">
        <f t="shared" si="143"/>
        <v/>
      </c>
      <c r="M868" s="34" t="str">
        <f t="shared" si="143"/>
        <v/>
      </c>
      <c r="N868" s="34" t="str">
        <f t="shared" si="143"/>
        <v/>
      </c>
      <c r="O868" s="34" t="str">
        <f t="shared" si="143"/>
        <v/>
      </c>
      <c r="P868" s="34">
        <f t="shared" si="143"/>
        <v>84</v>
      </c>
      <c r="Q868" s="34">
        <f t="shared" si="143"/>
        <v>92</v>
      </c>
      <c r="R868" s="34">
        <f t="shared" si="143"/>
        <v>104</v>
      </c>
      <c r="S868" s="35">
        <f t="shared" si="139"/>
        <v>84</v>
      </c>
    </row>
    <row r="869" spans="2:19" hidden="1" outlineLevel="1">
      <c r="B869" s="14" t="s">
        <v>39</v>
      </c>
      <c r="C869" s="15" t="s">
        <v>66</v>
      </c>
      <c r="D869" s="52">
        <v>2055</v>
      </c>
      <c r="E869" s="34">
        <v>6</v>
      </c>
      <c r="F869" s="38">
        <f t="shared" si="136"/>
        <v>20319.752499646591</v>
      </c>
      <c r="G869" s="34">
        <f t="shared" si="137"/>
        <v>16</v>
      </c>
      <c r="H869" s="34">
        <f t="shared" si="138"/>
        <v>2</v>
      </c>
      <c r="I869" s="34" t="str">
        <f t="shared" si="143"/>
        <v/>
      </c>
      <c r="J869" s="34" t="str">
        <f t="shared" si="143"/>
        <v/>
      </c>
      <c r="K869" s="34" t="str">
        <f t="shared" si="143"/>
        <v/>
      </c>
      <c r="L869" s="34" t="str">
        <f t="shared" si="143"/>
        <v/>
      </c>
      <c r="M869" s="34" t="str">
        <f t="shared" si="143"/>
        <v/>
      </c>
      <c r="N869" s="34" t="str">
        <f t="shared" si="143"/>
        <v/>
      </c>
      <c r="O869" s="34" t="str">
        <f t="shared" si="143"/>
        <v/>
      </c>
      <c r="P869" s="34">
        <f t="shared" si="143"/>
        <v>84</v>
      </c>
      <c r="Q869" s="34">
        <f t="shared" si="143"/>
        <v>91</v>
      </c>
      <c r="R869" s="34">
        <f t="shared" si="143"/>
        <v>103</v>
      </c>
      <c r="S869" s="35">
        <f t="shared" si="139"/>
        <v>84</v>
      </c>
    </row>
    <row r="870" spans="2:19" hidden="1" outlineLevel="1">
      <c r="B870" s="14" t="s">
        <v>39</v>
      </c>
      <c r="C870" s="15" t="s">
        <v>66</v>
      </c>
      <c r="D870" s="52">
        <v>2055</v>
      </c>
      <c r="E870" s="34">
        <v>7</v>
      </c>
      <c r="F870" s="38">
        <f t="shared" si="136"/>
        <v>20319.752499646591</v>
      </c>
      <c r="G870" s="34">
        <f t="shared" si="137"/>
        <v>16</v>
      </c>
      <c r="H870" s="34">
        <f t="shared" si="138"/>
        <v>2</v>
      </c>
      <c r="I870" s="34" t="str">
        <f t="shared" ref="I870:R879" si="144">IF($D870&lt;$Z$18,"",IF(MAX($G870,INDEX($C$65:$F$108,$D870+I$119-2026,$H870))&lt;=12*I$119-$E870+12,MAX($G870,12*I$119-$E870+1,INDEX($C$65:$F$108,$D870+I$119-2026,$H870)),""))</f>
        <v/>
      </c>
      <c r="J870" s="34" t="str">
        <f t="shared" si="144"/>
        <v/>
      </c>
      <c r="K870" s="34" t="str">
        <f t="shared" si="144"/>
        <v/>
      </c>
      <c r="L870" s="34" t="str">
        <f t="shared" si="144"/>
        <v/>
      </c>
      <c r="M870" s="34" t="str">
        <f t="shared" si="144"/>
        <v/>
      </c>
      <c r="N870" s="34" t="str">
        <f t="shared" si="144"/>
        <v/>
      </c>
      <c r="O870" s="34" t="str">
        <f t="shared" si="144"/>
        <v/>
      </c>
      <c r="P870" s="34">
        <f t="shared" si="144"/>
        <v>84</v>
      </c>
      <c r="Q870" s="34">
        <f t="shared" si="144"/>
        <v>90</v>
      </c>
      <c r="R870" s="34">
        <f t="shared" si="144"/>
        <v>102</v>
      </c>
      <c r="S870" s="35">
        <f t="shared" si="139"/>
        <v>84</v>
      </c>
    </row>
    <row r="871" spans="2:19" hidden="1" outlineLevel="1">
      <c r="B871" s="14" t="s">
        <v>39</v>
      </c>
      <c r="C871" s="15" t="s">
        <v>66</v>
      </c>
      <c r="D871" s="52">
        <v>2055</v>
      </c>
      <c r="E871" s="34">
        <v>8</v>
      </c>
      <c r="F871" s="38">
        <f t="shared" si="136"/>
        <v>20319.752499646591</v>
      </c>
      <c r="G871" s="34">
        <f t="shared" si="137"/>
        <v>16</v>
      </c>
      <c r="H871" s="34">
        <f t="shared" si="138"/>
        <v>2</v>
      </c>
      <c r="I871" s="34" t="str">
        <f t="shared" si="144"/>
        <v/>
      </c>
      <c r="J871" s="34" t="str">
        <f t="shared" si="144"/>
        <v/>
      </c>
      <c r="K871" s="34" t="str">
        <f t="shared" si="144"/>
        <v/>
      </c>
      <c r="L871" s="34" t="str">
        <f t="shared" si="144"/>
        <v/>
      </c>
      <c r="M871" s="34" t="str">
        <f t="shared" si="144"/>
        <v/>
      </c>
      <c r="N871" s="34" t="str">
        <f t="shared" si="144"/>
        <v/>
      </c>
      <c r="O871" s="34" t="str">
        <f t="shared" si="144"/>
        <v/>
      </c>
      <c r="P871" s="34">
        <f t="shared" si="144"/>
        <v>84</v>
      </c>
      <c r="Q871" s="34">
        <f t="shared" si="144"/>
        <v>89</v>
      </c>
      <c r="R871" s="34">
        <f t="shared" si="144"/>
        <v>101</v>
      </c>
      <c r="S871" s="35">
        <f t="shared" si="139"/>
        <v>84</v>
      </c>
    </row>
    <row r="872" spans="2:19" hidden="1" outlineLevel="1">
      <c r="B872" s="14" t="s">
        <v>39</v>
      </c>
      <c r="C872" s="15" t="s">
        <v>66</v>
      </c>
      <c r="D872" s="52">
        <v>2055</v>
      </c>
      <c r="E872" s="34">
        <v>9</v>
      </c>
      <c r="F872" s="38">
        <f t="shared" si="136"/>
        <v>20319.752499646591</v>
      </c>
      <c r="G872" s="34">
        <f t="shared" si="137"/>
        <v>16</v>
      </c>
      <c r="H872" s="34">
        <f t="shared" si="138"/>
        <v>2</v>
      </c>
      <c r="I872" s="34" t="str">
        <f t="shared" si="144"/>
        <v/>
      </c>
      <c r="J872" s="34" t="str">
        <f t="shared" si="144"/>
        <v/>
      </c>
      <c r="K872" s="34" t="str">
        <f t="shared" si="144"/>
        <v/>
      </c>
      <c r="L872" s="34" t="str">
        <f t="shared" si="144"/>
        <v/>
      </c>
      <c r="M872" s="34" t="str">
        <f t="shared" si="144"/>
        <v/>
      </c>
      <c r="N872" s="34" t="str">
        <f t="shared" si="144"/>
        <v/>
      </c>
      <c r="O872" s="34" t="str">
        <f t="shared" si="144"/>
        <v/>
      </c>
      <c r="P872" s="34">
        <f t="shared" si="144"/>
        <v>84</v>
      </c>
      <c r="Q872" s="34">
        <f t="shared" si="144"/>
        <v>88</v>
      </c>
      <c r="R872" s="34">
        <f t="shared" si="144"/>
        <v>100</v>
      </c>
      <c r="S872" s="35">
        <f t="shared" si="139"/>
        <v>84</v>
      </c>
    </row>
    <row r="873" spans="2:19" hidden="1" outlineLevel="1">
      <c r="B873" s="14" t="s">
        <v>39</v>
      </c>
      <c r="C873" s="15" t="s">
        <v>66</v>
      </c>
      <c r="D873" s="52">
        <v>2055</v>
      </c>
      <c r="E873" s="34">
        <v>10</v>
      </c>
      <c r="F873" s="38">
        <f t="shared" si="136"/>
        <v>20319.752499646591</v>
      </c>
      <c r="G873" s="34">
        <f t="shared" si="137"/>
        <v>16</v>
      </c>
      <c r="H873" s="34">
        <f t="shared" si="138"/>
        <v>2</v>
      </c>
      <c r="I873" s="34" t="str">
        <f t="shared" si="144"/>
        <v/>
      </c>
      <c r="J873" s="34" t="str">
        <f t="shared" si="144"/>
        <v/>
      </c>
      <c r="K873" s="34" t="str">
        <f t="shared" si="144"/>
        <v/>
      </c>
      <c r="L873" s="34" t="str">
        <f t="shared" si="144"/>
        <v/>
      </c>
      <c r="M873" s="34" t="str">
        <f t="shared" si="144"/>
        <v/>
      </c>
      <c r="N873" s="34" t="str">
        <f t="shared" si="144"/>
        <v/>
      </c>
      <c r="O873" s="34" t="str">
        <f t="shared" si="144"/>
        <v/>
      </c>
      <c r="P873" s="34">
        <f t="shared" si="144"/>
        <v>84</v>
      </c>
      <c r="Q873" s="34">
        <f t="shared" si="144"/>
        <v>87</v>
      </c>
      <c r="R873" s="34">
        <f t="shared" si="144"/>
        <v>99</v>
      </c>
      <c r="S873" s="35">
        <f t="shared" si="139"/>
        <v>84</v>
      </c>
    </row>
    <row r="874" spans="2:19" hidden="1" outlineLevel="1">
      <c r="B874" s="14" t="s">
        <v>39</v>
      </c>
      <c r="C874" s="15" t="s">
        <v>66</v>
      </c>
      <c r="D874" s="52">
        <v>2055</v>
      </c>
      <c r="E874" s="34">
        <v>11</v>
      </c>
      <c r="F874" s="38">
        <f t="shared" si="136"/>
        <v>20319.752499646591</v>
      </c>
      <c r="G874" s="34">
        <f t="shared" si="137"/>
        <v>16</v>
      </c>
      <c r="H874" s="34">
        <f t="shared" si="138"/>
        <v>2</v>
      </c>
      <c r="I874" s="34" t="str">
        <f t="shared" si="144"/>
        <v/>
      </c>
      <c r="J874" s="34" t="str">
        <f t="shared" si="144"/>
        <v/>
      </c>
      <c r="K874" s="34" t="str">
        <f t="shared" si="144"/>
        <v/>
      </c>
      <c r="L874" s="34" t="str">
        <f t="shared" si="144"/>
        <v/>
      </c>
      <c r="M874" s="34" t="str">
        <f t="shared" si="144"/>
        <v/>
      </c>
      <c r="N874" s="34" t="str">
        <f t="shared" si="144"/>
        <v/>
      </c>
      <c r="O874" s="34" t="str">
        <f t="shared" si="144"/>
        <v/>
      </c>
      <c r="P874" s="34">
        <f t="shared" si="144"/>
        <v>84</v>
      </c>
      <c r="Q874" s="34">
        <f t="shared" si="144"/>
        <v>86</v>
      </c>
      <c r="R874" s="34">
        <f t="shared" si="144"/>
        <v>98</v>
      </c>
      <c r="S874" s="35">
        <f t="shared" si="139"/>
        <v>84</v>
      </c>
    </row>
    <row r="875" spans="2:19" hidden="1" outlineLevel="1">
      <c r="B875" s="14" t="s">
        <v>39</v>
      </c>
      <c r="C875" s="15" t="s">
        <v>66</v>
      </c>
      <c r="D875" s="52">
        <v>2055</v>
      </c>
      <c r="E875" s="34">
        <v>12</v>
      </c>
      <c r="F875" s="38">
        <f t="shared" si="136"/>
        <v>20319.752499646591</v>
      </c>
      <c r="G875" s="34">
        <f t="shared" si="137"/>
        <v>16</v>
      </c>
      <c r="H875" s="34">
        <f t="shared" si="138"/>
        <v>2</v>
      </c>
      <c r="I875" s="34" t="str">
        <f t="shared" si="144"/>
        <v/>
      </c>
      <c r="J875" s="34" t="str">
        <f t="shared" si="144"/>
        <v/>
      </c>
      <c r="K875" s="34" t="str">
        <f t="shared" si="144"/>
        <v/>
      </c>
      <c r="L875" s="34" t="str">
        <f t="shared" si="144"/>
        <v/>
      </c>
      <c r="M875" s="34" t="str">
        <f t="shared" si="144"/>
        <v/>
      </c>
      <c r="N875" s="34" t="str">
        <f t="shared" si="144"/>
        <v/>
      </c>
      <c r="O875" s="34" t="str">
        <f t="shared" si="144"/>
        <v/>
      </c>
      <c r="P875" s="34">
        <f t="shared" si="144"/>
        <v>84</v>
      </c>
      <c r="Q875" s="34">
        <f t="shared" si="144"/>
        <v>85</v>
      </c>
      <c r="R875" s="34">
        <f t="shared" si="144"/>
        <v>97</v>
      </c>
      <c r="S875" s="35">
        <f t="shared" si="139"/>
        <v>84</v>
      </c>
    </row>
    <row r="876" spans="2:19" hidden="1" outlineLevel="1">
      <c r="B876" s="14" t="s">
        <v>39</v>
      </c>
      <c r="C876" s="15" t="s">
        <v>66</v>
      </c>
      <c r="D876" s="52">
        <v>2056</v>
      </c>
      <c r="E876" s="34">
        <v>1</v>
      </c>
      <c r="F876" s="38">
        <f t="shared" si="136"/>
        <v>19906.218595344122</v>
      </c>
      <c r="G876" s="34">
        <f t="shared" si="137"/>
        <v>16</v>
      </c>
      <c r="H876" s="34">
        <f t="shared" si="138"/>
        <v>2</v>
      </c>
      <c r="I876" s="34" t="str">
        <f t="shared" si="144"/>
        <v/>
      </c>
      <c r="J876" s="34" t="str">
        <f t="shared" si="144"/>
        <v/>
      </c>
      <c r="K876" s="34" t="str">
        <f t="shared" si="144"/>
        <v/>
      </c>
      <c r="L876" s="34" t="str">
        <f t="shared" si="144"/>
        <v/>
      </c>
      <c r="M876" s="34" t="str">
        <f t="shared" si="144"/>
        <v/>
      </c>
      <c r="N876" s="34" t="str">
        <f t="shared" si="144"/>
        <v/>
      </c>
      <c r="O876" s="34" t="str">
        <f t="shared" si="144"/>
        <v/>
      </c>
      <c r="P876" s="34">
        <f t="shared" si="144"/>
        <v>84</v>
      </c>
      <c r="Q876" s="34">
        <f t="shared" si="144"/>
        <v>96</v>
      </c>
      <c r="R876" s="34">
        <f t="shared" si="144"/>
        <v>108</v>
      </c>
      <c r="S876" s="35">
        <f t="shared" si="139"/>
        <v>84</v>
      </c>
    </row>
    <row r="877" spans="2:19" hidden="1" outlineLevel="1">
      <c r="B877" s="14" t="s">
        <v>39</v>
      </c>
      <c r="C877" s="15" t="s">
        <v>66</v>
      </c>
      <c r="D877" s="52">
        <v>2056</v>
      </c>
      <c r="E877" s="34">
        <v>2</v>
      </c>
      <c r="F877" s="38">
        <f t="shared" si="136"/>
        <v>19906.218595344122</v>
      </c>
      <c r="G877" s="34">
        <f t="shared" si="137"/>
        <v>16</v>
      </c>
      <c r="H877" s="34">
        <f t="shared" si="138"/>
        <v>2</v>
      </c>
      <c r="I877" s="34" t="str">
        <f t="shared" si="144"/>
        <v/>
      </c>
      <c r="J877" s="34" t="str">
        <f t="shared" si="144"/>
        <v/>
      </c>
      <c r="K877" s="34" t="str">
        <f t="shared" si="144"/>
        <v/>
      </c>
      <c r="L877" s="34" t="str">
        <f t="shared" si="144"/>
        <v/>
      </c>
      <c r="M877" s="34" t="str">
        <f t="shared" si="144"/>
        <v/>
      </c>
      <c r="N877" s="34" t="str">
        <f t="shared" si="144"/>
        <v/>
      </c>
      <c r="O877" s="34" t="str">
        <f t="shared" si="144"/>
        <v/>
      </c>
      <c r="P877" s="34">
        <f t="shared" si="144"/>
        <v>84</v>
      </c>
      <c r="Q877" s="34">
        <f t="shared" si="144"/>
        <v>95</v>
      </c>
      <c r="R877" s="34">
        <f t="shared" si="144"/>
        <v>107</v>
      </c>
      <c r="S877" s="35">
        <f t="shared" si="139"/>
        <v>84</v>
      </c>
    </row>
    <row r="878" spans="2:19" hidden="1" outlineLevel="1">
      <c r="B878" s="14" t="s">
        <v>39</v>
      </c>
      <c r="C878" s="15" t="s">
        <v>66</v>
      </c>
      <c r="D878" s="52">
        <v>2056</v>
      </c>
      <c r="E878" s="34">
        <v>3</v>
      </c>
      <c r="F878" s="38">
        <f t="shared" si="136"/>
        <v>19906.218595344122</v>
      </c>
      <c r="G878" s="34">
        <f t="shared" si="137"/>
        <v>16</v>
      </c>
      <c r="H878" s="34">
        <f t="shared" si="138"/>
        <v>2</v>
      </c>
      <c r="I878" s="34" t="str">
        <f t="shared" si="144"/>
        <v/>
      </c>
      <c r="J878" s="34" t="str">
        <f t="shared" si="144"/>
        <v/>
      </c>
      <c r="K878" s="34" t="str">
        <f t="shared" si="144"/>
        <v/>
      </c>
      <c r="L878" s="34" t="str">
        <f t="shared" si="144"/>
        <v/>
      </c>
      <c r="M878" s="34" t="str">
        <f t="shared" si="144"/>
        <v/>
      </c>
      <c r="N878" s="34" t="str">
        <f t="shared" si="144"/>
        <v/>
      </c>
      <c r="O878" s="34" t="str">
        <f t="shared" si="144"/>
        <v/>
      </c>
      <c r="P878" s="34">
        <f t="shared" si="144"/>
        <v>84</v>
      </c>
      <c r="Q878" s="34">
        <f t="shared" si="144"/>
        <v>94</v>
      </c>
      <c r="R878" s="34">
        <f t="shared" si="144"/>
        <v>106</v>
      </c>
      <c r="S878" s="35">
        <f t="shared" si="139"/>
        <v>84</v>
      </c>
    </row>
    <row r="879" spans="2:19" hidden="1" outlineLevel="1">
      <c r="B879" s="14" t="s">
        <v>39</v>
      </c>
      <c r="C879" s="15" t="s">
        <v>66</v>
      </c>
      <c r="D879" s="52">
        <v>2056</v>
      </c>
      <c r="E879" s="34">
        <v>4</v>
      </c>
      <c r="F879" s="38">
        <f t="shared" si="136"/>
        <v>19906.218595344122</v>
      </c>
      <c r="G879" s="34">
        <f t="shared" si="137"/>
        <v>16</v>
      </c>
      <c r="H879" s="34">
        <f t="shared" si="138"/>
        <v>2</v>
      </c>
      <c r="I879" s="34" t="str">
        <f t="shared" si="144"/>
        <v/>
      </c>
      <c r="J879" s="34" t="str">
        <f t="shared" si="144"/>
        <v/>
      </c>
      <c r="K879" s="34" t="str">
        <f t="shared" si="144"/>
        <v/>
      </c>
      <c r="L879" s="34" t="str">
        <f t="shared" si="144"/>
        <v/>
      </c>
      <c r="M879" s="34" t="str">
        <f t="shared" si="144"/>
        <v/>
      </c>
      <c r="N879" s="34" t="str">
        <f t="shared" si="144"/>
        <v/>
      </c>
      <c r="O879" s="34" t="str">
        <f t="shared" si="144"/>
        <v/>
      </c>
      <c r="P879" s="34">
        <f t="shared" si="144"/>
        <v>84</v>
      </c>
      <c r="Q879" s="34">
        <f t="shared" si="144"/>
        <v>93</v>
      </c>
      <c r="R879" s="34">
        <f t="shared" si="144"/>
        <v>105</v>
      </c>
      <c r="S879" s="35">
        <f t="shared" si="139"/>
        <v>84</v>
      </c>
    </row>
    <row r="880" spans="2:19" hidden="1" outlineLevel="1">
      <c r="B880" s="14" t="s">
        <v>39</v>
      </c>
      <c r="C880" s="15" t="s">
        <v>66</v>
      </c>
      <c r="D880" s="52">
        <v>2056</v>
      </c>
      <c r="E880" s="34">
        <v>5</v>
      </c>
      <c r="F880" s="38">
        <f t="shared" si="136"/>
        <v>19906.218595344122</v>
      </c>
      <c r="G880" s="34">
        <f t="shared" si="137"/>
        <v>16</v>
      </c>
      <c r="H880" s="34">
        <f t="shared" si="138"/>
        <v>2</v>
      </c>
      <c r="I880" s="34" t="str">
        <f t="shared" ref="I880:R889" si="145">IF($D880&lt;$Z$18,"",IF(MAX($G880,INDEX($C$65:$F$108,$D880+I$119-2026,$H880))&lt;=12*I$119-$E880+12,MAX($G880,12*I$119-$E880+1,INDEX($C$65:$F$108,$D880+I$119-2026,$H880)),""))</f>
        <v/>
      </c>
      <c r="J880" s="34" t="str">
        <f t="shared" si="145"/>
        <v/>
      </c>
      <c r="K880" s="34" t="str">
        <f t="shared" si="145"/>
        <v/>
      </c>
      <c r="L880" s="34" t="str">
        <f t="shared" si="145"/>
        <v/>
      </c>
      <c r="M880" s="34" t="str">
        <f t="shared" si="145"/>
        <v/>
      </c>
      <c r="N880" s="34" t="str">
        <f t="shared" si="145"/>
        <v/>
      </c>
      <c r="O880" s="34" t="str">
        <f t="shared" si="145"/>
        <v/>
      </c>
      <c r="P880" s="34">
        <f t="shared" si="145"/>
        <v>84</v>
      </c>
      <c r="Q880" s="34">
        <f t="shared" si="145"/>
        <v>92</v>
      </c>
      <c r="R880" s="34">
        <f t="shared" si="145"/>
        <v>104</v>
      </c>
      <c r="S880" s="35">
        <f t="shared" si="139"/>
        <v>84</v>
      </c>
    </row>
    <row r="881" spans="2:19" hidden="1" outlineLevel="1">
      <c r="B881" s="14" t="s">
        <v>39</v>
      </c>
      <c r="C881" s="15" t="s">
        <v>66</v>
      </c>
      <c r="D881" s="52">
        <v>2056</v>
      </c>
      <c r="E881" s="34">
        <v>6</v>
      </c>
      <c r="F881" s="38">
        <f t="shared" si="136"/>
        <v>19906.218595344122</v>
      </c>
      <c r="G881" s="34">
        <f t="shared" si="137"/>
        <v>16</v>
      </c>
      <c r="H881" s="34">
        <f t="shared" si="138"/>
        <v>2</v>
      </c>
      <c r="I881" s="34" t="str">
        <f t="shared" si="145"/>
        <v/>
      </c>
      <c r="J881" s="34" t="str">
        <f t="shared" si="145"/>
        <v/>
      </c>
      <c r="K881" s="34" t="str">
        <f t="shared" si="145"/>
        <v/>
      </c>
      <c r="L881" s="34" t="str">
        <f t="shared" si="145"/>
        <v/>
      </c>
      <c r="M881" s="34" t="str">
        <f t="shared" si="145"/>
        <v/>
      </c>
      <c r="N881" s="34" t="str">
        <f t="shared" si="145"/>
        <v/>
      </c>
      <c r="O881" s="34" t="str">
        <f t="shared" si="145"/>
        <v/>
      </c>
      <c r="P881" s="34">
        <f t="shared" si="145"/>
        <v>84</v>
      </c>
      <c r="Q881" s="34">
        <f t="shared" si="145"/>
        <v>91</v>
      </c>
      <c r="R881" s="34">
        <f t="shared" si="145"/>
        <v>103</v>
      </c>
      <c r="S881" s="35">
        <f t="shared" si="139"/>
        <v>84</v>
      </c>
    </row>
    <row r="882" spans="2:19" hidden="1" outlineLevel="1">
      <c r="B882" s="14" t="s">
        <v>39</v>
      </c>
      <c r="C882" s="15" t="s">
        <v>66</v>
      </c>
      <c r="D882" s="52">
        <v>2056</v>
      </c>
      <c r="E882" s="34">
        <v>7</v>
      </c>
      <c r="F882" s="38">
        <f t="shared" si="136"/>
        <v>19906.218595344122</v>
      </c>
      <c r="G882" s="34">
        <f t="shared" si="137"/>
        <v>16</v>
      </c>
      <c r="H882" s="34">
        <f t="shared" si="138"/>
        <v>2</v>
      </c>
      <c r="I882" s="34" t="str">
        <f t="shared" si="145"/>
        <v/>
      </c>
      <c r="J882" s="34" t="str">
        <f t="shared" si="145"/>
        <v/>
      </c>
      <c r="K882" s="34" t="str">
        <f t="shared" si="145"/>
        <v/>
      </c>
      <c r="L882" s="34" t="str">
        <f t="shared" si="145"/>
        <v/>
      </c>
      <c r="M882" s="34" t="str">
        <f t="shared" si="145"/>
        <v/>
      </c>
      <c r="N882" s="34" t="str">
        <f t="shared" si="145"/>
        <v/>
      </c>
      <c r="O882" s="34" t="str">
        <f t="shared" si="145"/>
        <v/>
      </c>
      <c r="P882" s="34">
        <f t="shared" si="145"/>
        <v>84</v>
      </c>
      <c r="Q882" s="34">
        <f t="shared" si="145"/>
        <v>90</v>
      </c>
      <c r="R882" s="34">
        <f t="shared" si="145"/>
        <v>102</v>
      </c>
      <c r="S882" s="35">
        <f t="shared" si="139"/>
        <v>84</v>
      </c>
    </row>
    <row r="883" spans="2:19" hidden="1" outlineLevel="1">
      <c r="B883" s="14" t="s">
        <v>39</v>
      </c>
      <c r="C883" s="15" t="s">
        <v>66</v>
      </c>
      <c r="D883" s="52">
        <v>2056</v>
      </c>
      <c r="E883" s="34">
        <v>8</v>
      </c>
      <c r="F883" s="38">
        <f t="shared" si="136"/>
        <v>19906.218595344122</v>
      </c>
      <c r="G883" s="34">
        <f t="shared" si="137"/>
        <v>16</v>
      </c>
      <c r="H883" s="34">
        <f t="shared" si="138"/>
        <v>2</v>
      </c>
      <c r="I883" s="34" t="str">
        <f t="shared" si="145"/>
        <v/>
      </c>
      <c r="J883" s="34" t="str">
        <f t="shared" si="145"/>
        <v/>
      </c>
      <c r="K883" s="34" t="str">
        <f t="shared" si="145"/>
        <v/>
      </c>
      <c r="L883" s="34" t="str">
        <f t="shared" si="145"/>
        <v/>
      </c>
      <c r="M883" s="34" t="str">
        <f t="shared" si="145"/>
        <v/>
      </c>
      <c r="N883" s="34" t="str">
        <f t="shared" si="145"/>
        <v/>
      </c>
      <c r="O883" s="34" t="str">
        <f t="shared" si="145"/>
        <v/>
      </c>
      <c r="P883" s="34">
        <f t="shared" si="145"/>
        <v>84</v>
      </c>
      <c r="Q883" s="34">
        <f t="shared" si="145"/>
        <v>89</v>
      </c>
      <c r="R883" s="34">
        <f t="shared" si="145"/>
        <v>101</v>
      </c>
      <c r="S883" s="35">
        <f t="shared" si="139"/>
        <v>84</v>
      </c>
    </row>
    <row r="884" spans="2:19" hidden="1" outlineLevel="1">
      <c r="B884" s="14" t="s">
        <v>39</v>
      </c>
      <c r="C884" s="15" t="s">
        <v>66</v>
      </c>
      <c r="D884" s="52">
        <v>2056</v>
      </c>
      <c r="E884" s="34">
        <v>9</v>
      </c>
      <c r="F884" s="38">
        <f t="shared" si="136"/>
        <v>19906.218595344122</v>
      </c>
      <c r="G884" s="34">
        <f t="shared" si="137"/>
        <v>16</v>
      </c>
      <c r="H884" s="34">
        <f t="shared" si="138"/>
        <v>2</v>
      </c>
      <c r="I884" s="34" t="str">
        <f t="shared" si="145"/>
        <v/>
      </c>
      <c r="J884" s="34" t="str">
        <f t="shared" si="145"/>
        <v/>
      </c>
      <c r="K884" s="34" t="str">
        <f t="shared" si="145"/>
        <v/>
      </c>
      <c r="L884" s="34" t="str">
        <f t="shared" si="145"/>
        <v/>
      </c>
      <c r="M884" s="34" t="str">
        <f t="shared" si="145"/>
        <v/>
      </c>
      <c r="N884" s="34" t="str">
        <f t="shared" si="145"/>
        <v/>
      </c>
      <c r="O884" s="34" t="str">
        <f t="shared" si="145"/>
        <v/>
      </c>
      <c r="P884" s="34">
        <f t="shared" si="145"/>
        <v>84</v>
      </c>
      <c r="Q884" s="34">
        <f t="shared" si="145"/>
        <v>88</v>
      </c>
      <c r="R884" s="34">
        <f t="shared" si="145"/>
        <v>100</v>
      </c>
      <c r="S884" s="35">
        <f t="shared" si="139"/>
        <v>84</v>
      </c>
    </row>
    <row r="885" spans="2:19" hidden="1" outlineLevel="1">
      <c r="B885" s="14" t="s">
        <v>39</v>
      </c>
      <c r="C885" s="15" t="s">
        <v>66</v>
      </c>
      <c r="D885" s="52">
        <v>2056</v>
      </c>
      <c r="E885" s="34">
        <v>10</v>
      </c>
      <c r="F885" s="38">
        <f t="shared" si="136"/>
        <v>19906.218595344122</v>
      </c>
      <c r="G885" s="34">
        <f t="shared" si="137"/>
        <v>16</v>
      </c>
      <c r="H885" s="34">
        <f t="shared" si="138"/>
        <v>2</v>
      </c>
      <c r="I885" s="34" t="str">
        <f t="shared" si="145"/>
        <v/>
      </c>
      <c r="J885" s="34" t="str">
        <f t="shared" si="145"/>
        <v/>
      </c>
      <c r="K885" s="34" t="str">
        <f t="shared" si="145"/>
        <v/>
      </c>
      <c r="L885" s="34" t="str">
        <f t="shared" si="145"/>
        <v/>
      </c>
      <c r="M885" s="34" t="str">
        <f t="shared" si="145"/>
        <v/>
      </c>
      <c r="N885" s="34" t="str">
        <f t="shared" si="145"/>
        <v/>
      </c>
      <c r="O885" s="34" t="str">
        <f t="shared" si="145"/>
        <v/>
      </c>
      <c r="P885" s="34">
        <f t="shared" si="145"/>
        <v>84</v>
      </c>
      <c r="Q885" s="34">
        <f t="shared" si="145"/>
        <v>87</v>
      </c>
      <c r="R885" s="34">
        <f t="shared" si="145"/>
        <v>99</v>
      </c>
      <c r="S885" s="35">
        <f t="shared" si="139"/>
        <v>84</v>
      </c>
    </row>
    <row r="886" spans="2:19" hidden="1" outlineLevel="1">
      <c r="B886" s="14" t="s">
        <v>39</v>
      </c>
      <c r="C886" s="15" t="s">
        <v>66</v>
      </c>
      <c r="D886" s="52">
        <v>2056</v>
      </c>
      <c r="E886" s="34">
        <v>11</v>
      </c>
      <c r="F886" s="38">
        <f t="shared" si="136"/>
        <v>19906.218595344122</v>
      </c>
      <c r="G886" s="34">
        <f t="shared" si="137"/>
        <v>16</v>
      </c>
      <c r="H886" s="34">
        <f t="shared" si="138"/>
        <v>2</v>
      </c>
      <c r="I886" s="34" t="str">
        <f t="shared" si="145"/>
        <v/>
      </c>
      <c r="J886" s="34" t="str">
        <f t="shared" si="145"/>
        <v/>
      </c>
      <c r="K886" s="34" t="str">
        <f t="shared" si="145"/>
        <v/>
      </c>
      <c r="L886" s="34" t="str">
        <f t="shared" si="145"/>
        <v/>
      </c>
      <c r="M886" s="34" t="str">
        <f t="shared" si="145"/>
        <v/>
      </c>
      <c r="N886" s="34" t="str">
        <f t="shared" si="145"/>
        <v/>
      </c>
      <c r="O886" s="34" t="str">
        <f t="shared" si="145"/>
        <v/>
      </c>
      <c r="P886" s="34">
        <f t="shared" si="145"/>
        <v>84</v>
      </c>
      <c r="Q886" s="34">
        <f t="shared" si="145"/>
        <v>86</v>
      </c>
      <c r="R886" s="34">
        <f t="shared" si="145"/>
        <v>98</v>
      </c>
      <c r="S886" s="35">
        <f t="shared" si="139"/>
        <v>84</v>
      </c>
    </row>
    <row r="887" spans="2:19" hidden="1" outlineLevel="1">
      <c r="B887" s="14" t="s">
        <v>39</v>
      </c>
      <c r="C887" s="15" t="s">
        <v>66</v>
      </c>
      <c r="D887" s="52">
        <v>2056</v>
      </c>
      <c r="E887" s="34">
        <v>12</v>
      </c>
      <c r="F887" s="38">
        <f t="shared" si="136"/>
        <v>19906.218595344122</v>
      </c>
      <c r="G887" s="34">
        <f t="shared" si="137"/>
        <v>16</v>
      </c>
      <c r="H887" s="34">
        <f t="shared" si="138"/>
        <v>2</v>
      </c>
      <c r="I887" s="34" t="str">
        <f t="shared" si="145"/>
        <v/>
      </c>
      <c r="J887" s="34" t="str">
        <f t="shared" si="145"/>
        <v/>
      </c>
      <c r="K887" s="34" t="str">
        <f t="shared" si="145"/>
        <v/>
      </c>
      <c r="L887" s="34" t="str">
        <f t="shared" si="145"/>
        <v/>
      </c>
      <c r="M887" s="34" t="str">
        <f t="shared" si="145"/>
        <v/>
      </c>
      <c r="N887" s="34" t="str">
        <f t="shared" si="145"/>
        <v/>
      </c>
      <c r="O887" s="34" t="str">
        <f t="shared" si="145"/>
        <v/>
      </c>
      <c r="P887" s="34">
        <f t="shared" si="145"/>
        <v>84</v>
      </c>
      <c r="Q887" s="34">
        <f t="shared" si="145"/>
        <v>85</v>
      </c>
      <c r="R887" s="34">
        <f t="shared" si="145"/>
        <v>97</v>
      </c>
      <c r="S887" s="35">
        <f t="shared" si="139"/>
        <v>84</v>
      </c>
    </row>
    <row r="888" spans="2:19" hidden="1" outlineLevel="1">
      <c r="B888" s="14" t="s">
        <v>39</v>
      </c>
      <c r="C888" s="15" t="s">
        <v>66</v>
      </c>
      <c r="D888" s="52">
        <v>2057</v>
      </c>
      <c r="E888" s="34">
        <v>1</v>
      </c>
      <c r="F888" s="38">
        <f t="shared" ref="F888:F951" si="146">IF($C888="Homens",INDEX($C$5:$C$55,MATCH($D888,$B$5:$B$55,0)),INDEX($F$5:$F$55,MATCH($D888,$B$5:$B$55,0)))/12</f>
        <v>19512.811811316795</v>
      </c>
      <c r="G888" s="34">
        <f t="shared" ref="G888:G951" si="147">IF($C888="Homens",$Z$17,$AA$17)</f>
        <v>16</v>
      </c>
      <c r="H888" s="34">
        <f t="shared" ref="H888:H951" si="148">1+2*($B888="Com Transição")+($C888="Mulheres")</f>
        <v>2</v>
      </c>
      <c r="I888" s="34" t="str">
        <f t="shared" si="145"/>
        <v/>
      </c>
      <c r="J888" s="34" t="str">
        <f t="shared" si="145"/>
        <v/>
      </c>
      <c r="K888" s="34" t="str">
        <f t="shared" si="145"/>
        <v/>
      </c>
      <c r="L888" s="34" t="str">
        <f t="shared" si="145"/>
        <v/>
      </c>
      <c r="M888" s="34" t="str">
        <f t="shared" si="145"/>
        <v/>
      </c>
      <c r="N888" s="34" t="str">
        <f t="shared" si="145"/>
        <v/>
      </c>
      <c r="O888" s="34" t="str">
        <f t="shared" si="145"/>
        <v/>
      </c>
      <c r="P888" s="34">
        <f t="shared" si="145"/>
        <v>84</v>
      </c>
      <c r="Q888" s="34">
        <f t="shared" si="145"/>
        <v>96</v>
      </c>
      <c r="R888" s="34">
        <f t="shared" si="145"/>
        <v>108</v>
      </c>
      <c r="S888" s="35">
        <f t="shared" ref="S888:S951" si="149">IF($D888&lt;$Z$18,$G888,MIN(I888:R888))</f>
        <v>84</v>
      </c>
    </row>
    <row r="889" spans="2:19" hidden="1" outlineLevel="1">
      <c r="B889" s="14" t="s">
        <v>39</v>
      </c>
      <c r="C889" s="15" t="s">
        <v>66</v>
      </c>
      <c r="D889" s="52">
        <v>2057</v>
      </c>
      <c r="E889" s="34">
        <v>2</v>
      </c>
      <c r="F889" s="38">
        <f t="shared" si="146"/>
        <v>19512.811811316795</v>
      </c>
      <c r="G889" s="34">
        <f t="shared" si="147"/>
        <v>16</v>
      </c>
      <c r="H889" s="34">
        <f t="shared" si="148"/>
        <v>2</v>
      </c>
      <c r="I889" s="34" t="str">
        <f t="shared" si="145"/>
        <v/>
      </c>
      <c r="J889" s="34" t="str">
        <f t="shared" si="145"/>
        <v/>
      </c>
      <c r="K889" s="34" t="str">
        <f t="shared" si="145"/>
        <v/>
      </c>
      <c r="L889" s="34" t="str">
        <f t="shared" si="145"/>
        <v/>
      </c>
      <c r="M889" s="34" t="str">
        <f t="shared" si="145"/>
        <v/>
      </c>
      <c r="N889" s="34" t="str">
        <f t="shared" si="145"/>
        <v/>
      </c>
      <c r="O889" s="34" t="str">
        <f t="shared" si="145"/>
        <v/>
      </c>
      <c r="P889" s="34">
        <f t="shared" si="145"/>
        <v>84</v>
      </c>
      <c r="Q889" s="34">
        <f t="shared" si="145"/>
        <v>95</v>
      </c>
      <c r="R889" s="34">
        <f t="shared" si="145"/>
        <v>107</v>
      </c>
      <c r="S889" s="35">
        <f t="shared" si="149"/>
        <v>84</v>
      </c>
    </row>
    <row r="890" spans="2:19" hidden="1" outlineLevel="1">
      <c r="B890" s="14" t="s">
        <v>39</v>
      </c>
      <c r="C890" s="15" t="s">
        <v>66</v>
      </c>
      <c r="D890" s="52">
        <v>2057</v>
      </c>
      <c r="E890" s="34">
        <v>3</v>
      </c>
      <c r="F890" s="38">
        <f t="shared" si="146"/>
        <v>19512.811811316795</v>
      </c>
      <c r="G890" s="34">
        <f t="shared" si="147"/>
        <v>16</v>
      </c>
      <c r="H890" s="34">
        <f t="shared" si="148"/>
        <v>2</v>
      </c>
      <c r="I890" s="34" t="str">
        <f t="shared" ref="I890:R899" si="150">IF($D890&lt;$Z$18,"",IF(MAX($G890,INDEX($C$65:$F$108,$D890+I$119-2026,$H890))&lt;=12*I$119-$E890+12,MAX($G890,12*I$119-$E890+1,INDEX($C$65:$F$108,$D890+I$119-2026,$H890)),""))</f>
        <v/>
      </c>
      <c r="J890" s="34" t="str">
        <f t="shared" si="150"/>
        <v/>
      </c>
      <c r="K890" s="34" t="str">
        <f t="shared" si="150"/>
        <v/>
      </c>
      <c r="L890" s="34" t="str">
        <f t="shared" si="150"/>
        <v/>
      </c>
      <c r="M890" s="34" t="str">
        <f t="shared" si="150"/>
        <v/>
      </c>
      <c r="N890" s="34" t="str">
        <f t="shared" si="150"/>
        <v/>
      </c>
      <c r="O890" s="34" t="str">
        <f t="shared" si="150"/>
        <v/>
      </c>
      <c r="P890" s="34">
        <f t="shared" si="150"/>
        <v>84</v>
      </c>
      <c r="Q890" s="34">
        <f t="shared" si="150"/>
        <v>94</v>
      </c>
      <c r="R890" s="34">
        <f t="shared" si="150"/>
        <v>106</v>
      </c>
      <c r="S890" s="35">
        <f t="shared" si="149"/>
        <v>84</v>
      </c>
    </row>
    <row r="891" spans="2:19" hidden="1" outlineLevel="1">
      <c r="B891" s="14" t="s">
        <v>39</v>
      </c>
      <c r="C891" s="15" t="s">
        <v>66</v>
      </c>
      <c r="D891" s="52">
        <v>2057</v>
      </c>
      <c r="E891" s="34">
        <v>4</v>
      </c>
      <c r="F891" s="38">
        <f t="shared" si="146"/>
        <v>19512.811811316795</v>
      </c>
      <c r="G891" s="34">
        <f t="shared" si="147"/>
        <v>16</v>
      </c>
      <c r="H891" s="34">
        <f t="shared" si="148"/>
        <v>2</v>
      </c>
      <c r="I891" s="34" t="str">
        <f t="shared" si="150"/>
        <v/>
      </c>
      <c r="J891" s="34" t="str">
        <f t="shared" si="150"/>
        <v/>
      </c>
      <c r="K891" s="34" t="str">
        <f t="shared" si="150"/>
        <v/>
      </c>
      <c r="L891" s="34" t="str">
        <f t="shared" si="150"/>
        <v/>
      </c>
      <c r="M891" s="34" t="str">
        <f t="shared" si="150"/>
        <v/>
      </c>
      <c r="N891" s="34" t="str">
        <f t="shared" si="150"/>
        <v/>
      </c>
      <c r="O891" s="34" t="str">
        <f t="shared" si="150"/>
        <v/>
      </c>
      <c r="P891" s="34">
        <f t="shared" si="150"/>
        <v>84</v>
      </c>
      <c r="Q891" s="34">
        <f t="shared" si="150"/>
        <v>93</v>
      </c>
      <c r="R891" s="34">
        <f t="shared" si="150"/>
        <v>105</v>
      </c>
      <c r="S891" s="35">
        <f t="shared" si="149"/>
        <v>84</v>
      </c>
    </row>
    <row r="892" spans="2:19" hidden="1" outlineLevel="1">
      <c r="B892" s="14" t="s">
        <v>39</v>
      </c>
      <c r="C892" s="15" t="s">
        <v>66</v>
      </c>
      <c r="D892" s="52">
        <v>2057</v>
      </c>
      <c r="E892" s="34">
        <v>5</v>
      </c>
      <c r="F892" s="38">
        <f t="shared" si="146"/>
        <v>19512.811811316795</v>
      </c>
      <c r="G892" s="34">
        <f t="shared" si="147"/>
        <v>16</v>
      </c>
      <c r="H892" s="34">
        <f t="shared" si="148"/>
        <v>2</v>
      </c>
      <c r="I892" s="34" t="str">
        <f t="shared" si="150"/>
        <v/>
      </c>
      <c r="J892" s="34" t="str">
        <f t="shared" si="150"/>
        <v/>
      </c>
      <c r="K892" s="34" t="str">
        <f t="shared" si="150"/>
        <v/>
      </c>
      <c r="L892" s="34" t="str">
        <f t="shared" si="150"/>
        <v/>
      </c>
      <c r="M892" s="34" t="str">
        <f t="shared" si="150"/>
        <v/>
      </c>
      <c r="N892" s="34" t="str">
        <f t="shared" si="150"/>
        <v/>
      </c>
      <c r="O892" s="34" t="str">
        <f t="shared" si="150"/>
        <v/>
      </c>
      <c r="P892" s="34">
        <f t="shared" si="150"/>
        <v>84</v>
      </c>
      <c r="Q892" s="34">
        <f t="shared" si="150"/>
        <v>92</v>
      </c>
      <c r="R892" s="34">
        <f t="shared" si="150"/>
        <v>104</v>
      </c>
      <c r="S892" s="35">
        <f t="shared" si="149"/>
        <v>84</v>
      </c>
    </row>
    <row r="893" spans="2:19" hidden="1" outlineLevel="1">
      <c r="B893" s="14" t="s">
        <v>39</v>
      </c>
      <c r="C893" s="15" t="s">
        <v>66</v>
      </c>
      <c r="D893" s="52">
        <v>2057</v>
      </c>
      <c r="E893" s="34">
        <v>6</v>
      </c>
      <c r="F893" s="38">
        <f t="shared" si="146"/>
        <v>19512.811811316795</v>
      </c>
      <c r="G893" s="34">
        <f t="shared" si="147"/>
        <v>16</v>
      </c>
      <c r="H893" s="34">
        <f t="shared" si="148"/>
        <v>2</v>
      </c>
      <c r="I893" s="34" t="str">
        <f t="shared" si="150"/>
        <v/>
      </c>
      <c r="J893" s="34" t="str">
        <f t="shared" si="150"/>
        <v/>
      </c>
      <c r="K893" s="34" t="str">
        <f t="shared" si="150"/>
        <v/>
      </c>
      <c r="L893" s="34" t="str">
        <f t="shared" si="150"/>
        <v/>
      </c>
      <c r="M893" s="34" t="str">
        <f t="shared" si="150"/>
        <v/>
      </c>
      <c r="N893" s="34" t="str">
        <f t="shared" si="150"/>
        <v/>
      </c>
      <c r="O893" s="34" t="str">
        <f t="shared" si="150"/>
        <v/>
      </c>
      <c r="P893" s="34">
        <f t="shared" si="150"/>
        <v>84</v>
      </c>
      <c r="Q893" s="34">
        <f t="shared" si="150"/>
        <v>91</v>
      </c>
      <c r="R893" s="34">
        <f t="shared" si="150"/>
        <v>103</v>
      </c>
      <c r="S893" s="35">
        <f t="shared" si="149"/>
        <v>84</v>
      </c>
    </row>
    <row r="894" spans="2:19" hidden="1" outlineLevel="1">
      <c r="B894" s="14" t="s">
        <v>39</v>
      </c>
      <c r="C894" s="15" t="s">
        <v>66</v>
      </c>
      <c r="D894" s="52">
        <v>2057</v>
      </c>
      <c r="E894" s="34">
        <v>7</v>
      </c>
      <c r="F894" s="38">
        <f t="shared" si="146"/>
        <v>19512.811811316795</v>
      </c>
      <c r="G894" s="34">
        <f t="shared" si="147"/>
        <v>16</v>
      </c>
      <c r="H894" s="34">
        <f t="shared" si="148"/>
        <v>2</v>
      </c>
      <c r="I894" s="34" t="str">
        <f t="shared" si="150"/>
        <v/>
      </c>
      <c r="J894" s="34" t="str">
        <f t="shared" si="150"/>
        <v/>
      </c>
      <c r="K894" s="34" t="str">
        <f t="shared" si="150"/>
        <v/>
      </c>
      <c r="L894" s="34" t="str">
        <f t="shared" si="150"/>
        <v/>
      </c>
      <c r="M894" s="34" t="str">
        <f t="shared" si="150"/>
        <v/>
      </c>
      <c r="N894" s="34" t="str">
        <f t="shared" si="150"/>
        <v/>
      </c>
      <c r="O894" s="34" t="str">
        <f t="shared" si="150"/>
        <v/>
      </c>
      <c r="P894" s="34">
        <f t="shared" si="150"/>
        <v>84</v>
      </c>
      <c r="Q894" s="34">
        <f t="shared" si="150"/>
        <v>90</v>
      </c>
      <c r="R894" s="34">
        <f t="shared" si="150"/>
        <v>102</v>
      </c>
      <c r="S894" s="35">
        <f t="shared" si="149"/>
        <v>84</v>
      </c>
    </row>
    <row r="895" spans="2:19" hidden="1" outlineLevel="1">
      <c r="B895" s="14" t="s">
        <v>39</v>
      </c>
      <c r="C895" s="15" t="s">
        <v>66</v>
      </c>
      <c r="D895" s="52">
        <v>2057</v>
      </c>
      <c r="E895" s="34">
        <v>8</v>
      </c>
      <c r="F895" s="38">
        <f t="shared" si="146"/>
        <v>19512.811811316795</v>
      </c>
      <c r="G895" s="34">
        <f t="shared" si="147"/>
        <v>16</v>
      </c>
      <c r="H895" s="34">
        <f t="shared" si="148"/>
        <v>2</v>
      </c>
      <c r="I895" s="34" t="str">
        <f t="shared" si="150"/>
        <v/>
      </c>
      <c r="J895" s="34" t="str">
        <f t="shared" si="150"/>
        <v/>
      </c>
      <c r="K895" s="34" t="str">
        <f t="shared" si="150"/>
        <v/>
      </c>
      <c r="L895" s="34" t="str">
        <f t="shared" si="150"/>
        <v/>
      </c>
      <c r="M895" s="34" t="str">
        <f t="shared" si="150"/>
        <v/>
      </c>
      <c r="N895" s="34" t="str">
        <f t="shared" si="150"/>
        <v/>
      </c>
      <c r="O895" s="34" t="str">
        <f t="shared" si="150"/>
        <v/>
      </c>
      <c r="P895" s="34">
        <f t="shared" si="150"/>
        <v>84</v>
      </c>
      <c r="Q895" s="34">
        <f t="shared" si="150"/>
        <v>89</v>
      </c>
      <c r="R895" s="34">
        <f t="shared" si="150"/>
        <v>101</v>
      </c>
      <c r="S895" s="35">
        <f t="shared" si="149"/>
        <v>84</v>
      </c>
    </row>
    <row r="896" spans="2:19" hidden="1" outlineLevel="1">
      <c r="B896" s="14" t="s">
        <v>39</v>
      </c>
      <c r="C896" s="15" t="s">
        <v>66</v>
      </c>
      <c r="D896" s="52">
        <v>2057</v>
      </c>
      <c r="E896" s="34">
        <v>9</v>
      </c>
      <c r="F896" s="38">
        <f t="shared" si="146"/>
        <v>19512.811811316795</v>
      </c>
      <c r="G896" s="34">
        <f t="shared" si="147"/>
        <v>16</v>
      </c>
      <c r="H896" s="34">
        <f t="shared" si="148"/>
        <v>2</v>
      </c>
      <c r="I896" s="34" t="str">
        <f t="shared" si="150"/>
        <v/>
      </c>
      <c r="J896" s="34" t="str">
        <f t="shared" si="150"/>
        <v/>
      </c>
      <c r="K896" s="34" t="str">
        <f t="shared" si="150"/>
        <v/>
      </c>
      <c r="L896" s="34" t="str">
        <f t="shared" si="150"/>
        <v/>
      </c>
      <c r="M896" s="34" t="str">
        <f t="shared" si="150"/>
        <v/>
      </c>
      <c r="N896" s="34" t="str">
        <f t="shared" si="150"/>
        <v/>
      </c>
      <c r="O896" s="34" t="str">
        <f t="shared" si="150"/>
        <v/>
      </c>
      <c r="P896" s="34">
        <f t="shared" si="150"/>
        <v>84</v>
      </c>
      <c r="Q896" s="34">
        <f t="shared" si="150"/>
        <v>88</v>
      </c>
      <c r="R896" s="34">
        <f t="shared" si="150"/>
        <v>100</v>
      </c>
      <c r="S896" s="35">
        <f t="shared" si="149"/>
        <v>84</v>
      </c>
    </row>
    <row r="897" spans="2:19" hidden="1" outlineLevel="1">
      <c r="B897" s="14" t="s">
        <v>39</v>
      </c>
      <c r="C897" s="15" t="s">
        <v>66</v>
      </c>
      <c r="D897" s="52">
        <v>2057</v>
      </c>
      <c r="E897" s="34">
        <v>10</v>
      </c>
      <c r="F897" s="38">
        <f t="shared" si="146"/>
        <v>19512.811811316795</v>
      </c>
      <c r="G897" s="34">
        <f t="shared" si="147"/>
        <v>16</v>
      </c>
      <c r="H897" s="34">
        <f t="shared" si="148"/>
        <v>2</v>
      </c>
      <c r="I897" s="34" t="str">
        <f t="shared" si="150"/>
        <v/>
      </c>
      <c r="J897" s="34" t="str">
        <f t="shared" si="150"/>
        <v/>
      </c>
      <c r="K897" s="34" t="str">
        <f t="shared" si="150"/>
        <v/>
      </c>
      <c r="L897" s="34" t="str">
        <f t="shared" si="150"/>
        <v/>
      </c>
      <c r="M897" s="34" t="str">
        <f t="shared" si="150"/>
        <v/>
      </c>
      <c r="N897" s="34" t="str">
        <f t="shared" si="150"/>
        <v/>
      </c>
      <c r="O897" s="34" t="str">
        <f t="shared" si="150"/>
        <v/>
      </c>
      <c r="P897" s="34">
        <f t="shared" si="150"/>
        <v>84</v>
      </c>
      <c r="Q897" s="34">
        <f t="shared" si="150"/>
        <v>87</v>
      </c>
      <c r="R897" s="34">
        <f t="shared" si="150"/>
        <v>99</v>
      </c>
      <c r="S897" s="35">
        <f t="shared" si="149"/>
        <v>84</v>
      </c>
    </row>
    <row r="898" spans="2:19" hidden="1" outlineLevel="1">
      <c r="B898" s="14" t="s">
        <v>39</v>
      </c>
      <c r="C898" s="15" t="s">
        <v>66</v>
      </c>
      <c r="D898" s="52">
        <v>2057</v>
      </c>
      <c r="E898" s="34">
        <v>11</v>
      </c>
      <c r="F898" s="38">
        <f t="shared" si="146"/>
        <v>19512.811811316795</v>
      </c>
      <c r="G898" s="34">
        <f t="shared" si="147"/>
        <v>16</v>
      </c>
      <c r="H898" s="34">
        <f t="shared" si="148"/>
        <v>2</v>
      </c>
      <c r="I898" s="34" t="str">
        <f t="shared" si="150"/>
        <v/>
      </c>
      <c r="J898" s="34" t="str">
        <f t="shared" si="150"/>
        <v/>
      </c>
      <c r="K898" s="34" t="str">
        <f t="shared" si="150"/>
        <v/>
      </c>
      <c r="L898" s="34" t="str">
        <f t="shared" si="150"/>
        <v/>
      </c>
      <c r="M898" s="34" t="str">
        <f t="shared" si="150"/>
        <v/>
      </c>
      <c r="N898" s="34" t="str">
        <f t="shared" si="150"/>
        <v/>
      </c>
      <c r="O898" s="34" t="str">
        <f t="shared" si="150"/>
        <v/>
      </c>
      <c r="P898" s="34">
        <f t="shared" si="150"/>
        <v>84</v>
      </c>
      <c r="Q898" s="34">
        <f t="shared" si="150"/>
        <v>86</v>
      </c>
      <c r="R898" s="34">
        <f t="shared" si="150"/>
        <v>98</v>
      </c>
      <c r="S898" s="35">
        <f t="shared" si="149"/>
        <v>84</v>
      </c>
    </row>
    <row r="899" spans="2:19" hidden="1" outlineLevel="1">
      <c r="B899" s="14" t="s">
        <v>39</v>
      </c>
      <c r="C899" s="15" t="s">
        <v>66</v>
      </c>
      <c r="D899" s="52">
        <v>2057</v>
      </c>
      <c r="E899" s="34">
        <v>12</v>
      </c>
      <c r="F899" s="38">
        <f t="shared" si="146"/>
        <v>19512.811811316795</v>
      </c>
      <c r="G899" s="34">
        <f t="shared" si="147"/>
        <v>16</v>
      </c>
      <c r="H899" s="34">
        <f t="shared" si="148"/>
        <v>2</v>
      </c>
      <c r="I899" s="34" t="str">
        <f t="shared" si="150"/>
        <v/>
      </c>
      <c r="J899" s="34" t="str">
        <f t="shared" si="150"/>
        <v/>
      </c>
      <c r="K899" s="34" t="str">
        <f t="shared" si="150"/>
        <v/>
      </c>
      <c r="L899" s="34" t="str">
        <f t="shared" si="150"/>
        <v/>
      </c>
      <c r="M899" s="34" t="str">
        <f t="shared" si="150"/>
        <v/>
      </c>
      <c r="N899" s="34" t="str">
        <f t="shared" si="150"/>
        <v/>
      </c>
      <c r="O899" s="34" t="str">
        <f t="shared" si="150"/>
        <v/>
      </c>
      <c r="P899" s="34">
        <f t="shared" si="150"/>
        <v>84</v>
      </c>
      <c r="Q899" s="34">
        <f t="shared" si="150"/>
        <v>85</v>
      </c>
      <c r="R899" s="34">
        <f t="shared" si="150"/>
        <v>97</v>
      </c>
      <c r="S899" s="35">
        <f t="shared" si="149"/>
        <v>84</v>
      </c>
    </row>
    <row r="900" spans="2:19" hidden="1" outlineLevel="1">
      <c r="B900" s="14" t="s">
        <v>39</v>
      </c>
      <c r="C900" s="15" t="s">
        <v>66</v>
      </c>
      <c r="D900" s="52">
        <v>2058</v>
      </c>
      <c r="E900" s="34">
        <v>1</v>
      </c>
      <c r="F900" s="38">
        <f t="shared" si="146"/>
        <v>19185.105698473326</v>
      </c>
      <c r="G900" s="34">
        <f t="shared" si="147"/>
        <v>16</v>
      </c>
      <c r="H900" s="34">
        <f t="shared" si="148"/>
        <v>2</v>
      </c>
      <c r="I900" s="34" t="str">
        <f t="shared" ref="I900:R909" si="151">IF($D900&lt;$Z$18,"",IF(MAX($G900,INDEX($C$65:$F$108,$D900+I$119-2026,$H900))&lt;=12*I$119-$E900+12,MAX($G900,12*I$119-$E900+1,INDEX($C$65:$F$108,$D900+I$119-2026,$H900)),""))</f>
        <v/>
      </c>
      <c r="J900" s="34" t="str">
        <f t="shared" si="151"/>
        <v/>
      </c>
      <c r="K900" s="34" t="str">
        <f t="shared" si="151"/>
        <v/>
      </c>
      <c r="L900" s="34" t="str">
        <f t="shared" si="151"/>
        <v/>
      </c>
      <c r="M900" s="34" t="str">
        <f t="shared" si="151"/>
        <v/>
      </c>
      <c r="N900" s="34" t="str">
        <f t="shared" si="151"/>
        <v/>
      </c>
      <c r="O900" s="34" t="str">
        <f t="shared" si="151"/>
        <v/>
      </c>
      <c r="P900" s="34">
        <f t="shared" si="151"/>
        <v>84</v>
      </c>
      <c r="Q900" s="34">
        <f t="shared" si="151"/>
        <v>96</v>
      </c>
      <c r="R900" s="34">
        <f t="shared" si="151"/>
        <v>108</v>
      </c>
      <c r="S900" s="35">
        <f t="shared" si="149"/>
        <v>84</v>
      </c>
    </row>
    <row r="901" spans="2:19" hidden="1" outlineLevel="1">
      <c r="B901" s="14" t="s">
        <v>39</v>
      </c>
      <c r="C901" s="15" t="s">
        <v>66</v>
      </c>
      <c r="D901" s="52">
        <v>2058</v>
      </c>
      <c r="E901" s="34">
        <v>2</v>
      </c>
      <c r="F901" s="38">
        <f t="shared" si="146"/>
        <v>19185.105698473326</v>
      </c>
      <c r="G901" s="34">
        <f t="shared" si="147"/>
        <v>16</v>
      </c>
      <c r="H901" s="34">
        <f t="shared" si="148"/>
        <v>2</v>
      </c>
      <c r="I901" s="34" t="str">
        <f t="shared" si="151"/>
        <v/>
      </c>
      <c r="J901" s="34" t="str">
        <f t="shared" si="151"/>
        <v/>
      </c>
      <c r="K901" s="34" t="str">
        <f t="shared" si="151"/>
        <v/>
      </c>
      <c r="L901" s="34" t="str">
        <f t="shared" si="151"/>
        <v/>
      </c>
      <c r="M901" s="34" t="str">
        <f t="shared" si="151"/>
        <v/>
      </c>
      <c r="N901" s="34" t="str">
        <f t="shared" si="151"/>
        <v/>
      </c>
      <c r="O901" s="34" t="str">
        <f t="shared" si="151"/>
        <v/>
      </c>
      <c r="P901" s="34">
        <f t="shared" si="151"/>
        <v>84</v>
      </c>
      <c r="Q901" s="34">
        <f t="shared" si="151"/>
        <v>95</v>
      </c>
      <c r="R901" s="34">
        <f t="shared" si="151"/>
        <v>107</v>
      </c>
      <c r="S901" s="35">
        <f t="shared" si="149"/>
        <v>84</v>
      </c>
    </row>
    <row r="902" spans="2:19" hidden="1" outlineLevel="1">
      <c r="B902" s="14" t="s">
        <v>39</v>
      </c>
      <c r="C902" s="15" t="s">
        <v>66</v>
      </c>
      <c r="D902" s="52">
        <v>2058</v>
      </c>
      <c r="E902" s="34">
        <v>3</v>
      </c>
      <c r="F902" s="38">
        <f t="shared" si="146"/>
        <v>19185.105698473326</v>
      </c>
      <c r="G902" s="34">
        <f t="shared" si="147"/>
        <v>16</v>
      </c>
      <c r="H902" s="34">
        <f t="shared" si="148"/>
        <v>2</v>
      </c>
      <c r="I902" s="34" t="str">
        <f t="shared" si="151"/>
        <v/>
      </c>
      <c r="J902" s="34" t="str">
        <f t="shared" si="151"/>
        <v/>
      </c>
      <c r="K902" s="34" t="str">
        <f t="shared" si="151"/>
        <v/>
      </c>
      <c r="L902" s="34" t="str">
        <f t="shared" si="151"/>
        <v/>
      </c>
      <c r="M902" s="34" t="str">
        <f t="shared" si="151"/>
        <v/>
      </c>
      <c r="N902" s="34" t="str">
        <f t="shared" si="151"/>
        <v/>
      </c>
      <c r="O902" s="34" t="str">
        <f t="shared" si="151"/>
        <v/>
      </c>
      <c r="P902" s="34">
        <f t="shared" si="151"/>
        <v>84</v>
      </c>
      <c r="Q902" s="34">
        <f t="shared" si="151"/>
        <v>94</v>
      </c>
      <c r="R902" s="34">
        <f t="shared" si="151"/>
        <v>106</v>
      </c>
      <c r="S902" s="35">
        <f t="shared" si="149"/>
        <v>84</v>
      </c>
    </row>
    <row r="903" spans="2:19" hidden="1" outlineLevel="1">
      <c r="B903" s="14" t="s">
        <v>39</v>
      </c>
      <c r="C903" s="15" t="s">
        <v>66</v>
      </c>
      <c r="D903" s="52">
        <v>2058</v>
      </c>
      <c r="E903" s="34">
        <v>4</v>
      </c>
      <c r="F903" s="38">
        <f t="shared" si="146"/>
        <v>19185.105698473326</v>
      </c>
      <c r="G903" s="34">
        <f t="shared" si="147"/>
        <v>16</v>
      </c>
      <c r="H903" s="34">
        <f t="shared" si="148"/>
        <v>2</v>
      </c>
      <c r="I903" s="34" t="str">
        <f t="shared" si="151"/>
        <v/>
      </c>
      <c r="J903" s="34" t="str">
        <f t="shared" si="151"/>
        <v/>
      </c>
      <c r="K903" s="34" t="str">
        <f t="shared" si="151"/>
        <v/>
      </c>
      <c r="L903" s="34" t="str">
        <f t="shared" si="151"/>
        <v/>
      </c>
      <c r="M903" s="34" t="str">
        <f t="shared" si="151"/>
        <v/>
      </c>
      <c r="N903" s="34" t="str">
        <f t="shared" si="151"/>
        <v/>
      </c>
      <c r="O903" s="34" t="str">
        <f t="shared" si="151"/>
        <v/>
      </c>
      <c r="P903" s="34">
        <f t="shared" si="151"/>
        <v>84</v>
      </c>
      <c r="Q903" s="34">
        <f t="shared" si="151"/>
        <v>93</v>
      </c>
      <c r="R903" s="34">
        <f t="shared" si="151"/>
        <v>105</v>
      </c>
      <c r="S903" s="35">
        <f t="shared" si="149"/>
        <v>84</v>
      </c>
    </row>
    <row r="904" spans="2:19" hidden="1" outlineLevel="1">
      <c r="B904" s="14" t="s">
        <v>39</v>
      </c>
      <c r="C904" s="15" t="s">
        <v>66</v>
      </c>
      <c r="D904" s="52">
        <v>2058</v>
      </c>
      <c r="E904" s="34">
        <v>5</v>
      </c>
      <c r="F904" s="38">
        <f t="shared" si="146"/>
        <v>19185.105698473326</v>
      </c>
      <c r="G904" s="34">
        <f t="shared" si="147"/>
        <v>16</v>
      </c>
      <c r="H904" s="34">
        <f t="shared" si="148"/>
        <v>2</v>
      </c>
      <c r="I904" s="34" t="str">
        <f t="shared" si="151"/>
        <v/>
      </c>
      <c r="J904" s="34" t="str">
        <f t="shared" si="151"/>
        <v/>
      </c>
      <c r="K904" s="34" t="str">
        <f t="shared" si="151"/>
        <v/>
      </c>
      <c r="L904" s="34" t="str">
        <f t="shared" si="151"/>
        <v/>
      </c>
      <c r="M904" s="34" t="str">
        <f t="shared" si="151"/>
        <v/>
      </c>
      <c r="N904" s="34" t="str">
        <f t="shared" si="151"/>
        <v/>
      </c>
      <c r="O904" s="34" t="str">
        <f t="shared" si="151"/>
        <v/>
      </c>
      <c r="P904" s="34">
        <f t="shared" si="151"/>
        <v>84</v>
      </c>
      <c r="Q904" s="34">
        <f t="shared" si="151"/>
        <v>92</v>
      </c>
      <c r="R904" s="34">
        <f t="shared" si="151"/>
        <v>104</v>
      </c>
      <c r="S904" s="35">
        <f t="shared" si="149"/>
        <v>84</v>
      </c>
    </row>
    <row r="905" spans="2:19" hidden="1" outlineLevel="1">
      <c r="B905" s="14" t="s">
        <v>39</v>
      </c>
      <c r="C905" s="15" t="s">
        <v>66</v>
      </c>
      <c r="D905" s="52">
        <v>2058</v>
      </c>
      <c r="E905" s="34">
        <v>6</v>
      </c>
      <c r="F905" s="38">
        <f t="shared" si="146"/>
        <v>19185.105698473326</v>
      </c>
      <c r="G905" s="34">
        <f t="shared" si="147"/>
        <v>16</v>
      </c>
      <c r="H905" s="34">
        <f t="shared" si="148"/>
        <v>2</v>
      </c>
      <c r="I905" s="34" t="str">
        <f t="shared" si="151"/>
        <v/>
      </c>
      <c r="J905" s="34" t="str">
        <f t="shared" si="151"/>
        <v/>
      </c>
      <c r="K905" s="34" t="str">
        <f t="shared" si="151"/>
        <v/>
      </c>
      <c r="L905" s="34" t="str">
        <f t="shared" si="151"/>
        <v/>
      </c>
      <c r="M905" s="34" t="str">
        <f t="shared" si="151"/>
        <v/>
      </c>
      <c r="N905" s="34" t="str">
        <f t="shared" si="151"/>
        <v/>
      </c>
      <c r="O905" s="34" t="str">
        <f t="shared" si="151"/>
        <v/>
      </c>
      <c r="P905" s="34">
        <f t="shared" si="151"/>
        <v>84</v>
      </c>
      <c r="Q905" s="34">
        <f t="shared" si="151"/>
        <v>91</v>
      </c>
      <c r="R905" s="34">
        <f t="shared" si="151"/>
        <v>103</v>
      </c>
      <c r="S905" s="35">
        <f t="shared" si="149"/>
        <v>84</v>
      </c>
    </row>
    <row r="906" spans="2:19" hidden="1" outlineLevel="1">
      <c r="B906" s="14" t="s">
        <v>39</v>
      </c>
      <c r="C906" s="15" t="s">
        <v>66</v>
      </c>
      <c r="D906" s="52">
        <v>2058</v>
      </c>
      <c r="E906" s="34">
        <v>7</v>
      </c>
      <c r="F906" s="38">
        <f t="shared" si="146"/>
        <v>19185.105698473326</v>
      </c>
      <c r="G906" s="34">
        <f t="shared" si="147"/>
        <v>16</v>
      </c>
      <c r="H906" s="34">
        <f t="shared" si="148"/>
        <v>2</v>
      </c>
      <c r="I906" s="34" t="str">
        <f t="shared" si="151"/>
        <v/>
      </c>
      <c r="J906" s="34" t="str">
        <f t="shared" si="151"/>
        <v/>
      </c>
      <c r="K906" s="34" t="str">
        <f t="shared" si="151"/>
        <v/>
      </c>
      <c r="L906" s="34" t="str">
        <f t="shared" si="151"/>
        <v/>
      </c>
      <c r="M906" s="34" t="str">
        <f t="shared" si="151"/>
        <v/>
      </c>
      <c r="N906" s="34" t="str">
        <f t="shared" si="151"/>
        <v/>
      </c>
      <c r="O906" s="34" t="str">
        <f t="shared" si="151"/>
        <v/>
      </c>
      <c r="P906" s="34">
        <f t="shared" si="151"/>
        <v>84</v>
      </c>
      <c r="Q906" s="34">
        <f t="shared" si="151"/>
        <v>90</v>
      </c>
      <c r="R906" s="34">
        <f t="shared" si="151"/>
        <v>102</v>
      </c>
      <c r="S906" s="35">
        <f t="shared" si="149"/>
        <v>84</v>
      </c>
    </row>
    <row r="907" spans="2:19" hidden="1" outlineLevel="1">
      <c r="B907" s="14" t="s">
        <v>39</v>
      </c>
      <c r="C907" s="15" t="s">
        <v>66</v>
      </c>
      <c r="D907" s="52">
        <v>2058</v>
      </c>
      <c r="E907" s="34">
        <v>8</v>
      </c>
      <c r="F907" s="38">
        <f t="shared" si="146"/>
        <v>19185.105698473326</v>
      </c>
      <c r="G907" s="34">
        <f t="shared" si="147"/>
        <v>16</v>
      </c>
      <c r="H907" s="34">
        <f t="shared" si="148"/>
        <v>2</v>
      </c>
      <c r="I907" s="34" t="str">
        <f t="shared" si="151"/>
        <v/>
      </c>
      <c r="J907" s="34" t="str">
        <f t="shared" si="151"/>
        <v/>
      </c>
      <c r="K907" s="34" t="str">
        <f t="shared" si="151"/>
        <v/>
      </c>
      <c r="L907" s="34" t="str">
        <f t="shared" si="151"/>
        <v/>
      </c>
      <c r="M907" s="34" t="str">
        <f t="shared" si="151"/>
        <v/>
      </c>
      <c r="N907" s="34" t="str">
        <f t="shared" si="151"/>
        <v/>
      </c>
      <c r="O907" s="34" t="str">
        <f t="shared" si="151"/>
        <v/>
      </c>
      <c r="P907" s="34">
        <f t="shared" si="151"/>
        <v>84</v>
      </c>
      <c r="Q907" s="34">
        <f t="shared" si="151"/>
        <v>89</v>
      </c>
      <c r="R907" s="34">
        <f t="shared" si="151"/>
        <v>101</v>
      </c>
      <c r="S907" s="35">
        <f t="shared" si="149"/>
        <v>84</v>
      </c>
    </row>
    <row r="908" spans="2:19" hidden="1" outlineLevel="1">
      <c r="B908" s="14" t="s">
        <v>39</v>
      </c>
      <c r="C908" s="15" t="s">
        <v>66</v>
      </c>
      <c r="D908" s="52">
        <v>2058</v>
      </c>
      <c r="E908" s="34">
        <v>9</v>
      </c>
      <c r="F908" s="38">
        <f t="shared" si="146"/>
        <v>19185.105698473326</v>
      </c>
      <c r="G908" s="34">
        <f t="shared" si="147"/>
        <v>16</v>
      </c>
      <c r="H908" s="34">
        <f t="shared" si="148"/>
        <v>2</v>
      </c>
      <c r="I908" s="34" t="str">
        <f t="shared" si="151"/>
        <v/>
      </c>
      <c r="J908" s="34" t="str">
        <f t="shared" si="151"/>
        <v/>
      </c>
      <c r="K908" s="34" t="str">
        <f t="shared" si="151"/>
        <v/>
      </c>
      <c r="L908" s="34" t="str">
        <f t="shared" si="151"/>
        <v/>
      </c>
      <c r="M908" s="34" t="str">
        <f t="shared" si="151"/>
        <v/>
      </c>
      <c r="N908" s="34" t="str">
        <f t="shared" si="151"/>
        <v/>
      </c>
      <c r="O908" s="34" t="str">
        <f t="shared" si="151"/>
        <v/>
      </c>
      <c r="P908" s="34">
        <f t="shared" si="151"/>
        <v>84</v>
      </c>
      <c r="Q908" s="34">
        <f t="shared" si="151"/>
        <v>88</v>
      </c>
      <c r="R908" s="34">
        <f t="shared" si="151"/>
        <v>100</v>
      </c>
      <c r="S908" s="35">
        <f t="shared" si="149"/>
        <v>84</v>
      </c>
    </row>
    <row r="909" spans="2:19" hidden="1" outlineLevel="1">
      <c r="B909" s="14" t="s">
        <v>39</v>
      </c>
      <c r="C909" s="15" t="s">
        <v>66</v>
      </c>
      <c r="D909" s="52">
        <v>2058</v>
      </c>
      <c r="E909" s="34">
        <v>10</v>
      </c>
      <c r="F909" s="38">
        <f t="shared" si="146"/>
        <v>19185.105698473326</v>
      </c>
      <c r="G909" s="34">
        <f t="shared" si="147"/>
        <v>16</v>
      </c>
      <c r="H909" s="34">
        <f t="shared" si="148"/>
        <v>2</v>
      </c>
      <c r="I909" s="34" t="str">
        <f t="shared" si="151"/>
        <v/>
      </c>
      <c r="J909" s="34" t="str">
        <f t="shared" si="151"/>
        <v/>
      </c>
      <c r="K909" s="34" t="str">
        <f t="shared" si="151"/>
        <v/>
      </c>
      <c r="L909" s="34" t="str">
        <f t="shared" si="151"/>
        <v/>
      </c>
      <c r="M909" s="34" t="str">
        <f t="shared" si="151"/>
        <v/>
      </c>
      <c r="N909" s="34" t="str">
        <f t="shared" si="151"/>
        <v/>
      </c>
      <c r="O909" s="34" t="str">
        <f t="shared" si="151"/>
        <v/>
      </c>
      <c r="P909" s="34">
        <f t="shared" si="151"/>
        <v>84</v>
      </c>
      <c r="Q909" s="34">
        <f t="shared" si="151"/>
        <v>87</v>
      </c>
      <c r="R909" s="34">
        <f t="shared" si="151"/>
        <v>99</v>
      </c>
      <c r="S909" s="35">
        <f t="shared" si="149"/>
        <v>84</v>
      </c>
    </row>
    <row r="910" spans="2:19" hidden="1" outlineLevel="1">
      <c r="B910" s="14" t="s">
        <v>39</v>
      </c>
      <c r="C910" s="15" t="s">
        <v>66</v>
      </c>
      <c r="D910" s="52">
        <v>2058</v>
      </c>
      <c r="E910" s="34">
        <v>11</v>
      </c>
      <c r="F910" s="38">
        <f t="shared" si="146"/>
        <v>19185.105698473326</v>
      </c>
      <c r="G910" s="34">
        <f t="shared" si="147"/>
        <v>16</v>
      </c>
      <c r="H910" s="34">
        <f t="shared" si="148"/>
        <v>2</v>
      </c>
      <c r="I910" s="34" t="str">
        <f t="shared" ref="I910:R919" si="152">IF($D910&lt;$Z$18,"",IF(MAX($G910,INDEX($C$65:$F$108,$D910+I$119-2026,$H910))&lt;=12*I$119-$E910+12,MAX($G910,12*I$119-$E910+1,INDEX($C$65:$F$108,$D910+I$119-2026,$H910)),""))</f>
        <v/>
      </c>
      <c r="J910" s="34" t="str">
        <f t="shared" si="152"/>
        <v/>
      </c>
      <c r="K910" s="34" t="str">
        <f t="shared" si="152"/>
        <v/>
      </c>
      <c r="L910" s="34" t="str">
        <f t="shared" si="152"/>
        <v/>
      </c>
      <c r="M910" s="34" t="str">
        <f t="shared" si="152"/>
        <v/>
      </c>
      <c r="N910" s="34" t="str">
        <f t="shared" si="152"/>
        <v/>
      </c>
      <c r="O910" s="34" t="str">
        <f t="shared" si="152"/>
        <v/>
      </c>
      <c r="P910" s="34">
        <f t="shared" si="152"/>
        <v>84</v>
      </c>
      <c r="Q910" s="34">
        <f t="shared" si="152"/>
        <v>86</v>
      </c>
      <c r="R910" s="34">
        <f t="shared" si="152"/>
        <v>98</v>
      </c>
      <c r="S910" s="35">
        <f t="shared" si="149"/>
        <v>84</v>
      </c>
    </row>
    <row r="911" spans="2:19" hidden="1" outlineLevel="1">
      <c r="B911" s="14" t="s">
        <v>39</v>
      </c>
      <c r="C911" s="15" t="s">
        <v>66</v>
      </c>
      <c r="D911" s="52">
        <v>2058</v>
      </c>
      <c r="E911" s="34">
        <v>12</v>
      </c>
      <c r="F911" s="38">
        <f t="shared" si="146"/>
        <v>19185.105698473326</v>
      </c>
      <c r="G911" s="34">
        <f t="shared" si="147"/>
        <v>16</v>
      </c>
      <c r="H911" s="34">
        <f t="shared" si="148"/>
        <v>2</v>
      </c>
      <c r="I911" s="34" t="str">
        <f t="shared" si="152"/>
        <v/>
      </c>
      <c r="J911" s="34" t="str">
        <f t="shared" si="152"/>
        <v/>
      </c>
      <c r="K911" s="34" t="str">
        <f t="shared" si="152"/>
        <v/>
      </c>
      <c r="L911" s="34" t="str">
        <f t="shared" si="152"/>
        <v/>
      </c>
      <c r="M911" s="34" t="str">
        <f t="shared" si="152"/>
        <v/>
      </c>
      <c r="N911" s="34" t="str">
        <f t="shared" si="152"/>
        <v/>
      </c>
      <c r="O911" s="34" t="str">
        <f t="shared" si="152"/>
        <v/>
      </c>
      <c r="P911" s="34">
        <f t="shared" si="152"/>
        <v>84</v>
      </c>
      <c r="Q911" s="34">
        <f t="shared" si="152"/>
        <v>85</v>
      </c>
      <c r="R911" s="34">
        <f t="shared" si="152"/>
        <v>97</v>
      </c>
      <c r="S911" s="35">
        <f t="shared" si="149"/>
        <v>84</v>
      </c>
    </row>
    <row r="912" spans="2:19" hidden="1" outlineLevel="1">
      <c r="B912" s="14" t="s">
        <v>39</v>
      </c>
      <c r="C912" s="15" t="s">
        <v>66</v>
      </c>
      <c r="D912" s="52">
        <v>2059</v>
      </c>
      <c r="E912" s="34">
        <v>1</v>
      </c>
      <c r="F912" s="38">
        <f t="shared" si="146"/>
        <v>18940.783369626883</v>
      </c>
      <c r="G912" s="34">
        <f t="shared" si="147"/>
        <v>16</v>
      </c>
      <c r="H912" s="34">
        <f t="shared" si="148"/>
        <v>2</v>
      </c>
      <c r="I912" s="34" t="str">
        <f t="shared" si="152"/>
        <v/>
      </c>
      <c r="J912" s="34" t="str">
        <f t="shared" si="152"/>
        <v/>
      </c>
      <c r="K912" s="34" t="str">
        <f t="shared" si="152"/>
        <v/>
      </c>
      <c r="L912" s="34" t="str">
        <f t="shared" si="152"/>
        <v/>
      </c>
      <c r="M912" s="34" t="str">
        <f t="shared" si="152"/>
        <v/>
      </c>
      <c r="N912" s="34" t="str">
        <f t="shared" si="152"/>
        <v/>
      </c>
      <c r="O912" s="34" t="str">
        <f t="shared" si="152"/>
        <v/>
      </c>
      <c r="P912" s="34">
        <f t="shared" si="152"/>
        <v>84</v>
      </c>
      <c r="Q912" s="34">
        <f t="shared" si="152"/>
        <v>96</v>
      </c>
      <c r="R912" s="34">
        <f t="shared" si="152"/>
        <v>108</v>
      </c>
      <c r="S912" s="35">
        <f t="shared" si="149"/>
        <v>84</v>
      </c>
    </row>
    <row r="913" spans="2:19" hidden="1" outlineLevel="1">
      <c r="B913" s="14" t="s">
        <v>39</v>
      </c>
      <c r="C913" s="15" t="s">
        <v>66</v>
      </c>
      <c r="D913" s="52">
        <v>2059</v>
      </c>
      <c r="E913" s="34">
        <v>2</v>
      </c>
      <c r="F913" s="38">
        <f t="shared" si="146"/>
        <v>18940.783369626883</v>
      </c>
      <c r="G913" s="34">
        <f t="shared" si="147"/>
        <v>16</v>
      </c>
      <c r="H913" s="34">
        <f t="shared" si="148"/>
        <v>2</v>
      </c>
      <c r="I913" s="34" t="str">
        <f t="shared" si="152"/>
        <v/>
      </c>
      <c r="J913" s="34" t="str">
        <f t="shared" si="152"/>
        <v/>
      </c>
      <c r="K913" s="34" t="str">
        <f t="shared" si="152"/>
        <v/>
      </c>
      <c r="L913" s="34" t="str">
        <f t="shared" si="152"/>
        <v/>
      </c>
      <c r="M913" s="34" t="str">
        <f t="shared" si="152"/>
        <v/>
      </c>
      <c r="N913" s="34" t="str">
        <f t="shared" si="152"/>
        <v/>
      </c>
      <c r="O913" s="34" t="str">
        <f t="shared" si="152"/>
        <v/>
      </c>
      <c r="P913" s="34">
        <f t="shared" si="152"/>
        <v>84</v>
      </c>
      <c r="Q913" s="34">
        <f t="shared" si="152"/>
        <v>95</v>
      </c>
      <c r="R913" s="34">
        <f t="shared" si="152"/>
        <v>107</v>
      </c>
      <c r="S913" s="35">
        <f t="shared" si="149"/>
        <v>84</v>
      </c>
    </row>
    <row r="914" spans="2:19" hidden="1" outlineLevel="1">
      <c r="B914" s="14" t="s">
        <v>39</v>
      </c>
      <c r="C914" s="15" t="s">
        <v>66</v>
      </c>
      <c r="D914" s="52">
        <v>2059</v>
      </c>
      <c r="E914" s="34">
        <v>3</v>
      </c>
      <c r="F914" s="38">
        <f t="shared" si="146"/>
        <v>18940.783369626883</v>
      </c>
      <c r="G914" s="34">
        <f t="shared" si="147"/>
        <v>16</v>
      </c>
      <c r="H914" s="34">
        <f t="shared" si="148"/>
        <v>2</v>
      </c>
      <c r="I914" s="34" t="str">
        <f t="shared" si="152"/>
        <v/>
      </c>
      <c r="J914" s="34" t="str">
        <f t="shared" si="152"/>
        <v/>
      </c>
      <c r="K914" s="34" t="str">
        <f t="shared" si="152"/>
        <v/>
      </c>
      <c r="L914" s="34" t="str">
        <f t="shared" si="152"/>
        <v/>
      </c>
      <c r="M914" s="34" t="str">
        <f t="shared" si="152"/>
        <v/>
      </c>
      <c r="N914" s="34" t="str">
        <f t="shared" si="152"/>
        <v/>
      </c>
      <c r="O914" s="34" t="str">
        <f t="shared" si="152"/>
        <v/>
      </c>
      <c r="P914" s="34">
        <f t="shared" si="152"/>
        <v>84</v>
      </c>
      <c r="Q914" s="34">
        <f t="shared" si="152"/>
        <v>94</v>
      </c>
      <c r="R914" s="34">
        <f t="shared" si="152"/>
        <v>106</v>
      </c>
      <c r="S914" s="35">
        <f t="shared" si="149"/>
        <v>84</v>
      </c>
    </row>
    <row r="915" spans="2:19" hidden="1" outlineLevel="1">
      <c r="B915" s="14" t="s">
        <v>39</v>
      </c>
      <c r="C915" s="15" t="s">
        <v>66</v>
      </c>
      <c r="D915" s="52">
        <v>2059</v>
      </c>
      <c r="E915" s="34">
        <v>4</v>
      </c>
      <c r="F915" s="38">
        <f t="shared" si="146"/>
        <v>18940.783369626883</v>
      </c>
      <c r="G915" s="34">
        <f t="shared" si="147"/>
        <v>16</v>
      </c>
      <c r="H915" s="34">
        <f t="shared" si="148"/>
        <v>2</v>
      </c>
      <c r="I915" s="34" t="str">
        <f t="shared" si="152"/>
        <v/>
      </c>
      <c r="J915" s="34" t="str">
        <f t="shared" si="152"/>
        <v/>
      </c>
      <c r="K915" s="34" t="str">
        <f t="shared" si="152"/>
        <v/>
      </c>
      <c r="L915" s="34" t="str">
        <f t="shared" si="152"/>
        <v/>
      </c>
      <c r="M915" s="34" t="str">
        <f t="shared" si="152"/>
        <v/>
      </c>
      <c r="N915" s="34" t="str">
        <f t="shared" si="152"/>
        <v/>
      </c>
      <c r="O915" s="34" t="str">
        <f t="shared" si="152"/>
        <v/>
      </c>
      <c r="P915" s="34">
        <f t="shared" si="152"/>
        <v>84</v>
      </c>
      <c r="Q915" s="34">
        <f t="shared" si="152"/>
        <v>93</v>
      </c>
      <c r="R915" s="34">
        <f t="shared" si="152"/>
        <v>105</v>
      </c>
      <c r="S915" s="35">
        <f t="shared" si="149"/>
        <v>84</v>
      </c>
    </row>
    <row r="916" spans="2:19" hidden="1" outlineLevel="1">
      <c r="B916" s="14" t="s">
        <v>39</v>
      </c>
      <c r="C916" s="15" t="s">
        <v>66</v>
      </c>
      <c r="D916" s="52">
        <v>2059</v>
      </c>
      <c r="E916" s="34">
        <v>5</v>
      </c>
      <c r="F916" s="38">
        <f t="shared" si="146"/>
        <v>18940.783369626883</v>
      </c>
      <c r="G916" s="34">
        <f t="shared" si="147"/>
        <v>16</v>
      </c>
      <c r="H916" s="34">
        <f t="shared" si="148"/>
        <v>2</v>
      </c>
      <c r="I916" s="34" t="str">
        <f t="shared" si="152"/>
        <v/>
      </c>
      <c r="J916" s="34" t="str">
        <f t="shared" si="152"/>
        <v/>
      </c>
      <c r="K916" s="34" t="str">
        <f t="shared" si="152"/>
        <v/>
      </c>
      <c r="L916" s="34" t="str">
        <f t="shared" si="152"/>
        <v/>
      </c>
      <c r="M916" s="34" t="str">
        <f t="shared" si="152"/>
        <v/>
      </c>
      <c r="N916" s="34" t="str">
        <f t="shared" si="152"/>
        <v/>
      </c>
      <c r="O916" s="34" t="str">
        <f t="shared" si="152"/>
        <v/>
      </c>
      <c r="P916" s="34">
        <f t="shared" si="152"/>
        <v>84</v>
      </c>
      <c r="Q916" s="34">
        <f t="shared" si="152"/>
        <v>92</v>
      </c>
      <c r="R916" s="34">
        <f t="shared" si="152"/>
        <v>104</v>
      </c>
      <c r="S916" s="35">
        <f t="shared" si="149"/>
        <v>84</v>
      </c>
    </row>
    <row r="917" spans="2:19" hidden="1" outlineLevel="1">
      <c r="B917" s="14" t="s">
        <v>39</v>
      </c>
      <c r="C917" s="15" t="s">
        <v>66</v>
      </c>
      <c r="D917" s="52">
        <v>2059</v>
      </c>
      <c r="E917" s="34">
        <v>6</v>
      </c>
      <c r="F917" s="38">
        <f t="shared" si="146"/>
        <v>18940.783369626883</v>
      </c>
      <c r="G917" s="34">
        <f t="shared" si="147"/>
        <v>16</v>
      </c>
      <c r="H917" s="34">
        <f t="shared" si="148"/>
        <v>2</v>
      </c>
      <c r="I917" s="34" t="str">
        <f t="shared" si="152"/>
        <v/>
      </c>
      <c r="J917" s="34" t="str">
        <f t="shared" si="152"/>
        <v/>
      </c>
      <c r="K917" s="34" t="str">
        <f t="shared" si="152"/>
        <v/>
      </c>
      <c r="L917" s="34" t="str">
        <f t="shared" si="152"/>
        <v/>
      </c>
      <c r="M917" s="34" t="str">
        <f t="shared" si="152"/>
        <v/>
      </c>
      <c r="N917" s="34" t="str">
        <f t="shared" si="152"/>
        <v/>
      </c>
      <c r="O917" s="34" t="str">
        <f t="shared" si="152"/>
        <v/>
      </c>
      <c r="P917" s="34">
        <f t="shared" si="152"/>
        <v>84</v>
      </c>
      <c r="Q917" s="34">
        <f t="shared" si="152"/>
        <v>91</v>
      </c>
      <c r="R917" s="34">
        <f t="shared" si="152"/>
        <v>103</v>
      </c>
      <c r="S917" s="35">
        <f t="shared" si="149"/>
        <v>84</v>
      </c>
    </row>
    <row r="918" spans="2:19" hidden="1" outlineLevel="1">
      <c r="B918" s="14" t="s">
        <v>39</v>
      </c>
      <c r="C918" s="15" t="s">
        <v>66</v>
      </c>
      <c r="D918" s="52">
        <v>2059</v>
      </c>
      <c r="E918" s="34">
        <v>7</v>
      </c>
      <c r="F918" s="38">
        <f t="shared" si="146"/>
        <v>18940.783369626883</v>
      </c>
      <c r="G918" s="34">
        <f t="shared" si="147"/>
        <v>16</v>
      </c>
      <c r="H918" s="34">
        <f t="shared" si="148"/>
        <v>2</v>
      </c>
      <c r="I918" s="34" t="str">
        <f t="shared" si="152"/>
        <v/>
      </c>
      <c r="J918" s="34" t="str">
        <f t="shared" si="152"/>
        <v/>
      </c>
      <c r="K918" s="34" t="str">
        <f t="shared" si="152"/>
        <v/>
      </c>
      <c r="L918" s="34" t="str">
        <f t="shared" si="152"/>
        <v/>
      </c>
      <c r="M918" s="34" t="str">
        <f t="shared" si="152"/>
        <v/>
      </c>
      <c r="N918" s="34" t="str">
        <f t="shared" si="152"/>
        <v/>
      </c>
      <c r="O918" s="34" t="str">
        <f t="shared" si="152"/>
        <v/>
      </c>
      <c r="P918" s="34">
        <f t="shared" si="152"/>
        <v>84</v>
      </c>
      <c r="Q918" s="34">
        <f t="shared" si="152"/>
        <v>90</v>
      </c>
      <c r="R918" s="34">
        <f t="shared" si="152"/>
        <v>102</v>
      </c>
      <c r="S918" s="35">
        <f t="shared" si="149"/>
        <v>84</v>
      </c>
    </row>
    <row r="919" spans="2:19" hidden="1" outlineLevel="1">
      <c r="B919" s="14" t="s">
        <v>39</v>
      </c>
      <c r="C919" s="15" t="s">
        <v>66</v>
      </c>
      <c r="D919" s="52">
        <v>2059</v>
      </c>
      <c r="E919" s="34">
        <v>8</v>
      </c>
      <c r="F919" s="38">
        <f t="shared" si="146"/>
        <v>18940.783369626883</v>
      </c>
      <c r="G919" s="34">
        <f t="shared" si="147"/>
        <v>16</v>
      </c>
      <c r="H919" s="34">
        <f t="shared" si="148"/>
        <v>2</v>
      </c>
      <c r="I919" s="34" t="str">
        <f t="shared" si="152"/>
        <v/>
      </c>
      <c r="J919" s="34" t="str">
        <f t="shared" si="152"/>
        <v/>
      </c>
      <c r="K919" s="34" t="str">
        <f t="shared" si="152"/>
        <v/>
      </c>
      <c r="L919" s="34" t="str">
        <f t="shared" si="152"/>
        <v/>
      </c>
      <c r="M919" s="34" t="str">
        <f t="shared" si="152"/>
        <v/>
      </c>
      <c r="N919" s="34" t="str">
        <f t="shared" si="152"/>
        <v/>
      </c>
      <c r="O919" s="34" t="str">
        <f t="shared" si="152"/>
        <v/>
      </c>
      <c r="P919" s="34">
        <f t="shared" si="152"/>
        <v>84</v>
      </c>
      <c r="Q919" s="34">
        <f t="shared" si="152"/>
        <v>89</v>
      </c>
      <c r="R919" s="34">
        <f t="shared" si="152"/>
        <v>101</v>
      </c>
      <c r="S919" s="35">
        <f t="shared" si="149"/>
        <v>84</v>
      </c>
    </row>
    <row r="920" spans="2:19" hidden="1" outlineLevel="1">
      <c r="B920" s="14" t="s">
        <v>39</v>
      </c>
      <c r="C920" s="15" t="s">
        <v>66</v>
      </c>
      <c r="D920" s="52">
        <v>2059</v>
      </c>
      <c r="E920" s="34">
        <v>9</v>
      </c>
      <c r="F920" s="38">
        <f t="shared" si="146"/>
        <v>18940.783369626883</v>
      </c>
      <c r="G920" s="34">
        <f t="shared" si="147"/>
        <v>16</v>
      </c>
      <c r="H920" s="34">
        <f t="shared" si="148"/>
        <v>2</v>
      </c>
      <c r="I920" s="34" t="str">
        <f t="shared" ref="I920:R929" si="153">IF($D920&lt;$Z$18,"",IF(MAX($G920,INDEX($C$65:$F$108,$D920+I$119-2026,$H920))&lt;=12*I$119-$E920+12,MAX($G920,12*I$119-$E920+1,INDEX($C$65:$F$108,$D920+I$119-2026,$H920)),""))</f>
        <v/>
      </c>
      <c r="J920" s="34" t="str">
        <f t="shared" si="153"/>
        <v/>
      </c>
      <c r="K920" s="34" t="str">
        <f t="shared" si="153"/>
        <v/>
      </c>
      <c r="L920" s="34" t="str">
        <f t="shared" si="153"/>
        <v/>
      </c>
      <c r="M920" s="34" t="str">
        <f t="shared" si="153"/>
        <v/>
      </c>
      <c r="N920" s="34" t="str">
        <f t="shared" si="153"/>
        <v/>
      </c>
      <c r="O920" s="34" t="str">
        <f t="shared" si="153"/>
        <v/>
      </c>
      <c r="P920" s="34">
        <f t="shared" si="153"/>
        <v>84</v>
      </c>
      <c r="Q920" s="34">
        <f t="shared" si="153"/>
        <v>88</v>
      </c>
      <c r="R920" s="34">
        <f t="shared" si="153"/>
        <v>100</v>
      </c>
      <c r="S920" s="35">
        <f t="shared" si="149"/>
        <v>84</v>
      </c>
    </row>
    <row r="921" spans="2:19" hidden="1" outlineLevel="1">
      <c r="B921" s="14" t="s">
        <v>39</v>
      </c>
      <c r="C921" s="15" t="s">
        <v>66</v>
      </c>
      <c r="D921" s="52">
        <v>2059</v>
      </c>
      <c r="E921" s="34">
        <v>10</v>
      </c>
      <c r="F921" s="38">
        <f t="shared" si="146"/>
        <v>18940.783369626883</v>
      </c>
      <c r="G921" s="34">
        <f t="shared" si="147"/>
        <v>16</v>
      </c>
      <c r="H921" s="34">
        <f t="shared" si="148"/>
        <v>2</v>
      </c>
      <c r="I921" s="34" t="str">
        <f t="shared" si="153"/>
        <v/>
      </c>
      <c r="J921" s="34" t="str">
        <f t="shared" si="153"/>
        <v/>
      </c>
      <c r="K921" s="34" t="str">
        <f t="shared" si="153"/>
        <v/>
      </c>
      <c r="L921" s="34" t="str">
        <f t="shared" si="153"/>
        <v/>
      </c>
      <c r="M921" s="34" t="str">
        <f t="shared" si="153"/>
        <v/>
      </c>
      <c r="N921" s="34" t="str">
        <f t="shared" si="153"/>
        <v/>
      </c>
      <c r="O921" s="34" t="str">
        <f t="shared" si="153"/>
        <v/>
      </c>
      <c r="P921" s="34">
        <f t="shared" si="153"/>
        <v>84</v>
      </c>
      <c r="Q921" s="34">
        <f t="shared" si="153"/>
        <v>87</v>
      </c>
      <c r="R921" s="34">
        <f t="shared" si="153"/>
        <v>99</v>
      </c>
      <c r="S921" s="35">
        <f t="shared" si="149"/>
        <v>84</v>
      </c>
    </row>
    <row r="922" spans="2:19" hidden="1" outlineLevel="1">
      <c r="B922" s="14" t="s">
        <v>39</v>
      </c>
      <c r="C922" s="15" t="s">
        <v>66</v>
      </c>
      <c r="D922" s="52">
        <v>2059</v>
      </c>
      <c r="E922" s="34">
        <v>11</v>
      </c>
      <c r="F922" s="38">
        <f t="shared" si="146"/>
        <v>18940.783369626883</v>
      </c>
      <c r="G922" s="34">
        <f t="shared" si="147"/>
        <v>16</v>
      </c>
      <c r="H922" s="34">
        <f t="shared" si="148"/>
        <v>2</v>
      </c>
      <c r="I922" s="34" t="str">
        <f t="shared" si="153"/>
        <v/>
      </c>
      <c r="J922" s="34" t="str">
        <f t="shared" si="153"/>
        <v/>
      </c>
      <c r="K922" s="34" t="str">
        <f t="shared" si="153"/>
        <v/>
      </c>
      <c r="L922" s="34" t="str">
        <f t="shared" si="153"/>
        <v/>
      </c>
      <c r="M922" s="34" t="str">
        <f t="shared" si="153"/>
        <v/>
      </c>
      <c r="N922" s="34" t="str">
        <f t="shared" si="153"/>
        <v/>
      </c>
      <c r="O922" s="34" t="str">
        <f t="shared" si="153"/>
        <v/>
      </c>
      <c r="P922" s="34">
        <f t="shared" si="153"/>
        <v>84</v>
      </c>
      <c r="Q922" s="34">
        <f t="shared" si="153"/>
        <v>86</v>
      </c>
      <c r="R922" s="34">
        <f t="shared" si="153"/>
        <v>98</v>
      </c>
      <c r="S922" s="35">
        <f t="shared" si="149"/>
        <v>84</v>
      </c>
    </row>
    <row r="923" spans="2:19" hidden="1" outlineLevel="1">
      <c r="B923" s="14" t="s">
        <v>39</v>
      </c>
      <c r="C923" s="15" t="s">
        <v>66</v>
      </c>
      <c r="D923" s="52">
        <v>2059</v>
      </c>
      <c r="E923" s="34">
        <v>12</v>
      </c>
      <c r="F923" s="38">
        <f t="shared" si="146"/>
        <v>18940.783369626883</v>
      </c>
      <c r="G923" s="34">
        <f t="shared" si="147"/>
        <v>16</v>
      </c>
      <c r="H923" s="34">
        <f t="shared" si="148"/>
        <v>2</v>
      </c>
      <c r="I923" s="34" t="str">
        <f t="shared" si="153"/>
        <v/>
      </c>
      <c r="J923" s="34" t="str">
        <f t="shared" si="153"/>
        <v/>
      </c>
      <c r="K923" s="34" t="str">
        <f t="shared" si="153"/>
        <v/>
      </c>
      <c r="L923" s="34" t="str">
        <f t="shared" si="153"/>
        <v/>
      </c>
      <c r="M923" s="34" t="str">
        <f t="shared" si="153"/>
        <v/>
      </c>
      <c r="N923" s="34" t="str">
        <f t="shared" si="153"/>
        <v/>
      </c>
      <c r="O923" s="34" t="str">
        <f t="shared" si="153"/>
        <v/>
      </c>
      <c r="P923" s="34">
        <f t="shared" si="153"/>
        <v>84</v>
      </c>
      <c r="Q923" s="34">
        <f t="shared" si="153"/>
        <v>85</v>
      </c>
      <c r="R923" s="34">
        <f t="shared" si="153"/>
        <v>97</v>
      </c>
      <c r="S923" s="35">
        <f t="shared" si="149"/>
        <v>84</v>
      </c>
    </row>
    <row r="924" spans="2:19" hidden="1" outlineLevel="1">
      <c r="B924" s="14" t="s">
        <v>39</v>
      </c>
      <c r="C924" s="15" t="s">
        <v>66</v>
      </c>
      <c r="D924" s="52">
        <v>2060</v>
      </c>
      <c r="E924" s="34">
        <v>1</v>
      </c>
      <c r="F924" s="38">
        <f t="shared" si="146"/>
        <v>18761.050799481578</v>
      </c>
      <c r="G924" s="34">
        <f t="shared" si="147"/>
        <v>16</v>
      </c>
      <c r="H924" s="34">
        <f t="shared" si="148"/>
        <v>2</v>
      </c>
      <c r="I924" s="34" t="str">
        <f t="shared" si="153"/>
        <v/>
      </c>
      <c r="J924" s="34" t="str">
        <f t="shared" si="153"/>
        <v/>
      </c>
      <c r="K924" s="34" t="str">
        <f t="shared" si="153"/>
        <v/>
      </c>
      <c r="L924" s="34" t="str">
        <f t="shared" si="153"/>
        <v/>
      </c>
      <c r="M924" s="34" t="str">
        <f t="shared" si="153"/>
        <v/>
      </c>
      <c r="N924" s="34" t="str">
        <f t="shared" si="153"/>
        <v/>
      </c>
      <c r="O924" s="34" t="str">
        <f t="shared" si="153"/>
        <v/>
      </c>
      <c r="P924" s="34">
        <f t="shared" si="153"/>
        <v>84</v>
      </c>
      <c r="Q924" s="34">
        <f t="shared" si="153"/>
        <v>96</v>
      </c>
      <c r="R924" s="34">
        <f t="shared" si="153"/>
        <v>108</v>
      </c>
      <c r="S924" s="35">
        <f t="shared" si="149"/>
        <v>84</v>
      </c>
    </row>
    <row r="925" spans="2:19" hidden="1" outlineLevel="1">
      <c r="B925" s="14" t="s">
        <v>39</v>
      </c>
      <c r="C925" s="15" t="s">
        <v>66</v>
      </c>
      <c r="D925" s="52">
        <v>2060</v>
      </c>
      <c r="E925" s="34">
        <v>2</v>
      </c>
      <c r="F925" s="38">
        <f t="shared" si="146"/>
        <v>18761.050799481578</v>
      </c>
      <c r="G925" s="34">
        <f t="shared" si="147"/>
        <v>16</v>
      </c>
      <c r="H925" s="34">
        <f t="shared" si="148"/>
        <v>2</v>
      </c>
      <c r="I925" s="34" t="str">
        <f t="shared" si="153"/>
        <v/>
      </c>
      <c r="J925" s="34" t="str">
        <f t="shared" si="153"/>
        <v/>
      </c>
      <c r="K925" s="34" t="str">
        <f t="shared" si="153"/>
        <v/>
      </c>
      <c r="L925" s="34" t="str">
        <f t="shared" si="153"/>
        <v/>
      </c>
      <c r="M925" s="34" t="str">
        <f t="shared" si="153"/>
        <v/>
      </c>
      <c r="N925" s="34" t="str">
        <f t="shared" si="153"/>
        <v/>
      </c>
      <c r="O925" s="34" t="str">
        <f t="shared" si="153"/>
        <v/>
      </c>
      <c r="P925" s="34">
        <f t="shared" si="153"/>
        <v>84</v>
      </c>
      <c r="Q925" s="34">
        <f t="shared" si="153"/>
        <v>95</v>
      </c>
      <c r="R925" s="34">
        <f t="shared" si="153"/>
        <v>107</v>
      </c>
      <c r="S925" s="35">
        <f t="shared" si="149"/>
        <v>84</v>
      </c>
    </row>
    <row r="926" spans="2:19" hidden="1" outlineLevel="1">
      <c r="B926" s="14" t="s">
        <v>39</v>
      </c>
      <c r="C926" s="15" t="s">
        <v>66</v>
      </c>
      <c r="D926" s="52">
        <v>2060</v>
      </c>
      <c r="E926" s="34">
        <v>3</v>
      </c>
      <c r="F926" s="38">
        <f t="shared" si="146"/>
        <v>18761.050799481578</v>
      </c>
      <c r="G926" s="34">
        <f t="shared" si="147"/>
        <v>16</v>
      </c>
      <c r="H926" s="34">
        <f t="shared" si="148"/>
        <v>2</v>
      </c>
      <c r="I926" s="34" t="str">
        <f t="shared" si="153"/>
        <v/>
      </c>
      <c r="J926" s="34" t="str">
        <f t="shared" si="153"/>
        <v/>
      </c>
      <c r="K926" s="34" t="str">
        <f t="shared" si="153"/>
        <v/>
      </c>
      <c r="L926" s="34" t="str">
        <f t="shared" si="153"/>
        <v/>
      </c>
      <c r="M926" s="34" t="str">
        <f t="shared" si="153"/>
        <v/>
      </c>
      <c r="N926" s="34" t="str">
        <f t="shared" si="153"/>
        <v/>
      </c>
      <c r="O926" s="34" t="str">
        <f t="shared" si="153"/>
        <v/>
      </c>
      <c r="P926" s="34">
        <f t="shared" si="153"/>
        <v>84</v>
      </c>
      <c r="Q926" s="34">
        <f t="shared" si="153"/>
        <v>94</v>
      </c>
      <c r="R926" s="34">
        <f t="shared" si="153"/>
        <v>106</v>
      </c>
      <c r="S926" s="35">
        <f t="shared" si="149"/>
        <v>84</v>
      </c>
    </row>
    <row r="927" spans="2:19" hidden="1" outlineLevel="1">
      <c r="B927" s="14" t="s">
        <v>39</v>
      </c>
      <c r="C927" s="15" t="s">
        <v>66</v>
      </c>
      <c r="D927" s="52">
        <v>2060</v>
      </c>
      <c r="E927" s="34">
        <v>4</v>
      </c>
      <c r="F927" s="38">
        <f t="shared" si="146"/>
        <v>18761.050799481578</v>
      </c>
      <c r="G927" s="34">
        <f t="shared" si="147"/>
        <v>16</v>
      </c>
      <c r="H927" s="34">
        <f t="shared" si="148"/>
        <v>2</v>
      </c>
      <c r="I927" s="34" t="str">
        <f t="shared" si="153"/>
        <v/>
      </c>
      <c r="J927" s="34" t="str">
        <f t="shared" si="153"/>
        <v/>
      </c>
      <c r="K927" s="34" t="str">
        <f t="shared" si="153"/>
        <v/>
      </c>
      <c r="L927" s="34" t="str">
        <f t="shared" si="153"/>
        <v/>
      </c>
      <c r="M927" s="34" t="str">
        <f t="shared" si="153"/>
        <v/>
      </c>
      <c r="N927" s="34" t="str">
        <f t="shared" si="153"/>
        <v/>
      </c>
      <c r="O927" s="34" t="str">
        <f t="shared" si="153"/>
        <v/>
      </c>
      <c r="P927" s="34">
        <f t="shared" si="153"/>
        <v>84</v>
      </c>
      <c r="Q927" s="34">
        <f t="shared" si="153"/>
        <v>93</v>
      </c>
      <c r="R927" s="34">
        <f t="shared" si="153"/>
        <v>105</v>
      </c>
      <c r="S927" s="35">
        <f t="shared" si="149"/>
        <v>84</v>
      </c>
    </row>
    <row r="928" spans="2:19" hidden="1" outlineLevel="1">
      <c r="B928" s="14" t="s">
        <v>39</v>
      </c>
      <c r="C928" s="15" t="s">
        <v>66</v>
      </c>
      <c r="D928" s="52">
        <v>2060</v>
      </c>
      <c r="E928" s="34">
        <v>5</v>
      </c>
      <c r="F928" s="38">
        <f t="shared" si="146"/>
        <v>18761.050799481578</v>
      </c>
      <c r="G928" s="34">
        <f t="shared" si="147"/>
        <v>16</v>
      </c>
      <c r="H928" s="34">
        <f t="shared" si="148"/>
        <v>2</v>
      </c>
      <c r="I928" s="34" t="str">
        <f t="shared" si="153"/>
        <v/>
      </c>
      <c r="J928" s="34" t="str">
        <f t="shared" si="153"/>
        <v/>
      </c>
      <c r="K928" s="34" t="str">
        <f t="shared" si="153"/>
        <v/>
      </c>
      <c r="L928" s="34" t="str">
        <f t="shared" si="153"/>
        <v/>
      </c>
      <c r="M928" s="34" t="str">
        <f t="shared" si="153"/>
        <v/>
      </c>
      <c r="N928" s="34" t="str">
        <f t="shared" si="153"/>
        <v/>
      </c>
      <c r="O928" s="34" t="str">
        <f t="shared" si="153"/>
        <v/>
      </c>
      <c r="P928" s="34">
        <f t="shared" si="153"/>
        <v>84</v>
      </c>
      <c r="Q928" s="34">
        <f t="shared" si="153"/>
        <v>92</v>
      </c>
      <c r="R928" s="34">
        <f t="shared" si="153"/>
        <v>104</v>
      </c>
      <c r="S928" s="35">
        <f t="shared" si="149"/>
        <v>84</v>
      </c>
    </row>
    <row r="929" spans="2:19" hidden="1" outlineLevel="1">
      <c r="B929" s="14" t="s">
        <v>39</v>
      </c>
      <c r="C929" s="15" t="s">
        <v>66</v>
      </c>
      <c r="D929" s="52">
        <v>2060</v>
      </c>
      <c r="E929" s="34">
        <v>6</v>
      </c>
      <c r="F929" s="38">
        <f t="shared" si="146"/>
        <v>18761.050799481578</v>
      </c>
      <c r="G929" s="34">
        <f t="shared" si="147"/>
        <v>16</v>
      </c>
      <c r="H929" s="34">
        <f t="shared" si="148"/>
        <v>2</v>
      </c>
      <c r="I929" s="34" t="str">
        <f t="shared" si="153"/>
        <v/>
      </c>
      <c r="J929" s="34" t="str">
        <f t="shared" si="153"/>
        <v/>
      </c>
      <c r="K929" s="34" t="str">
        <f t="shared" si="153"/>
        <v/>
      </c>
      <c r="L929" s="34" t="str">
        <f t="shared" si="153"/>
        <v/>
      </c>
      <c r="M929" s="34" t="str">
        <f t="shared" si="153"/>
        <v/>
      </c>
      <c r="N929" s="34" t="str">
        <f t="shared" si="153"/>
        <v/>
      </c>
      <c r="O929" s="34" t="str">
        <f t="shared" si="153"/>
        <v/>
      </c>
      <c r="P929" s="34">
        <f t="shared" si="153"/>
        <v>84</v>
      </c>
      <c r="Q929" s="34">
        <f t="shared" si="153"/>
        <v>91</v>
      </c>
      <c r="R929" s="34">
        <f t="shared" si="153"/>
        <v>103</v>
      </c>
      <c r="S929" s="35">
        <f t="shared" si="149"/>
        <v>84</v>
      </c>
    </row>
    <row r="930" spans="2:19" hidden="1" outlineLevel="1">
      <c r="B930" s="14" t="s">
        <v>39</v>
      </c>
      <c r="C930" s="15" t="s">
        <v>66</v>
      </c>
      <c r="D930" s="52">
        <v>2060</v>
      </c>
      <c r="E930" s="34">
        <v>7</v>
      </c>
      <c r="F930" s="38">
        <f t="shared" si="146"/>
        <v>18761.050799481578</v>
      </c>
      <c r="G930" s="34">
        <f t="shared" si="147"/>
        <v>16</v>
      </c>
      <c r="H930" s="34">
        <f t="shared" si="148"/>
        <v>2</v>
      </c>
      <c r="I930" s="34" t="str">
        <f t="shared" ref="I930:R939" si="154">IF($D930&lt;$Z$18,"",IF(MAX($G930,INDEX($C$65:$F$108,$D930+I$119-2026,$H930))&lt;=12*I$119-$E930+12,MAX($G930,12*I$119-$E930+1,INDEX($C$65:$F$108,$D930+I$119-2026,$H930)),""))</f>
        <v/>
      </c>
      <c r="J930" s="34" t="str">
        <f t="shared" si="154"/>
        <v/>
      </c>
      <c r="K930" s="34" t="str">
        <f t="shared" si="154"/>
        <v/>
      </c>
      <c r="L930" s="34" t="str">
        <f t="shared" si="154"/>
        <v/>
      </c>
      <c r="M930" s="34" t="str">
        <f t="shared" si="154"/>
        <v/>
      </c>
      <c r="N930" s="34" t="str">
        <f t="shared" si="154"/>
        <v/>
      </c>
      <c r="O930" s="34" t="str">
        <f t="shared" si="154"/>
        <v/>
      </c>
      <c r="P930" s="34">
        <f t="shared" si="154"/>
        <v>84</v>
      </c>
      <c r="Q930" s="34">
        <f t="shared" si="154"/>
        <v>90</v>
      </c>
      <c r="R930" s="34">
        <f t="shared" si="154"/>
        <v>102</v>
      </c>
      <c r="S930" s="35">
        <f t="shared" si="149"/>
        <v>84</v>
      </c>
    </row>
    <row r="931" spans="2:19" hidden="1" outlineLevel="1">
      <c r="B931" s="14" t="s">
        <v>39</v>
      </c>
      <c r="C931" s="15" t="s">
        <v>66</v>
      </c>
      <c r="D931" s="52">
        <v>2060</v>
      </c>
      <c r="E931" s="34">
        <v>8</v>
      </c>
      <c r="F931" s="38">
        <f t="shared" si="146"/>
        <v>18761.050799481578</v>
      </c>
      <c r="G931" s="34">
        <f t="shared" si="147"/>
        <v>16</v>
      </c>
      <c r="H931" s="34">
        <f t="shared" si="148"/>
        <v>2</v>
      </c>
      <c r="I931" s="34" t="str">
        <f t="shared" si="154"/>
        <v/>
      </c>
      <c r="J931" s="34" t="str">
        <f t="shared" si="154"/>
        <v/>
      </c>
      <c r="K931" s="34" t="str">
        <f t="shared" si="154"/>
        <v/>
      </c>
      <c r="L931" s="34" t="str">
        <f t="shared" si="154"/>
        <v/>
      </c>
      <c r="M931" s="34" t="str">
        <f t="shared" si="154"/>
        <v/>
      </c>
      <c r="N931" s="34" t="str">
        <f t="shared" si="154"/>
        <v/>
      </c>
      <c r="O931" s="34" t="str">
        <f t="shared" si="154"/>
        <v/>
      </c>
      <c r="P931" s="34">
        <f t="shared" si="154"/>
        <v>84</v>
      </c>
      <c r="Q931" s="34">
        <f t="shared" si="154"/>
        <v>89</v>
      </c>
      <c r="R931" s="34">
        <f t="shared" si="154"/>
        <v>101</v>
      </c>
      <c r="S931" s="35">
        <f t="shared" si="149"/>
        <v>84</v>
      </c>
    </row>
    <row r="932" spans="2:19" hidden="1" outlineLevel="1">
      <c r="B932" s="14" t="s">
        <v>39</v>
      </c>
      <c r="C932" s="15" t="s">
        <v>66</v>
      </c>
      <c r="D932" s="52">
        <v>2060</v>
      </c>
      <c r="E932" s="34">
        <v>9</v>
      </c>
      <c r="F932" s="38">
        <f t="shared" si="146"/>
        <v>18761.050799481578</v>
      </c>
      <c r="G932" s="34">
        <f t="shared" si="147"/>
        <v>16</v>
      </c>
      <c r="H932" s="34">
        <f t="shared" si="148"/>
        <v>2</v>
      </c>
      <c r="I932" s="34" t="str">
        <f t="shared" si="154"/>
        <v/>
      </c>
      <c r="J932" s="34" t="str">
        <f t="shared" si="154"/>
        <v/>
      </c>
      <c r="K932" s="34" t="str">
        <f t="shared" si="154"/>
        <v/>
      </c>
      <c r="L932" s="34" t="str">
        <f t="shared" si="154"/>
        <v/>
      </c>
      <c r="M932" s="34" t="str">
        <f t="shared" si="154"/>
        <v/>
      </c>
      <c r="N932" s="34" t="str">
        <f t="shared" si="154"/>
        <v/>
      </c>
      <c r="O932" s="34" t="str">
        <f t="shared" si="154"/>
        <v/>
      </c>
      <c r="P932" s="34">
        <f t="shared" si="154"/>
        <v>84</v>
      </c>
      <c r="Q932" s="34">
        <f t="shared" si="154"/>
        <v>88</v>
      </c>
      <c r="R932" s="34">
        <f t="shared" si="154"/>
        <v>100</v>
      </c>
      <c r="S932" s="35">
        <f t="shared" si="149"/>
        <v>84</v>
      </c>
    </row>
    <row r="933" spans="2:19" hidden="1" outlineLevel="1">
      <c r="B933" s="14" t="s">
        <v>39</v>
      </c>
      <c r="C933" s="15" t="s">
        <v>66</v>
      </c>
      <c r="D933" s="52">
        <v>2060</v>
      </c>
      <c r="E933" s="34">
        <v>10</v>
      </c>
      <c r="F933" s="38">
        <f t="shared" si="146"/>
        <v>18761.050799481578</v>
      </c>
      <c r="G933" s="34">
        <f t="shared" si="147"/>
        <v>16</v>
      </c>
      <c r="H933" s="34">
        <f t="shared" si="148"/>
        <v>2</v>
      </c>
      <c r="I933" s="34" t="str">
        <f t="shared" si="154"/>
        <v/>
      </c>
      <c r="J933" s="34" t="str">
        <f t="shared" si="154"/>
        <v/>
      </c>
      <c r="K933" s="34" t="str">
        <f t="shared" si="154"/>
        <v/>
      </c>
      <c r="L933" s="34" t="str">
        <f t="shared" si="154"/>
        <v/>
      </c>
      <c r="M933" s="34" t="str">
        <f t="shared" si="154"/>
        <v/>
      </c>
      <c r="N933" s="34" t="str">
        <f t="shared" si="154"/>
        <v/>
      </c>
      <c r="O933" s="34" t="str">
        <f t="shared" si="154"/>
        <v/>
      </c>
      <c r="P933" s="34">
        <f t="shared" si="154"/>
        <v>84</v>
      </c>
      <c r="Q933" s="34">
        <f t="shared" si="154"/>
        <v>87</v>
      </c>
      <c r="R933" s="34">
        <f t="shared" si="154"/>
        <v>99</v>
      </c>
      <c r="S933" s="35">
        <f t="shared" si="149"/>
        <v>84</v>
      </c>
    </row>
    <row r="934" spans="2:19" hidden="1" outlineLevel="1">
      <c r="B934" s="14" t="s">
        <v>39</v>
      </c>
      <c r="C934" s="15" t="s">
        <v>66</v>
      </c>
      <c r="D934" s="52">
        <v>2060</v>
      </c>
      <c r="E934" s="34">
        <v>11</v>
      </c>
      <c r="F934" s="38">
        <f t="shared" si="146"/>
        <v>18761.050799481578</v>
      </c>
      <c r="G934" s="34">
        <f t="shared" si="147"/>
        <v>16</v>
      </c>
      <c r="H934" s="34">
        <f t="shared" si="148"/>
        <v>2</v>
      </c>
      <c r="I934" s="34" t="str">
        <f t="shared" si="154"/>
        <v/>
      </c>
      <c r="J934" s="34" t="str">
        <f t="shared" si="154"/>
        <v/>
      </c>
      <c r="K934" s="34" t="str">
        <f t="shared" si="154"/>
        <v/>
      </c>
      <c r="L934" s="34" t="str">
        <f t="shared" si="154"/>
        <v/>
      </c>
      <c r="M934" s="34" t="str">
        <f t="shared" si="154"/>
        <v/>
      </c>
      <c r="N934" s="34" t="str">
        <f t="shared" si="154"/>
        <v/>
      </c>
      <c r="O934" s="34" t="str">
        <f t="shared" si="154"/>
        <v/>
      </c>
      <c r="P934" s="34">
        <f t="shared" si="154"/>
        <v>84</v>
      </c>
      <c r="Q934" s="34">
        <f t="shared" si="154"/>
        <v>86</v>
      </c>
      <c r="R934" s="34">
        <f t="shared" si="154"/>
        <v>98</v>
      </c>
      <c r="S934" s="35">
        <f t="shared" si="149"/>
        <v>84</v>
      </c>
    </row>
    <row r="935" spans="2:19" hidden="1" outlineLevel="1">
      <c r="B935" s="14" t="s">
        <v>39</v>
      </c>
      <c r="C935" s="15" t="s">
        <v>66</v>
      </c>
      <c r="D935" s="52">
        <v>2060</v>
      </c>
      <c r="E935" s="34">
        <v>12</v>
      </c>
      <c r="F935" s="38">
        <f t="shared" si="146"/>
        <v>18761.050799481578</v>
      </c>
      <c r="G935" s="34">
        <f t="shared" si="147"/>
        <v>16</v>
      </c>
      <c r="H935" s="34">
        <f t="shared" si="148"/>
        <v>2</v>
      </c>
      <c r="I935" s="34" t="str">
        <f t="shared" si="154"/>
        <v/>
      </c>
      <c r="J935" s="34" t="str">
        <f t="shared" si="154"/>
        <v/>
      </c>
      <c r="K935" s="34" t="str">
        <f t="shared" si="154"/>
        <v/>
      </c>
      <c r="L935" s="34" t="str">
        <f t="shared" si="154"/>
        <v/>
      </c>
      <c r="M935" s="34" t="str">
        <f t="shared" si="154"/>
        <v/>
      </c>
      <c r="N935" s="34" t="str">
        <f t="shared" si="154"/>
        <v/>
      </c>
      <c r="O935" s="34" t="str">
        <f t="shared" si="154"/>
        <v/>
      </c>
      <c r="P935" s="34">
        <f t="shared" si="154"/>
        <v>84</v>
      </c>
      <c r="Q935" s="34">
        <f t="shared" si="154"/>
        <v>85</v>
      </c>
      <c r="R935" s="34">
        <f t="shared" si="154"/>
        <v>97</v>
      </c>
      <c r="S935" s="35">
        <f t="shared" si="149"/>
        <v>84</v>
      </c>
    </row>
    <row r="936" spans="2:19" hidden="1" outlineLevel="1">
      <c r="B936" s="14" t="s">
        <v>116</v>
      </c>
      <c r="C936" s="15" t="s">
        <v>65</v>
      </c>
      <c r="D936" s="52">
        <v>2027</v>
      </c>
      <c r="E936" s="34">
        <v>1</v>
      </c>
      <c r="F936" s="38">
        <f t="shared" si="146"/>
        <v>15026.156394669857</v>
      </c>
      <c r="G936" s="34">
        <f t="shared" si="147"/>
        <v>9</v>
      </c>
      <c r="H936" s="34">
        <f t="shared" si="148"/>
        <v>3</v>
      </c>
      <c r="I936" s="34">
        <f t="shared" si="154"/>
        <v>9</v>
      </c>
      <c r="J936" s="34">
        <f t="shared" si="154"/>
        <v>12</v>
      </c>
      <c r="K936" s="34">
        <f t="shared" si="154"/>
        <v>24</v>
      </c>
      <c r="L936" s="34">
        <f t="shared" si="154"/>
        <v>36</v>
      </c>
      <c r="M936" s="34">
        <f t="shared" si="154"/>
        <v>48</v>
      </c>
      <c r="N936" s="34">
        <f t="shared" si="154"/>
        <v>60</v>
      </c>
      <c r="O936" s="34">
        <f t="shared" si="154"/>
        <v>72</v>
      </c>
      <c r="P936" s="34">
        <f t="shared" si="154"/>
        <v>84</v>
      </c>
      <c r="Q936" s="34">
        <f t="shared" si="154"/>
        <v>96</v>
      </c>
      <c r="R936" s="34">
        <f t="shared" si="154"/>
        <v>108</v>
      </c>
      <c r="S936" s="35">
        <f t="shared" si="149"/>
        <v>9</v>
      </c>
    </row>
    <row r="937" spans="2:19" hidden="1" outlineLevel="1">
      <c r="B937" s="14" t="s">
        <v>116</v>
      </c>
      <c r="C937" s="15" t="s">
        <v>65</v>
      </c>
      <c r="D937" s="52">
        <v>2027</v>
      </c>
      <c r="E937" s="34">
        <v>2</v>
      </c>
      <c r="F937" s="38">
        <f t="shared" si="146"/>
        <v>15026.156394669857</v>
      </c>
      <c r="G937" s="34">
        <f t="shared" si="147"/>
        <v>9</v>
      </c>
      <c r="H937" s="34">
        <f t="shared" si="148"/>
        <v>3</v>
      </c>
      <c r="I937" s="34">
        <f t="shared" si="154"/>
        <v>9</v>
      </c>
      <c r="J937" s="34">
        <f t="shared" si="154"/>
        <v>12</v>
      </c>
      <c r="K937" s="34">
        <f t="shared" si="154"/>
        <v>23</v>
      </c>
      <c r="L937" s="34">
        <f t="shared" si="154"/>
        <v>35</v>
      </c>
      <c r="M937" s="34">
        <f t="shared" si="154"/>
        <v>47</v>
      </c>
      <c r="N937" s="34">
        <f t="shared" si="154"/>
        <v>59</v>
      </c>
      <c r="O937" s="34">
        <f t="shared" si="154"/>
        <v>71</v>
      </c>
      <c r="P937" s="34">
        <f t="shared" si="154"/>
        <v>83</v>
      </c>
      <c r="Q937" s="34">
        <f t="shared" si="154"/>
        <v>95</v>
      </c>
      <c r="R937" s="34">
        <f t="shared" si="154"/>
        <v>107</v>
      </c>
      <c r="S937" s="35">
        <f t="shared" si="149"/>
        <v>9</v>
      </c>
    </row>
    <row r="938" spans="2:19" hidden="1" outlineLevel="1">
      <c r="B938" s="14" t="s">
        <v>116</v>
      </c>
      <c r="C938" s="15" t="s">
        <v>65</v>
      </c>
      <c r="D938" s="52">
        <v>2027</v>
      </c>
      <c r="E938" s="34">
        <v>3</v>
      </c>
      <c r="F938" s="38">
        <f t="shared" si="146"/>
        <v>15026.156394669857</v>
      </c>
      <c r="G938" s="34">
        <f t="shared" si="147"/>
        <v>9</v>
      </c>
      <c r="H938" s="34">
        <f t="shared" si="148"/>
        <v>3</v>
      </c>
      <c r="I938" s="34">
        <f t="shared" si="154"/>
        <v>9</v>
      </c>
      <c r="J938" s="34">
        <f t="shared" si="154"/>
        <v>12</v>
      </c>
      <c r="K938" s="34">
        <f t="shared" si="154"/>
        <v>22</v>
      </c>
      <c r="L938" s="34">
        <f t="shared" si="154"/>
        <v>34</v>
      </c>
      <c r="M938" s="34">
        <f t="shared" si="154"/>
        <v>46</v>
      </c>
      <c r="N938" s="34">
        <f t="shared" si="154"/>
        <v>58</v>
      </c>
      <c r="O938" s="34">
        <f t="shared" si="154"/>
        <v>70</v>
      </c>
      <c r="P938" s="34">
        <f t="shared" si="154"/>
        <v>82</v>
      </c>
      <c r="Q938" s="34">
        <f t="shared" si="154"/>
        <v>94</v>
      </c>
      <c r="R938" s="34">
        <f t="shared" si="154"/>
        <v>106</v>
      </c>
      <c r="S938" s="35">
        <f t="shared" si="149"/>
        <v>9</v>
      </c>
    </row>
    <row r="939" spans="2:19" hidden="1" outlineLevel="1">
      <c r="B939" s="14" t="s">
        <v>116</v>
      </c>
      <c r="C939" s="15" t="s">
        <v>65</v>
      </c>
      <c r="D939" s="52">
        <v>2027</v>
      </c>
      <c r="E939" s="34">
        <v>4</v>
      </c>
      <c r="F939" s="38">
        <f t="shared" si="146"/>
        <v>15026.156394669857</v>
      </c>
      <c r="G939" s="34">
        <f t="shared" si="147"/>
        <v>9</v>
      </c>
      <c r="H939" s="34">
        <f t="shared" si="148"/>
        <v>3</v>
      </c>
      <c r="I939" s="34" t="str">
        <f t="shared" si="154"/>
        <v/>
      </c>
      <c r="J939" s="34">
        <f t="shared" si="154"/>
        <v>12</v>
      </c>
      <c r="K939" s="34">
        <f t="shared" si="154"/>
        <v>21</v>
      </c>
      <c r="L939" s="34">
        <f t="shared" si="154"/>
        <v>33</v>
      </c>
      <c r="M939" s="34">
        <f t="shared" si="154"/>
        <v>45</v>
      </c>
      <c r="N939" s="34">
        <f t="shared" si="154"/>
        <v>57</v>
      </c>
      <c r="O939" s="34">
        <f t="shared" si="154"/>
        <v>69</v>
      </c>
      <c r="P939" s="34">
        <f t="shared" si="154"/>
        <v>81</v>
      </c>
      <c r="Q939" s="34">
        <f t="shared" si="154"/>
        <v>93</v>
      </c>
      <c r="R939" s="34">
        <f t="shared" si="154"/>
        <v>105</v>
      </c>
      <c r="S939" s="35">
        <f t="shared" si="149"/>
        <v>12</v>
      </c>
    </row>
    <row r="940" spans="2:19" hidden="1" outlineLevel="1">
      <c r="B940" s="14" t="s">
        <v>116</v>
      </c>
      <c r="C940" s="15" t="s">
        <v>65</v>
      </c>
      <c r="D940" s="52">
        <v>2027</v>
      </c>
      <c r="E940" s="34">
        <v>5</v>
      </c>
      <c r="F940" s="38">
        <f t="shared" si="146"/>
        <v>15026.156394669857</v>
      </c>
      <c r="G940" s="34">
        <f t="shared" si="147"/>
        <v>9</v>
      </c>
      <c r="H940" s="34">
        <f t="shared" si="148"/>
        <v>3</v>
      </c>
      <c r="I940" s="34" t="str">
        <f t="shared" ref="I940:R949" si="155">IF($D940&lt;$Z$18,"",IF(MAX($G940,INDEX($C$65:$F$108,$D940+I$119-2026,$H940))&lt;=12*I$119-$E940+12,MAX($G940,12*I$119-$E940+1,INDEX($C$65:$F$108,$D940+I$119-2026,$H940)),""))</f>
        <v/>
      </c>
      <c r="J940" s="34">
        <f t="shared" si="155"/>
        <v>12</v>
      </c>
      <c r="K940" s="34">
        <f t="shared" si="155"/>
        <v>20</v>
      </c>
      <c r="L940" s="34">
        <f t="shared" si="155"/>
        <v>32</v>
      </c>
      <c r="M940" s="34">
        <f t="shared" si="155"/>
        <v>44</v>
      </c>
      <c r="N940" s="34">
        <f t="shared" si="155"/>
        <v>56</v>
      </c>
      <c r="O940" s="34">
        <f t="shared" si="155"/>
        <v>68</v>
      </c>
      <c r="P940" s="34">
        <f t="shared" si="155"/>
        <v>80</v>
      </c>
      <c r="Q940" s="34">
        <f t="shared" si="155"/>
        <v>92</v>
      </c>
      <c r="R940" s="34">
        <f t="shared" si="155"/>
        <v>104</v>
      </c>
      <c r="S940" s="35">
        <f t="shared" si="149"/>
        <v>12</v>
      </c>
    </row>
    <row r="941" spans="2:19" hidden="1" outlineLevel="1">
      <c r="B941" s="14" t="s">
        <v>116</v>
      </c>
      <c r="C941" s="15" t="s">
        <v>65</v>
      </c>
      <c r="D941" s="52">
        <v>2027</v>
      </c>
      <c r="E941" s="34">
        <v>6</v>
      </c>
      <c r="F941" s="38">
        <f t="shared" si="146"/>
        <v>15026.156394669857</v>
      </c>
      <c r="G941" s="34">
        <f t="shared" si="147"/>
        <v>9</v>
      </c>
      <c r="H941" s="34">
        <f t="shared" si="148"/>
        <v>3</v>
      </c>
      <c r="I941" s="34" t="str">
        <f t="shared" si="155"/>
        <v/>
      </c>
      <c r="J941" s="34">
        <f t="shared" si="155"/>
        <v>12</v>
      </c>
      <c r="K941" s="34">
        <f t="shared" si="155"/>
        <v>19</v>
      </c>
      <c r="L941" s="34">
        <f t="shared" si="155"/>
        <v>31</v>
      </c>
      <c r="M941" s="34">
        <f t="shared" si="155"/>
        <v>43</v>
      </c>
      <c r="N941" s="34">
        <f t="shared" si="155"/>
        <v>55</v>
      </c>
      <c r="O941" s="34">
        <f t="shared" si="155"/>
        <v>67</v>
      </c>
      <c r="P941" s="34">
        <f t="shared" si="155"/>
        <v>79</v>
      </c>
      <c r="Q941" s="34">
        <f t="shared" si="155"/>
        <v>91</v>
      </c>
      <c r="R941" s="34">
        <f t="shared" si="155"/>
        <v>103</v>
      </c>
      <c r="S941" s="35">
        <f t="shared" si="149"/>
        <v>12</v>
      </c>
    </row>
    <row r="942" spans="2:19" hidden="1" outlineLevel="1">
      <c r="B942" s="14" t="s">
        <v>116</v>
      </c>
      <c r="C942" s="15" t="s">
        <v>65</v>
      </c>
      <c r="D942" s="52">
        <v>2027</v>
      </c>
      <c r="E942" s="34">
        <v>7</v>
      </c>
      <c r="F942" s="38">
        <f t="shared" si="146"/>
        <v>15026.156394669857</v>
      </c>
      <c r="G942" s="34">
        <f t="shared" si="147"/>
        <v>9</v>
      </c>
      <c r="H942" s="34">
        <f t="shared" si="148"/>
        <v>3</v>
      </c>
      <c r="I942" s="34" t="str">
        <f t="shared" si="155"/>
        <v/>
      </c>
      <c r="J942" s="34">
        <f t="shared" si="155"/>
        <v>12</v>
      </c>
      <c r="K942" s="34">
        <f t="shared" si="155"/>
        <v>18</v>
      </c>
      <c r="L942" s="34">
        <f t="shared" si="155"/>
        <v>30</v>
      </c>
      <c r="M942" s="34">
        <f t="shared" si="155"/>
        <v>42</v>
      </c>
      <c r="N942" s="34">
        <f t="shared" si="155"/>
        <v>54</v>
      </c>
      <c r="O942" s="34">
        <f t="shared" si="155"/>
        <v>66</v>
      </c>
      <c r="P942" s="34">
        <f t="shared" si="155"/>
        <v>78</v>
      </c>
      <c r="Q942" s="34">
        <f t="shared" si="155"/>
        <v>90</v>
      </c>
      <c r="R942" s="34">
        <f t="shared" si="155"/>
        <v>102</v>
      </c>
      <c r="S942" s="35">
        <f t="shared" si="149"/>
        <v>12</v>
      </c>
    </row>
    <row r="943" spans="2:19" hidden="1" outlineLevel="1">
      <c r="B943" s="14" t="s">
        <v>116</v>
      </c>
      <c r="C943" s="15" t="s">
        <v>65</v>
      </c>
      <c r="D943" s="52">
        <v>2027</v>
      </c>
      <c r="E943" s="34">
        <v>8</v>
      </c>
      <c r="F943" s="38">
        <f t="shared" si="146"/>
        <v>15026.156394669857</v>
      </c>
      <c r="G943" s="34">
        <f t="shared" si="147"/>
        <v>9</v>
      </c>
      <c r="H943" s="34">
        <f t="shared" si="148"/>
        <v>3</v>
      </c>
      <c r="I943" s="34" t="str">
        <f t="shared" si="155"/>
        <v/>
      </c>
      <c r="J943" s="34">
        <f t="shared" si="155"/>
        <v>12</v>
      </c>
      <c r="K943" s="34">
        <f t="shared" si="155"/>
        <v>18</v>
      </c>
      <c r="L943" s="34">
        <f t="shared" si="155"/>
        <v>29</v>
      </c>
      <c r="M943" s="34">
        <f t="shared" si="155"/>
        <v>41</v>
      </c>
      <c r="N943" s="34">
        <f t="shared" si="155"/>
        <v>53</v>
      </c>
      <c r="O943" s="34">
        <f t="shared" si="155"/>
        <v>65</v>
      </c>
      <c r="P943" s="34">
        <f t="shared" si="155"/>
        <v>77</v>
      </c>
      <c r="Q943" s="34">
        <f t="shared" si="155"/>
        <v>89</v>
      </c>
      <c r="R943" s="34">
        <f t="shared" si="155"/>
        <v>101</v>
      </c>
      <c r="S943" s="35">
        <f t="shared" si="149"/>
        <v>12</v>
      </c>
    </row>
    <row r="944" spans="2:19" hidden="1" outlineLevel="1">
      <c r="B944" s="14" t="s">
        <v>116</v>
      </c>
      <c r="C944" s="15" t="s">
        <v>65</v>
      </c>
      <c r="D944" s="52">
        <v>2027</v>
      </c>
      <c r="E944" s="34">
        <v>9</v>
      </c>
      <c r="F944" s="38">
        <f t="shared" si="146"/>
        <v>15026.156394669857</v>
      </c>
      <c r="G944" s="34">
        <f t="shared" si="147"/>
        <v>9</v>
      </c>
      <c r="H944" s="34">
        <f t="shared" si="148"/>
        <v>3</v>
      </c>
      <c r="I944" s="34" t="str">
        <f t="shared" si="155"/>
        <v/>
      </c>
      <c r="J944" s="34">
        <f t="shared" si="155"/>
        <v>12</v>
      </c>
      <c r="K944" s="34">
        <f t="shared" si="155"/>
        <v>18</v>
      </c>
      <c r="L944" s="34">
        <f t="shared" si="155"/>
        <v>28</v>
      </c>
      <c r="M944" s="34">
        <f t="shared" si="155"/>
        <v>40</v>
      </c>
      <c r="N944" s="34">
        <f t="shared" si="155"/>
        <v>52</v>
      </c>
      <c r="O944" s="34">
        <f t="shared" si="155"/>
        <v>64</v>
      </c>
      <c r="P944" s="34">
        <f t="shared" si="155"/>
        <v>76</v>
      </c>
      <c r="Q944" s="34">
        <f t="shared" si="155"/>
        <v>88</v>
      </c>
      <c r="R944" s="34">
        <f t="shared" si="155"/>
        <v>100</v>
      </c>
      <c r="S944" s="35">
        <f t="shared" si="149"/>
        <v>12</v>
      </c>
    </row>
    <row r="945" spans="2:19" hidden="1" outlineLevel="1">
      <c r="B945" s="14" t="s">
        <v>116</v>
      </c>
      <c r="C945" s="15" t="s">
        <v>65</v>
      </c>
      <c r="D945" s="52">
        <v>2027</v>
      </c>
      <c r="E945" s="34">
        <v>10</v>
      </c>
      <c r="F945" s="38">
        <f t="shared" si="146"/>
        <v>15026.156394669857</v>
      </c>
      <c r="G945" s="34">
        <f t="shared" si="147"/>
        <v>9</v>
      </c>
      <c r="H945" s="34">
        <f t="shared" si="148"/>
        <v>3</v>
      </c>
      <c r="I945" s="34" t="str">
        <f t="shared" si="155"/>
        <v/>
      </c>
      <c r="J945" s="34">
        <f t="shared" si="155"/>
        <v>12</v>
      </c>
      <c r="K945" s="34">
        <f t="shared" si="155"/>
        <v>18</v>
      </c>
      <c r="L945" s="34">
        <f t="shared" si="155"/>
        <v>27</v>
      </c>
      <c r="M945" s="34">
        <f t="shared" si="155"/>
        <v>39</v>
      </c>
      <c r="N945" s="34">
        <f t="shared" si="155"/>
        <v>51</v>
      </c>
      <c r="O945" s="34">
        <f t="shared" si="155"/>
        <v>63</v>
      </c>
      <c r="P945" s="34">
        <f t="shared" si="155"/>
        <v>75</v>
      </c>
      <c r="Q945" s="34">
        <f t="shared" si="155"/>
        <v>87</v>
      </c>
      <c r="R945" s="34">
        <f t="shared" si="155"/>
        <v>99</v>
      </c>
      <c r="S945" s="35">
        <f t="shared" si="149"/>
        <v>12</v>
      </c>
    </row>
    <row r="946" spans="2:19" hidden="1" outlineLevel="1">
      <c r="B946" s="14" t="s">
        <v>116</v>
      </c>
      <c r="C946" s="15" t="s">
        <v>65</v>
      </c>
      <c r="D946" s="52">
        <v>2027</v>
      </c>
      <c r="E946" s="34">
        <v>11</v>
      </c>
      <c r="F946" s="38">
        <f t="shared" si="146"/>
        <v>15026.156394669857</v>
      </c>
      <c r="G946" s="34">
        <f t="shared" si="147"/>
        <v>9</v>
      </c>
      <c r="H946" s="34">
        <f t="shared" si="148"/>
        <v>3</v>
      </c>
      <c r="I946" s="34" t="str">
        <f t="shared" si="155"/>
        <v/>
      </c>
      <c r="J946" s="34">
        <f t="shared" si="155"/>
        <v>12</v>
      </c>
      <c r="K946" s="34">
        <f t="shared" si="155"/>
        <v>18</v>
      </c>
      <c r="L946" s="34">
        <f t="shared" si="155"/>
        <v>26</v>
      </c>
      <c r="M946" s="34">
        <f t="shared" si="155"/>
        <v>38</v>
      </c>
      <c r="N946" s="34">
        <f t="shared" si="155"/>
        <v>50</v>
      </c>
      <c r="O946" s="34">
        <f t="shared" si="155"/>
        <v>62</v>
      </c>
      <c r="P946" s="34">
        <f t="shared" si="155"/>
        <v>74</v>
      </c>
      <c r="Q946" s="34">
        <f t="shared" si="155"/>
        <v>86</v>
      </c>
      <c r="R946" s="34">
        <f t="shared" si="155"/>
        <v>98</v>
      </c>
      <c r="S946" s="35">
        <f t="shared" si="149"/>
        <v>12</v>
      </c>
    </row>
    <row r="947" spans="2:19" hidden="1" outlineLevel="1">
      <c r="B947" s="14" t="s">
        <v>116</v>
      </c>
      <c r="C947" s="15" t="s">
        <v>65</v>
      </c>
      <c r="D947" s="52">
        <v>2027</v>
      </c>
      <c r="E947" s="34">
        <v>12</v>
      </c>
      <c r="F947" s="38">
        <f t="shared" si="146"/>
        <v>15026.156394669857</v>
      </c>
      <c r="G947" s="34">
        <f t="shared" si="147"/>
        <v>9</v>
      </c>
      <c r="H947" s="34">
        <f t="shared" si="148"/>
        <v>3</v>
      </c>
      <c r="I947" s="34" t="str">
        <f t="shared" si="155"/>
        <v/>
      </c>
      <c r="J947" s="34">
        <f t="shared" si="155"/>
        <v>12</v>
      </c>
      <c r="K947" s="34">
        <f t="shared" si="155"/>
        <v>18</v>
      </c>
      <c r="L947" s="34">
        <f t="shared" si="155"/>
        <v>25</v>
      </c>
      <c r="M947" s="34">
        <f t="shared" si="155"/>
        <v>37</v>
      </c>
      <c r="N947" s="34">
        <f t="shared" si="155"/>
        <v>49</v>
      </c>
      <c r="O947" s="34">
        <f t="shared" si="155"/>
        <v>61</v>
      </c>
      <c r="P947" s="34">
        <f t="shared" si="155"/>
        <v>73</v>
      </c>
      <c r="Q947" s="34">
        <f t="shared" si="155"/>
        <v>85</v>
      </c>
      <c r="R947" s="34">
        <f t="shared" si="155"/>
        <v>97</v>
      </c>
      <c r="S947" s="35">
        <f t="shared" si="149"/>
        <v>12</v>
      </c>
    </row>
    <row r="948" spans="2:19" hidden="1" outlineLevel="1">
      <c r="B948" s="14" t="s">
        <v>116</v>
      </c>
      <c r="C948" s="15" t="s">
        <v>65</v>
      </c>
      <c r="D948" s="52">
        <v>2028</v>
      </c>
      <c r="E948" s="34">
        <v>1</v>
      </c>
      <c r="F948" s="38">
        <f t="shared" si="146"/>
        <v>15151.953956330208</v>
      </c>
      <c r="G948" s="34">
        <f t="shared" si="147"/>
        <v>9</v>
      </c>
      <c r="H948" s="34">
        <f t="shared" si="148"/>
        <v>3</v>
      </c>
      <c r="I948" s="34" t="str">
        <f t="shared" si="155"/>
        <v/>
      </c>
      <c r="J948" s="34">
        <f t="shared" si="155"/>
        <v>18</v>
      </c>
      <c r="K948" s="34">
        <f t="shared" si="155"/>
        <v>24</v>
      </c>
      <c r="L948" s="34">
        <f t="shared" si="155"/>
        <v>36</v>
      </c>
      <c r="M948" s="34">
        <f t="shared" si="155"/>
        <v>48</v>
      </c>
      <c r="N948" s="34">
        <f t="shared" si="155"/>
        <v>60</v>
      </c>
      <c r="O948" s="34">
        <f t="shared" si="155"/>
        <v>72</v>
      </c>
      <c r="P948" s="34">
        <f t="shared" si="155"/>
        <v>84</v>
      </c>
      <c r="Q948" s="34">
        <f t="shared" si="155"/>
        <v>96</v>
      </c>
      <c r="R948" s="34">
        <f t="shared" si="155"/>
        <v>108</v>
      </c>
      <c r="S948" s="35">
        <f t="shared" si="149"/>
        <v>18</v>
      </c>
    </row>
    <row r="949" spans="2:19" hidden="1" outlineLevel="1">
      <c r="B949" s="14" t="s">
        <v>116</v>
      </c>
      <c r="C949" s="15" t="s">
        <v>65</v>
      </c>
      <c r="D949" s="52">
        <v>2028</v>
      </c>
      <c r="E949" s="34">
        <v>2</v>
      </c>
      <c r="F949" s="38">
        <f t="shared" si="146"/>
        <v>15151.953956330208</v>
      </c>
      <c r="G949" s="34">
        <f t="shared" si="147"/>
        <v>9</v>
      </c>
      <c r="H949" s="34">
        <f t="shared" si="148"/>
        <v>3</v>
      </c>
      <c r="I949" s="34" t="str">
        <f t="shared" si="155"/>
        <v/>
      </c>
      <c r="J949" s="34">
        <f t="shared" si="155"/>
        <v>18</v>
      </c>
      <c r="K949" s="34">
        <f t="shared" si="155"/>
        <v>24</v>
      </c>
      <c r="L949" s="34">
        <f t="shared" si="155"/>
        <v>35</v>
      </c>
      <c r="M949" s="34">
        <f t="shared" si="155"/>
        <v>47</v>
      </c>
      <c r="N949" s="34">
        <f t="shared" si="155"/>
        <v>59</v>
      </c>
      <c r="O949" s="34">
        <f t="shared" si="155"/>
        <v>71</v>
      </c>
      <c r="P949" s="34">
        <f t="shared" si="155"/>
        <v>83</v>
      </c>
      <c r="Q949" s="34">
        <f t="shared" si="155"/>
        <v>95</v>
      </c>
      <c r="R949" s="34">
        <f t="shared" si="155"/>
        <v>107</v>
      </c>
      <c r="S949" s="35">
        <f t="shared" si="149"/>
        <v>18</v>
      </c>
    </row>
    <row r="950" spans="2:19" hidden="1" outlineLevel="1">
      <c r="B950" s="14" t="s">
        <v>116</v>
      </c>
      <c r="C950" s="15" t="s">
        <v>65</v>
      </c>
      <c r="D950" s="52">
        <v>2028</v>
      </c>
      <c r="E950" s="34">
        <v>3</v>
      </c>
      <c r="F950" s="38">
        <f t="shared" si="146"/>
        <v>15151.953956330208</v>
      </c>
      <c r="G950" s="34">
        <f t="shared" si="147"/>
        <v>9</v>
      </c>
      <c r="H950" s="34">
        <f t="shared" si="148"/>
        <v>3</v>
      </c>
      <c r="I950" s="34" t="str">
        <f t="shared" ref="I950:R959" si="156">IF($D950&lt;$Z$18,"",IF(MAX($G950,INDEX($C$65:$F$108,$D950+I$119-2026,$H950))&lt;=12*I$119-$E950+12,MAX($G950,12*I$119-$E950+1,INDEX($C$65:$F$108,$D950+I$119-2026,$H950)),""))</f>
        <v/>
      </c>
      <c r="J950" s="34">
        <f t="shared" si="156"/>
        <v>18</v>
      </c>
      <c r="K950" s="34">
        <f t="shared" si="156"/>
        <v>24</v>
      </c>
      <c r="L950" s="34">
        <f t="shared" si="156"/>
        <v>34</v>
      </c>
      <c r="M950" s="34">
        <f t="shared" si="156"/>
        <v>46</v>
      </c>
      <c r="N950" s="34">
        <f t="shared" si="156"/>
        <v>58</v>
      </c>
      <c r="O950" s="34">
        <f t="shared" si="156"/>
        <v>70</v>
      </c>
      <c r="P950" s="34">
        <f t="shared" si="156"/>
        <v>82</v>
      </c>
      <c r="Q950" s="34">
        <f t="shared" si="156"/>
        <v>94</v>
      </c>
      <c r="R950" s="34">
        <f t="shared" si="156"/>
        <v>106</v>
      </c>
      <c r="S950" s="35">
        <f t="shared" si="149"/>
        <v>18</v>
      </c>
    </row>
    <row r="951" spans="2:19" hidden="1" outlineLevel="1">
      <c r="B951" s="14" t="s">
        <v>116</v>
      </c>
      <c r="C951" s="15" t="s">
        <v>65</v>
      </c>
      <c r="D951" s="52">
        <v>2028</v>
      </c>
      <c r="E951" s="34">
        <v>4</v>
      </c>
      <c r="F951" s="38">
        <f t="shared" si="146"/>
        <v>15151.953956330208</v>
      </c>
      <c r="G951" s="34">
        <f t="shared" si="147"/>
        <v>9</v>
      </c>
      <c r="H951" s="34">
        <f t="shared" si="148"/>
        <v>3</v>
      </c>
      <c r="I951" s="34" t="str">
        <f t="shared" si="156"/>
        <v/>
      </c>
      <c r="J951" s="34">
        <f t="shared" si="156"/>
        <v>18</v>
      </c>
      <c r="K951" s="34">
        <f t="shared" si="156"/>
        <v>24</v>
      </c>
      <c r="L951" s="34">
        <f t="shared" si="156"/>
        <v>33</v>
      </c>
      <c r="M951" s="34">
        <f t="shared" si="156"/>
        <v>45</v>
      </c>
      <c r="N951" s="34">
        <f t="shared" si="156"/>
        <v>57</v>
      </c>
      <c r="O951" s="34">
        <f t="shared" si="156"/>
        <v>69</v>
      </c>
      <c r="P951" s="34">
        <f t="shared" si="156"/>
        <v>81</v>
      </c>
      <c r="Q951" s="34">
        <f t="shared" si="156"/>
        <v>93</v>
      </c>
      <c r="R951" s="34">
        <f t="shared" si="156"/>
        <v>105</v>
      </c>
      <c r="S951" s="35">
        <f t="shared" si="149"/>
        <v>18</v>
      </c>
    </row>
    <row r="952" spans="2:19" hidden="1" outlineLevel="1">
      <c r="B952" s="14" t="s">
        <v>116</v>
      </c>
      <c r="C952" s="15" t="s">
        <v>65</v>
      </c>
      <c r="D952" s="52">
        <v>2028</v>
      </c>
      <c r="E952" s="34">
        <v>5</v>
      </c>
      <c r="F952" s="38">
        <f t="shared" ref="F952:F1015" si="157">IF($C952="Homens",INDEX($C$5:$C$55,MATCH($D952,$B$5:$B$55,0)),INDEX($F$5:$F$55,MATCH($D952,$B$5:$B$55,0)))/12</f>
        <v>15151.953956330208</v>
      </c>
      <c r="G952" s="34">
        <f t="shared" ref="G952:G1015" si="158">IF($C952="Homens",$Z$17,$AA$17)</f>
        <v>9</v>
      </c>
      <c r="H952" s="34">
        <f t="shared" ref="H952:H1015" si="159">1+2*($B952="Com Transição")+($C952="Mulheres")</f>
        <v>3</v>
      </c>
      <c r="I952" s="34" t="str">
        <f t="shared" si="156"/>
        <v/>
      </c>
      <c r="J952" s="34">
        <f t="shared" si="156"/>
        <v>18</v>
      </c>
      <c r="K952" s="34">
        <f t="shared" si="156"/>
        <v>24</v>
      </c>
      <c r="L952" s="34">
        <f t="shared" si="156"/>
        <v>32</v>
      </c>
      <c r="M952" s="34">
        <f t="shared" si="156"/>
        <v>44</v>
      </c>
      <c r="N952" s="34">
        <f t="shared" si="156"/>
        <v>56</v>
      </c>
      <c r="O952" s="34">
        <f t="shared" si="156"/>
        <v>68</v>
      </c>
      <c r="P952" s="34">
        <f t="shared" si="156"/>
        <v>80</v>
      </c>
      <c r="Q952" s="34">
        <f t="shared" si="156"/>
        <v>92</v>
      </c>
      <c r="R952" s="34">
        <f t="shared" si="156"/>
        <v>104</v>
      </c>
      <c r="S952" s="35">
        <f t="shared" ref="S952:S1015" si="160">IF($D952&lt;$Z$18,$G952,MIN(I952:R952))</f>
        <v>18</v>
      </c>
    </row>
    <row r="953" spans="2:19" hidden="1" outlineLevel="1">
      <c r="B953" s="14" t="s">
        <v>116</v>
      </c>
      <c r="C953" s="15" t="s">
        <v>65</v>
      </c>
      <c r="D953" s="52">
        <v>2028</v>
      </c>
      <c r="E953" s="34">
        <v>6</v>
      </c>
      <c r="F953" s="38">
        <f t="shared" si="157"/>
        <v>15151.953956330208</v>
      </c>
      <c r="G953" s="34">
        <f t="shared" si="158"/>
        <v>9</v>
      </c>
      <c r="H953" s="34">
        <f t="shared" si="159"/>
        <v>3</v>
      </c>
      <c r="I953" s="34" t="str">
        <f t="shared" si="156"/>
        <v/>
      </c>
      <c r="J953" s="34">
        <f t="shared" si="156"/>
        <v>18</v>
      </c>
      <c r="K953" s="34">
        <f t="shared" si="156"/>
        <v>24</v>
      </c>
      <c r="L953" s="34">
        <f t="shared" si="156"/>
        <v>31</v>
      </c>
      <c r="M953" s="34">
        <f t="shared" si="156"/>
        <v>43</v>
      </c>
      <c r="N953" s="34">
        <f t="shared" si="156"/>
        <v>55</v>
      </c>
      <c r="O953" s="34">
        <f t="shared" si="156"/>
        <v>67</v>
      </c>
      <c r="P953" s="34">
        <f t="shared" si="156"/>
        <v>79</v>
      </c>
      <c r="Q953" s="34">
        <f t="shared" si="156"/>
        <v>91</v>
      </c>
      <c r="R953" s="34">
        <f t="shared" si="156"/>
        <v>103</v>
      </c>
      <c r="S953" s="35">
        <f t="shared" si="160"/>
        <v>18</v>
      </c>
    </row>
    <row r="954" spans="2:19" hidden="1" outlineLevel="1">
      <c r="B954" s="14" t="s">
        <v>116</v>
      </c>
      <c r="C954" s="15" t="s">
        <v>65</v>
      </c>
      <c r="D954" s="52">
        <v>2028</v>
      </c>
      <c r="E954" s="34">
        <v>7</v>
      </c>
      <c r="F954" s="38">
        <f t="shared" si="157"/>
        <v>15151.953956330208</v>
      </c>
      <c r="G954" s="34">
        <f t="shared" si="158"/>
        <v>9</v>
      </c>
      <c r="H954" s="34">
        <f t="shared" si="159"/>
        <v>3</v>
      </c>
      <c r="I954" s="34" t="str">
        <f t="shared" si="156"/>
        <v/>
      </c>
      <c r="J954" s="34" t="str">
        <f t="shared" si="156"/>
        <v/>
      </c>
      <c r="K954" s="34">
        <f t="shared" si="156"/>
        <v>24</v>
      </c>
      <c r="L954" s="34">
        <f t="shared" si="156"/>
        <v>30</v>
      </c>
      <c r="M954" s="34">
        <f t="shared" si="156"/>
        <v>42</v>
      </c>
      <c r="N954" s="34">
        <f t="shared" si="156"/>
        <v>54</v>
      </c>
      <c r="O954" s="34">
        <f t="shared" si="156"/>
        <v>66</v>
      </c>
      <c r="P954" s="34">
        <f t="shared" si="156"/>
        <v>78</v>
      </c>
      <c r="Q954" s="34">
        <f t="shared" si="156"/>
        <v>90</v>
      </c>
      <c r="R954" s="34">
        <f t="shared" si="156"/>
        <v>102</v>
      </c>
      <c r="S954" s="35">
        <f t="shared" si="160"/>
        <v>24</v>
      </c>
    </row>
    <row r="955" spans="2:19" hidden="1" outlineLevel="1">
      <c r="B955" s="14" t="s">
        <v>116</v>
      </c>
      <c r="C955" s="15" t="s">
        <v>65</v>
      </c>
      <c r="D955" s="52">
        <v>2028</v>
      </c>
      <c r="E955" s="34">
        <v>8</v>
      </c>
      <c r="F955" s="38">
        <f t="shared" si="157"/>
        <v>15151.953956330208</v>
      </c>
      <c r="G955" s="34">
        <f t="shared" si="158"/>
        <v>9</v>
      </c>
      <c r="H955" s="34">
        <f t="shared" si="159"/>
        <v>3</v>
      </c>
      <c r="I955" s="34" t="str">
        <f t="shared" si="156"/>
        <v/>
      </c>
      <c r="J955" s="34" t="str">
        <f t="shared" si="156"/>
        <v/>
      </c>
      <c r="K955" s="34">
        <f t="shared" si="156"/>
        <v>24</v>
      </c>
      <c r="L955" s="34">
        <f t="shared" si="156"/>
        <v>30</v>
      </c>
      <c r="M955" s="34">
        <f t="shared" si="156"/>
        <v>41</v>
      </c>
      <c r="N955" s="34">
        <f t="shared" si="156"/>
        <v>53</v>
      </c>
      <c r="O955" s="34">
        <f t="shared" si="156"/>
        <v>65</v>
      </c>
      <c r="P955" s="34">
        <f t="shared" si="156"/>
        <v>77</v>
      </c>
      <c r="Q955" s="34">
        <f t="shared" si="156"/>
        <v>89</v>
      </c>
      <c r="R955" s="34">
        <f t="shared" si="156"/>
        <v>101</v>
      </c>
      <c r="S955" s="35">
        <f t="shared" si="160"/>
        <v>24</v>
      </c>
    </row>
    <row r="956" spans="2:19" hidden="1" outlineLevel="1">
      <c r="B956" s="14" t="s">
        <v>116</v>
      </c>
      <c r="C956" s="15" t="s">
        <v>65</v>
      </c>
      <c r="D956" s="52">
        <v>2028</v>
      </c>
      <c r="E956" s="34">
        <v>9</v>
      </c>
      <c r="F956" s="38">
        <f t="shared" si="157"/>
        <v>15151.953956330208</v>
      </c>
      <c r="G956" s="34">
        <f t="shared" si="158"/>
        <v>9</v>
      </c>
      <c r="H956" s="34">
        <f t="shared" si="159"/>
        <v>3</v>
      </c>
      <c r="I956" s="34" t="str">
        <f t="shared" si="156"/>
        <v/>
      </c>
      <c r="J956" s="34" t="str">
        <f t="shared" si="156"/>
        <v/>
      </c>
      <c r="K956" s="34">
        <f t="shared" si="156"/>
        <v>24</v>
      </c>
      <c r="L956" s="34">
        <f t="shared" si="156"/>
        <v>30</v>
      </c>
      <c r="M956" s="34">
        <f t="shared" si="156"/>
        <v>40</v>
      </c>
      <c r="N956" s="34">
        <f t="shared" si="156"/>
        <v>52</v>
      </c>
      <c r="O956" s="34">
        <f t="shared" si="156"/>
        <v>64</v>
      </c>
      <c r="P956" s="34">
        <f t="shared" si="156"/>
        <v>76</v>
      </c>
      <c r="Q956" s="34">
        <f t="shared" si="156"/>
        <v>88</v>
      </c>
      <c r="R956" s="34">
        <f t="shared" si="156"/>
        <v>100</v>
      </c>
      <c r="S956" s="35">
        <f t="shared" si="160"/>
        <v>24</v>
      </c>
    </row>
    <row r="957" spans="2:19" hidden="1" outlineLevel="1">
      <c r="B957" s="14" t="s">
        <v>116</v>
      </c>
      <c r="C957" s="15" t="s">
        <v>65</v>
      </c>
      <c r="D957" s="52">
        <v>2028</v>
      </c>
      <c r="E957" s="34">
        <v>10</v>
      </c>
      <c r="F957" s="38">
        <f t="shared" si="157"/>
        <v>15151.953956330208</v>
      </c>
      <c r="G957" s="34">
        <f t="shared" si="158"/>
        <v>9</v>
      </c>
      <c r="H957" s="34">
        <f t="shared" si="159"/>
        <v>3</v>
      </c>
      <c r="I957" s="34" t="str">
        <f t="shared" si="156"/>
        <v/>
      </c>
      <c r="J957" s="34" t="str">
        <f t="shared" si="156"/>
        <v/>
      </c>
      <c r="K957" s="34">
        <f t="shared" si="156"/>
        <v>24</v>
      </c>
      <c r="L957" s="34">
        <f t="shared" si="156"/>
        <v>30</v>
      </c>
      <c r="M957" s="34">
        <f t="shared" si="156"/>
        <v>39</v>
      </c>
      <c r="N957" s="34">
        <f t="shared" si="156"/>
        <v>51</v>
      </c>
      <c r="O957" s="34">
        <f t="shared" si="156"/>
        <v>63</v>
      </c>
      <c r="P957" s="34">
        <f t="shared" si="156"/>
        <v>75</v>
      </c>
      <c r="Q957" s="34">
        <f t="shared" si="156"/>
        <v>87</v>
      </c>
      <c r="R957" s="34">
        <f t="shared" si="156"/>
        <v>99</v>
      </c>
      <c r="S957" s="35">
        <f t="shared" si="160"/>
        <v>24</v>
      </c>
    </row>
    <row r="958" spans="2:19" hidden="1" outlineLevel="1">
      <c r="B958" s="14" t="s">
        <v>116</v>
      </c>
      <c r="C958" s="15" t="s">
        <v>65</v>
      </c>
      <c r="D958" s="52">
        <v>2028</v>
      </c>
      <c r="E958" s="34">
        <v>11</v>
      </c>
      <c r="F958" s="38">
        <f t="shared" si="157"/>
        <v>15151.953956330208</v>
      </c>
      <c r="G958" s="34">
        <f t="shared" si="158"/>
        <v>9</v>
      </c>
      <c r="H958" s="34">
        <f t="shared" si="159"/>
        <v>3</v>
      </c>
      <c r="I958" s="34" t="str">
        <f t="shared" si="156"/>
        <v/>
      </c>
      <c r="J958" s="34" t="str">
        <f t="shared" si="156"/>
        <v/>
      </c>
      <c r="K958" s="34">
        <f t="shared" si="156"/>
        <v>24</v>
      </c>
      <c r="L958" s="34">
        <f t="shared" si="156"/>
        <v>30</v>
      </c>
      <c r="M958" s="34">
        <f t="shared" si="156"/>
        <v>38</v>
      </c>
      <c r="N958" s="34">
        <f t="shared" si="156"/>
        <v>50</v>
      </c>
      <c r="O958" s="34">
        <f t="shared" si="156"/>
        <v>62</v>
      </c>
      <c r="P958" s="34">
        <f t="shared" si="156"/>
        <v>74</v>
      </c>
      <c r="Q958" s="34">
        <f t="shared" si="156"/>
        <v>86</v>
      </c>
      <c r="R958" s="34">
        <f t="shared" si="156"/>
        <v>98</v>
      </c>
      <c r="S958" s="35">
        <f t="shared" si="160"/>
        <v>24</v>
      </c>
    </row>
    <row r="959" spans="2:19" hidden="1" outlineLevel="1">
      <c r="B959" s="14" t="s">
        <v>116</v>
      </c>
      <c r="C959" s="15" t="s">
        <v>65</v>
      </c>
      <c r="D959" s="52">
        <v>2028</v>
      </c>
      <c r="E959" s="34">
        <v>12</v>
      </c>
      <c r="F959" s="38">
        <f t="shared" si="157"/>
        <v>15151.953956330208</v>
      </c>
      <c r="G959" s="34">
        <f t="shared" si="158"/>
        <v>9</v>
      </c>
      <c r="H959" s="34">
        <f t="shared" si="159"/>
        <v>3</v>
      </c>
      <c r="I959" s="34" t="str">
        <f t="shared" si="156"/>
        <v/>
      </c>
      <c r="J959" s="34" t="str">
        <f t="shared" si="156"/>
        <v/>
      </c>
      <c r="K959" s="34">
        <f t="shared" si="156"/>
        <v>24</v>
      </c>
      <c r="L959" s="34">
        <f t="shared" si="156"/>
        <v>30</v>
      </c>
      <c r="M959" s="34">
        <f t="shared" si="156"/>
        <v>37</v>
      </c>
      <c r="N959" s="34">
        <f t="shared" si="156"/>
        <v>49</v>
      </c>
      <c r="O959" s="34">
        <f t="shared" si="156"/>
        <v>61</v>
      </c>
      <c r="P959" s="34">
        <f t="shared" si="156"/>
        <v>73</v>
      </c>
      <c r="Q959" s="34">
        <f t="shared" si="156"/>
        <v>85</v>
      </c>
      <c r="R959" s="34">
        <f t="shared" si="156"/>
        <v>97</v>
      </c>
      <c r="S959" s="35">
        <f t="shared" si="160"/>
        <v>24</v>
      </c>
    </row>
    <row r="960" spans="2:19" hidden="1" outlineLevel="1">
      <c r="B960" s="14" t="s">
        <v>116</v>
      </c>
      <c r="C960" s="15" t="s">
        <v>65</v>
      </c>
      <c r="D960" s="52">
        <v>2029</v>
      </c>
      <c r="E960" s="34">
        <v>1</v>
      </c>
      <c r="F960" s="38">
        <f t="shared" si="157"/>
        <v>15317.166980911841</v>
      </c>
      <c r="G960" s="34">
        <f t="shared" si="158"/>
        <v>9</v>
      </c>
      <c r="H960" s="34">
        <f t="shared" si="159"/>
        <v>3</v>
      </c>
      <c r="I960" s="34" t="str">
        <f t="shared" ref="I960:R969" si="161">IF($D960&lt;$Z$18,"",IF(MAX($G960,INDEX($C$65:$F$108,$D960+I$119-2026,$H960))&lt;=12*I$119-$E960+12,MAX($G960,12*I$119-$E960+1,INDEX($C$65:$F$108,$D960+I$119-2026,$H960)),""))</f>
        <v/>
      </c>
      <c r="J960" s="34" t="str">
        <f t="shared" si="161"/>
        <v/>
      </c>
      <c r="K960" s="34">
        <f t="shared" si="161"/>
        <v>30</v>
      </c>
      <c r="L960" s="34">
        <f t="shared" si="161"/>
        <v>36</v>
      </c>
      <c r="M960" s="34">
        <f t="shared" si="161"/>
        <v>48</v>
      </c>
      <c r="N960" s="34">
        <f t="shared" si="161"/>
        <v>60</v>
      </c>
      <c r="O960" s="34">
        <f t="shared" si="161"/>
        <v>72</v>
      </c>
      <c r="P960" s="34">
        <f t="shared" si="161"/>
        <v>84</v>
      </c>
      <c r="Q960" s="34">
        <f t="shared" si="161"/>
        <v>96</v>
      </c>
      <c r="R960" s="34">
        <f t="shared" si="161"/>
        <v>108</v>
      </c>
      <c r="S960" s="35">
        <f t="shared" si="160"/>
        <v>30</v>
      </c>
    </row>
    <row r="961" spans="2:19" hidden="1" outlineLevel="1">
      <c r="B961" s="14" t="s">
        <v>116</v>
      </c>
      <c r="C961" s="15" t="s">
        <v>65</v>
      </c>
      <c r="D961" s="52">
        <v>2029</v>
      </c>
      <c r="E961" s="34">
        <v>2</v>
      </c>
      <c r="F961" s="38">
        <f t="shared" si="157"/>
        <v>15317.166980911841</v>
      </c>
      <c r="G961" s="34">
        <f t="shared" si="158"/>
        <v>9</v>
      </c>
      <c r="H961" s="34">
        <f t="shared" si="159"/>
        <v>3</v>
      </c>
      <c r="I961" s="34" t="str">
        <f t="shared" si="161"/>
        <v/>
      </c>
      <c r="J961" s="34" t="str">
        <f t="shared" si="161"/>
        <v/>
      </c>
      <c r="K961" s="34">
        <f t="shared" si="161"/>
        <v>30</v>
      </c>
      <c r="L961" s="34">
        <f t="shared" si="161"/>
        <v>36</v>
      </c>
      <c r="M961" s="34">
        <f t="shared" si="161"/>
        <v>47</v>
      </c>
      <c r="N961" s="34">
        <f t="shared" si="161"/>
        <v>59</v>
      </c>
      <c r="O961" s="34">
        <f t="shared" si="161"/>
        <v>71</v>
      </c>
      <c r="P961" s="34">
        <f t="shared" si="161"/>
        <v>83</v>
      </c>
      <c r="Q961" s="34">
        <f t="shared" si="161"/>
        <v>95</v>
      </c>
      <c r="R961" s="34">
        <f t="shared" si="161"/>
        <v>107</v>
      </c>
      <c r="S961" s="35">
        <f t="shared" si="160"/>
        <v>30</v>
      </c>
    </row>
    <row r="962" spans="2:19" hidden="1" outlineLevel="1">
      <c r="B962" s="14" t="s">
        <v>116</v>
      </c>
      <c r="C962" s="15" t="s">
        <v>65</v>
      </c>
      <c r="D962" s="52">
        <v>2029</v>
      </c>
      <c r="E962" s="34">
        <v>3</v>
      </c>
      <c r="F962" s="38">
        <f t="shared" si="157"/>
        <v>15317.166980911841</v>
      </c>
      <c r="G962" s="34">
        <f t="shared" si="158"/>
        <v>9</v>
      </c>
      <c r="H962" s="34">
        <f t="shared" si="159"/>
        <v>3</v>
      </c>
      <c r="I962" s="34" t="str">
        <f t="shared" si="161"/>
        <v/>
      </c>
      <c r="J962" s="34" t="str">
        <f t="shared" si="161"/>
        <v/>
      </c>
      <c r="K962" s="34">
        <f t="shared" si="161"/>
        <v>30</v>
      </c>
      <c r="L962" s="34">
        <f t="shared" si="161"/>
        <v>36</v>
      </c>
      <c r="M962" s="34">
        <f t="shared" si="161"/>
        <v>46</v>
      </c>
      <c r="N962" s="34">
        <f t="shared" si="161"/>
        <v>58</v>
      </c>
      <c r="O962" s="34">
        <f t="shared" si="161"/>
        <v>70</v>
      </c>
      <c r="P962" s="34">
        <f t="shared" si="161"/>
        <v>82</v>
      </c>
      <c r="Q962" s="34">
        <f t="shared" si="161"/>
        <v>94</v>
      </c>
      <c r="R962" s="34">
        <f t="shared" si="161"/>
        <v>106</v>
      </c>
      <c r="S962" s="35">
        <f t="shared" si="160"/>
        <v>30</v>
      </c>
    </row>
    <row r="963" spans="2:19" hidden="1" outlineLevel="1">
      <c r="B963" s="14" t="s">
        <v>116</v>
      </c>
      <c r="C963" s="15" t="s">
        <v>65</v>
      </c>
      <c r="D963" s="52">
        <v>2029</v>
      </c>
      <c r="E963" s="34">
        <v>4</v>
      </c>
      <c r="F963" s="38">
        <f t="shared" si="157"/>
        <v>15317.166980911841</v>
      </c>
      <c r="G963" s="34">
        <f t="shared" si="158"/>
        <v>9</v>
      </c>
      <c r="H963" s="34">
        <f t="shared" si="159"/>
        <v>3</v>
      </c>
      <c r="I963" s="34" t="str">
        <f t="shared" si="161"/>
        <v/>
      </c>
      <c r="J963" s="34" t="str">
        <f t="shared" si="161"/>
        <v/>
      </c>
      <c r="K963" s="34">
        <f t="shared" si="161"/>
        <v>30</v>
      </c>
      <c r="L963" s="34">
        <f t="shared" si="161"/>
        <v>36</v>
      </c>
      <c r="M963" s="34">
        <f t="shared" si="161"/>
        <v>45</v>
      </c>
      <c r="N963" s="34">
        <f t="shared" si="161"/>
        <v>57</v>
      </c>
      <c r="O963" s="34">
        <f t="shared" si="161"/>
        <v>69</v>
      </c>
      <c r="P963" s="34">
        <f t="shared" si="161"/>
        <v>81</v>
      </c>
      <c r="Q963" s="34">
        <f t="shared" si="161"/>
        <v>93</v>
      </c>
      <c r="R963" s="34">
        <f t="shared" si="161"/>
        <v>105</v>
      </c>
      <c r="S963" s="35">
        <f t="shared" si="160"/>
        <v>30</v>
      </c>
    </row>
    <row r="964" spans="2:19" hidden="1" outlineLevel="1">
      <c r="B964" s="14" t="s">
        <v>116</v>
      </c>
      <c r="C964" s="15" t="s">
        <v>65</v>
      </c>
      <c r="D964" s="52">
        <v>2029</v>
      </c>
      <c r="E964" s="34">
        <v>5</v>
      </c>
      <c r="F964" s="38">
        <f t="shared" si="157"/>
        <v>15317.166980911841</v>
      </c>
      <c r="G964" s="34">
        <f t="shared" si="158"/>
        <v>9</v>
      </c>
      <c r="H964" s="34">
        <f t="shared" si="159"/>
        <v>3</v>
      </c>
      <c r="I964" s="34" t="str">
        <f t="shared" si="161"/>
        <v/>
      </c>
      <c r="J964" s="34" t="str">
        <f t="shared" si="161"/>
        <v/>
      </c>
      <c r="K964" s="34">
        <f t="shared" si="161"/>
        <v>30</v>
      </c>
      <c r="L964" s="34">
        <f t="shared" si="161"/>
        <v>36</v>
      </c>
      <c r="M964" s="34">
        <f t="shared" si="161"/>
        <v>44</v>
      </c>
      <c r="N964" s="34">
        <f t="shared" si="161"/>
        <v>56</v>
      </c>
      <c r="O964" s="34">
        <f t="shared" si="161"/>
        <v>68</v>
      </c>
      <c r="P964" s="34">
        <f t="shared" si="161"/>
        <v>80</v>
      </c>
      <c r="Q964" s="34">
        <f t="shared" si="161"/>
        <v>92</v>
      </c>
      <c r="R964" s="34">
        <f t="shared" si="161"/>
        <v>104</v>
      </c>
      <c r="S964" s="35">
        <f t="shared" si="160"/>
        <v>30</v>
      </c>
    </row>
    <row r="965" spans="2:19" hidden="1" outlineLevel="1">
      <c r="B965" s="14" t="s">
        <v>116</v>
      </c>
      <c r="C965" s="15" t="s">
        <v>65</v>
      </c>
      <c r="D965" s="52">
        <v>2029</v>
      </c>
      <c r="E965" s="34">
        <v>6</v>
      </c>
      <c r="F965" s="38">
        <f t="shared" si="157"/>
        <v>15317.166980911841</v>
      </c>
      <c r="G965" s="34">
        <f t="shared" si="158"/>
        <v>9</v>
      </c>
      <c r="H965" s="34">
        <f t="shared" si="159"/>
        <v>3</v>
      </c>
      <c r="I965" s="34" t="str">
        <f t="shared" si="161"/>
        <v/>
      </c>
      <c r="J965" s="34" t="str">
        <f t="shared" si="161"/>
        <v/>
      </c>
      <c r="K965" s="34">
        <f t="shared" si="161"/>
        <v>30</v>
      </c>
      <c r="L965" s="34">
        <f t="shared" si="161"/>
        <v>36</v>
      </c>
      <c r="M965" s="34">
        <f t="shared" si="161"/>
        <v>43</v>
      </c>
      <c r="N965" s="34">
        <f t="shared" si="161"/>
        <v>55</v>
      </c>
      <c r="O965" s="34">
        <f t="shared" si="161"/>
        <v>67</v>
      </c>
      <c r="P965" s="34">
        <f t="shared" si="161"/>
        <v>79</v>
      </c>
      <c r="Q965" s="34">
        <f t="shared" si="161"/>
        <v>91</v>
      </c>
      <c r="R965" s="34">
        <f t="shared" si="161"/>
        <v>103</v>
      </c>
      <c r="S965" s="35">
        <f t="shared" si="160"/>
        <v>30</v>
      </c>
    </row>
    <row r="966" spans="2:19" hidden="1" outlineLevel="1">
      <c r="B966" s="14" t="s">
        <v>116</v>
      </c>
      <c r="C966" s="15" t="s">
        <v>65</v>
      </c>
      <c r="D966" s="52">
        <v>2029</v>
      </c>
      <c r="E966" s="34">
        <v>7</v>
      </c>
      <c r="F966" s="38">
        <f t="shared" si="157"/>
        <v>15317.166980911841</v>
      </c>
      <c r="G966" s="34">
        <f t="shared" si="158"/>
        <v>9</v>
      </c>
      <c r="H966" s="34">
        <f t="shared" si="159"/>
        <v>3</v>
      </c>
      <c r="I966" s="34" t="str">
        <f t="shared" si="161"/>
        <v/>
      </c>
      <c r="J966" s="34" t="str">
        <f t="shared" si="161"/>
        <v/>
      </c>
      <c r="K966" s="34" t="str">
        <f t="shared" si="161"/>
        <v/>
      </c>
      <c r="L966" s="34">
        <f t="shared" si="161"/>
        <v>36</v>
      </c>
      <c r="M966" s="34">
        <f t="shared" si="161"/>
        <v>42</v>
      </c>
      <c r="N966" s="34">
        <f t="shared" si="161"/>
        <v>54</v>
      </c>
      <c r="O966" s="34">
        <f t="shared" si="161"/>
        <v>66</v>
      </c>
      <c r="P966" s="34">
        <f t="shared" si="161"/>
        <v>78</v>
      </c>
      <c r="Q966" s="34">
        <f t="shared" si="161"/>
        <v>90</v>
      </c>
      <c r="R966" s="34">
        <f t="shared" si="161"/>
        <v>102</v>
      </c>
      <c r="S966" s="35">
        <f t="shared" si="160"/>
        <v>36</v>
      </c>
    </row>
    <row r="967" spans="2:19" hidden="1" outlineLevel="1">
      <c r="B967" s="14" t="s">
        <v>116</v>
      </c>
      <c r="C967" s="15" t="s">
        <v>65</v>
      </c>
      <c r="D967" s="52">
        <v>2029</v>
      </c>
      <c r="E967" s="34">
        <v>8</v>
      </c>
      <c r="F967" s="38">
        <f t="shared" si="157"/>
        <v>15317.166980911841</v>
      </c>
      <c r="G967" s="34">
        <f t="shared" si="158"/>
        <v>9</v>
      </c>
      <c r="H967" s="34">
        <f t="shared" si="159"/>
        <v>3</v>
      </c>
      <c r="I967" s="34" t="str">
        <f t="shared" si="161"/>
        <v/>
      </c>
      <c r="J967" s="34" t="str">
        <f t="shared" si="161"/>
        <v/>
      </c>
      <c r="K967" s="34" t="str">
        <f t="shared" si="161"/>
        <v/>
      </c>
      <c r="L967" s="34">
        <f t="shared" si="161"/>
        <v>36</v>
      </c>
      <c r="M967" s="34">
        <f t="shared" si="161"/>
        <v>42</v>
      </c>
      <c r="N967" s="34">
        <f t="shared" si="161"/>
        <v>53</v>
      </c>
      <c r="O967" s="34">
        <f t="shared" si="161"/>
        <v>65</v>
      </c>
      <c r="P967" s="34">
        <f t="shared" si="161"/>
        <v>77</v>
      </c>
      <c r="Q967" s="34">
        <f t="shared" si="161"/>
        <v>89</v>
      </c>
      <c r="R967" s="34">
        <f t="shared" si="161"/>
        <v>101</v>
      </c>
      <c r="S967" s="35">
        <f t="shared" si="160"/>
        <v>36</v>
      </c>
    </row>
    <row r="968" spans="2:19" hidden="1" outlineLevel="1">
      <c r="B968" s="14" t="s">
        <v>116</v>
      </c>
      <c r="C968" s="15" t="s">
        <v>65</v>
      </c>
      <c r="D968" s="52">
        <v>2029</v>
      </c>
      <c r="E968" s="34">
        <v>9</v>
      </c>
      <c r="F968" s="38">
        <f t="shared" si="157"/>
        <v>15317.166980911841</v>
      </c>
      <c r="G968" s="34">
        <f t="shared" si="158"/>
        <v>9</v>
      </c>
      <c r="H968" s="34">
        <f t="shared" si="159"/>
        <v>3</v>
      </c>
      <c r="I968" s="34" t="str">
        <f t="shared" si="161"/>
        <v/>
      </c>
      <c r="J968" s="34" t="str">
        <f t="shared" si="161"/>
        <v/>
      </c>
      <c r="K968" s="34" t="str">
        <f t="shared" si="161"/>
        <v/>
      </c>
      <c r="L968" s="34">
        <f t="shared" si="161"/>
        <v>36</v>
      </c>
      <c r="M968" s="34">
        <f t="shared" si="161"/>
        <v>42</v>
      </c>
      <c r="N968" s="34">
        <f t="shared" si="161"/>
        <v>52</v>
      </c>
      <c r="O968" s="34">
        <f t="shared" si="161"/>
        <v>64</v>
      </c>
      <c r="P968" s="34">
        <f t="shared" si="161"/>
        <v>76</v>
      </c>
      <c r="Q968" s="34">
        <f t="shared" si="161"/>
        <v>88</v>
      </c>
      <c r="R968" s="34">
        <f t="shared" si="161"/>
        <v>100</v>
      </c>
      <c r="S968" s="35">
        <f t="shared" si="160"/>
        <v>36</v>
      </c>
    </row>
    <row r="969" spans="2:19" hidden="1" outlineLevel="1">
      <c r="B969" s="14" t="s">
        <v>116</v>
      </c>
      <c r="C969" s="15" t="s">
        <v>65</v>
      </c>
      <c r="D969" s="52">
        <v>2029</v>
      </c>
      <c r="E969" s="34">
        <v>10</v>
      </c>
      <c r="F969" s="38">
        <f t="shared" si="157"/>
        <v>15317.166980911841</v>
      </c>
      <c r="G969" s="34">
        <f t="shared" si="158"/>
        <v>9</v>
      </c>
      <c r="H969" s="34">
        <f t="shared" si="159"/>
        <v>3</v>
      </c>
      <c r="I969" s="34" t="str">
        <f t="shared" si="161"/>
        <v/>
      </c>
      <c r="J969" s="34" t="str">
        <f t="shared" si="161"/>
        <v/>
      </c>
      <c r="K969" s="34" t="str">
        <f t="shared" si="161"/>
        <v/>
      </c>
      <c r="L969" s="34">
        <f t="shared" si="161"/>
        <v>36</v>
      </c>
      <c r="M969" s="34">
        <f t="shared" si="161"/>
        <v>42</v>
      </c>
      <c r="N969" s="34">
        <f t="shared" si="161"/>
        <v>51</v>
      </c>
      <c r="O969" s="34">
        <f t="shared" si="161"/>
        <v>63</v>
      </c>
      <c r="P969" s="34">
        <f t="shared" si="161"/>
        <v>75</v>
      </c>
      <c r="Q969" s="34">
        <f t="shared" si="161"/>
        <v>87</v>
      </c>
      <c r="R969" s="34">
        <f t="shared" si="161"/>
        <v>99</v>
      </c>
      <c r="S969" s="35">
        <f t="shared" si="160"/>
        <v>36</v>
      </c>
    </row>
    <row r="970" spans="2:19" hidden="1" outlineLevel="1">
      <c r="B970" s="14" t="s">
        <v>116</v>
      </c>
      <c r="C970" s="15" t="s">
        <v>65</v>
      </c>
      <c r="D970" s="52">
        <v>2029</v>
      </c>
      <c r="E970" s="34">
        <v>11</v>
      </c>
      <c r="F970" s="38">
        <f t="shared" si="157"/>
        <v>15317.166980911841</v>
      </c>
      <c r="G970" s="34">
        <f t="shared" si="158"/>
        <v>9</v>
      </c>
      <c r="H970" s="34">
        <f t="shared" si="159"/>
        <v>3</v>
      </c>
      <c r="I970" s="34" t="str">
        <f t="shared" ref="I970:R979" si="162">IF($D970&lt;$Z$18,"",IF(MAX($G970,INDEX($C$65:$F$108,$D970+I$119-2026,$H970))&lt;=12*I$119-$E970+12,MAX($G970,12*I$119-$E970+1,INDEX($C$65:$F$108,$D970+I$119-2026,$H970)),""))</f>
        <v/>
      </c>
      <c r="J970" s="34" t="str">
        <f t="shared" si="162"/>
        <v/>
      </c>
      <c r="K970" s="34" t="str">
        <f t="shared" si="162"/>
        <v/>
      </c>
      <c r="L970" s="34">
        <f t="shared" si="162"/>
        <v>36</v>
      </c>
      <c r="M970" s="34">
        <f t="shared" si="162"/>
        <v>42</v>
      </c>
      <c r="N970" s="34">
        <f t="shared" si="162"/>
        <v>50</v>
      </c>
      <c r="O970" s="34">
        <f t="shared" si="162"/>
        <v>62</v>
      </c>
      <c r="P970" s="34">
        <f t="shared" si="162"/>
        <v>74</v>
      </c>
      <c r="Q970" s="34">
        <f t="shared" si="162"/>
        <v>86</v>
      </c>
      <c r="R970" s="34">
        <f t="shared" si="162"/>
        <v>98</v>
      </c>
      <c r="S970" s="35">
        <f t="shared" si="160"/>
        <v>36</v>
      </c>
    </row>
    <row r="971" spans="2:19" hidden="1" outlineLevel="1">
      <c r="B971" s="14" t="s">
        <v>116</v>
      </c>
      <c r="C971" s="15" t="s">
        <v>65</v>
      </c>
      <c r="D971" s="52">
        <v>2029</v>
      </c>
      <c r="E971" s="34">
        <v>12</v>
      </c>
      <c r="F971" s="38">
        <f t="shared" si="157"/>
        <v>15317.166980911841</v>
      </c>
      <c r="G971" s="34">
        <f t="shared" si="158"/>
        <v>9</v>
      </c>
      <c r="H971" s="34">
        <f t="shared" si="159"/>
        <v>3</v>
      </c>
      <c r="I971" s="34" t="str">
        <f t="shared" si="162"/>
        <v/>
      </c>
      <c r="J971" s="34" t="str">
        <f t="shared" si="162"/>
        <v/>
      </c>
      <c r="K971" s="34" t="str">
        <f t="shared" si="162"/>
        <v/>
      </c>
      <c r="L971" s="34">
        <f t="shared" si="162"/>
        <v>36</v>
      </c>
      <c r="M971" s="34">
        <f t="shared" si="162"/>
        <v>42</v>
      </c>
      <c r="N971" s="34">
        <f t="shared" si="162"/>
        <v>49</v>
      </c>
      <c r="O971" s="34">
        <f t="shared" si="162"/>
        <v>61</v>
      </c>
      <c r="P971" s="34">
        <f t="shared" si="162"/>
        <v>73</v>
      </c>
      <c r="Q971" s="34">
        <f t="shared" si="162"/>
        <v>85</v>
      </c>
      <c r="R971" s="34">
        <f t="shared" si="162"/>
        <v>97</v>
      </c>
      <c r="S971" s="35">
        <f t="shared" si="160"/>
        <v>36</v>
      </c>
    </row>
    <row r="972" spans="2:19" hidden="1" outlineLevel="1">
      <c r="B972" s="14" t="s">
        <v>116</v>
      </c>
      <c r="C972" s="15" t="s">
        <v>65</v>
      </c>
      <c r="D972" s="52">
        <v>2030</v>
      </c>
      <c r="E972" s="34">
        <v>1</v>
      </c>
      <c r="F972" s="38">
        <f t="shared" si="157"/>
        <v>15524.741255643617</v>
      </c>
      <c r="G972" s="34">
        <f t="shared" si="158"/>
        <v>9</v>
      </c>
      <c r="H972" s="34">
        <f t="shared" si="159"/>
        <v>3</v>
      </c>
      <c r="I972" s="34" t="str">
        <f t="shared" si="162"/>
        <v/>
      </c>
      <c r="J972" s="34" t="str">
        <f t="shared" si="162"/>
        <v/>
      </c>
      <c r="K972" s="34" t="str">
        <f t="shared" si="162"/>
        <v/>
      </c>
      <c r="L972" s="34">
        <f t="shared" si="162"/>
        <v>42</v>
      </c>
      <c r="M972" s="34">
        <f t="shared" si="162"/>
        <v>48</v>
      </c>
      <c r="N972" s="34">
        <f t="shared" si="162"/>
        <v>60</v>
      </c>
      <c r="O972" s="34">
        <f t="shared" si="162"/>
        <v>72</v>
      </c>
      <c r="P972" s="34">
        <f t="shared" si="162"/>
        <v>84</v>
      </c>
      <c r="Q972" s="34">
        <f t="shared" si="162"/>
        <v>96</v>
      </c>
      <c r="R972" s="34">
        <f t="shared" si="162"/>
        <v>108</v>
      </c>
      <c r="S972" s="35">
        <f t="shared" si="160"/>
        <v>42</v>
      </c>
    </row>
    <row r="973" spans="2:19" hidden="1" outlineLevel="1">
      <c r="B973" s="14" t="s">
        <v>116</v>
      </c>
      <c r="C973" s="15" t="s">
        <v>65</v>
      </c>
      <c r="D973" s="52">
        <v>2030</v>
      </c>
      <c r="E973" s="34">
        <v>2</v>
      </c>
      <c r="F973" s="38">
        <f t="shared" si="157"/>
        <v>15524.741255643617</v>
      </c>
      <c r="G973" s="34">
        <f t="shared" si="158"/>
        <v>9</v>
      </c>
      <c r="H973" s="34">
        <f t="shared" si="159"/>
        <v>3</v>
      </c>
      <c r="I973" s="34" t="str">
        <f t="shared" si="162"/>
        <v/>
      </c>
      <c r="J973" s="34" t="str">
        <f t="shared" si="162"/>
        <v/>
      </c>
      <c r="K973" s="34" t="str">
        <f t="shared" si="162"/>
        <v/>
      </c>
      <c r="L973" s="34">
        <f t="shared" si="162"/>
        <v>42</v>
      </c>
      <c r="M973" s="34">
        <f t="shared" si="162"/>
        <v>48</v>
      </c>
      <c r="N973" s="34">
        <f t="shared" si="162"/>
        <v>59</v>
      </c>
      <c r="O973" s="34">
        <f t="shared" si="162"/>
        <v>71</v>
      </c>
      <c r="P973" s="34">
        <f t="shared" si="162"/>
        <v>83</v>
      </c>
      <c r="Q973" s="34">
        <f t="shared" si="162"/>
        <v>95</v>
      </c>
      <c r="R973" s="34">
        <f t="shared" si="162"/>
        <v>107</v>
      </c>
      <c r="S973" s="35">
        <f t="shared" si="160"/>
        <v>42</v>
      </c>
    </row>
    <row r="974" spans="2:19" hidden="1" outlineLevel="1">
      <c r="B974" s="14" t="s">
        <v>116</v>
      </c>
      <c r="C974" s="15" t="s">
        <v>65</v>
      </c>
      <c r="D974" s="52">
        <v>2030</v>
      </c>
      <c r="E974" s="34">
        <v>3</v>
      </c>
      <c r="F974" s="38">
        <f t="shared" si="157"/>
        <v>15524.741255643617</v>
      </c>
      <c r="G974" s="34">
        <f t="shared" si="158"/>
        <v>9</v>
      </c>
      <c r="H974" s="34">
        <f t="shared" si="159"/>
        <v>3</v>
      </c>
      <c r="I974" s="34" t="str">
        <f t="shared" si="162"/>
        <v/>
      </c>
      <c r="J974" s="34" t="str">
        <f t="shared" si="162"/>
        <v/>
      </c>
      <c r="K974" s="34" t="str">
        <f t="shared" si="162"/>
        <v/>
      </c>
      <c r="L974" s="34">
        <f t="shared" si="162"/>
        <v>42</v>
      </c>
      <c r="M974" s="34">
        <f t="shared" si="162"/>
        <v>48</v>
      </c>
      <c r="N974" s="34">
        <f t="shared" si="162"/>
        <v>58</v>
      </c>
      <c r="O974" s="34">
        <f t="shared" si="162"/>
        <v>70</v>
      </c>
      <c r="P974" s="34">
        <f t="shared" si="162"/>
        <v>82</v>
      </c>
      <c r="Q974" s="34">
        <f t="shared" si="162"/>
        <v>94</v>
      </c>
      <c r="R974" s="34">
        <f t="shared" si="162"/>
        <v>106</v>
      </c>
      <c r="S974" s="35">
        <f t="shared" si="160"/>
        <v>42</v>
      </c>
    </row>
    <row r="975" spans="2:19" hidden="1" outlineLevel="1">
      <c r="B975" s="14" t="s">
        <v>116</v>
      </c>
      <c r="C975" s="15" t="s">
        <v>65</v>
      </c>
      <c r="D975" s="52">
        <v>2030</v>
      </c>
      <c r="E975" s="34">
        <v>4</v>
      </c>
      <c r="F975" s="38">
        <f t="shared" si="157"/>
        <v>15524.741255643617</v>
      </c>
      <c r="G975" s="34">
        <f t="shared" si="158"/>
        <v>9</v>
      </c>
      <c r="H975" s="34">
        <f t="shared" si="159"/>
        <v>3</v>
      </c>
      <c r="I975" s="34" t="str">
        <f t="shared" si="162"/>
        <v/>
      </c>
      <c r="J975" s="34" t="str">
        <f t="shared" si="162"/>
        <v/>
      </c>
      <c r="K975" s="34" t="str">
        <f t="shared" si="162"/>
        <v/>
      </c>
      <c r="L975" s="34">
        <f t="shared" si="162"/>
        <v>42</v>
      </c>
      <c r="M975" s="34">
        <f t="shared" si="162"/>
        <v>48</v>
      </c>
      <c r="N975" s="34">
        <f t="shared" si="162"/>
        <v>57</v>
      </c>
      <c r="O975" s="34">
        <f t="shared" si="162"/>
        <v>69</v>
      </c>
      <c r="P975" s="34">
        <f t="shared" si="162"/>
        <v>81</v>
      </c>
      <c r="Q975" s="34">
        <f t="shared" si="162"/>
        <v>93</v>
      </c>
      <c r="R975" s="34">
        <f t="shared" si="162"/>
        <v>105</v>
      </c>
      <c r="S975" s="35">
        <f t="shared" si="160"/>
        <v>42</v>
      </c>
    </row>
    <row r="976" spans="2:19" hidden="1" outlineLevel="1">
      <c r="B976" s="14" t="s">
        <v>116</v>
      </c>
      <c r="C976" s="15" t="s">
        <v>65</v>
      </c>
      <c r="D976" s="52">
        <v>2030</v>
      </c>
      <c r="E976" s="34">
        <v>5</v>
      </c>
      <c r="F976" s="38">
        <f t="shared" si="157"/>
        <v>15524.741255643617</v>
      </c>
      <c r="G976" s="34">
        <f t="shared" si="158"/>
        <v>9</v>
      </c>
      <c r="H976" s="34">
        <f t="shared" si="159"/>
        <v>3</v>
      </c>
      <c r="I976" s="34" t="str">
        <f t="shared" si="162"/>
        <v/>
      </c>
      <c r="J976" s="34" t="str">
        <f t="shared" si="162"/>
        <v/>
      </c>
      <c r="K976" s="34" t="str">
        <f t="shared" si="162"/>
        <v/>
      </c>
      <c r="L976" s="34">
        <f t="shared" si="162"/>
        <v>42</v>
      </c>
      <c r="M976" s="34">
        <f t="shared" si="162"/>
        <v>48</v>
      </c>
      <c r="N976" s="34">
        <f t="shared" si="162"/>
        <v>56</v>
      </c>
      <c r="O976" s="34">
        <f t="shared" si="162"/>
        <v>68</v>
      </c>
      <c r="P976" s="34">
        <f t="shared" si="162"/>
        <v>80</v>
      </c>
      <c r="Q976" s="34">
        <f t="shared" si="162"/>
        <v>92</v>
      </c>
      <c r="R976" s="34">
        <f t="shared" si="162"/>
        <v>104</v>
      </c>
      <c r="S976" s="35">
        <f t="shared" si="160"/>
        <v>42</v>
      </c>
    </row>
    <row r="977" spans="2:19" hidden="1" outlineLevel="1">
      <c r="B977" s="14" t="s">
        <v>116</v>
      </c>
      <c r="C977" s="15" t="s">
        <v>65</v>
      </c>
      <c r="D977" s="52">
        <v>2030</v>
      </c>
      <c r="E977" s="34">
        <v>6</v>
      </c>
      <c r="F977" s="38">
        <f t="shared" si="157"/>
        <v>15524.741255643617</v>
      </c>
      <c r="G977" s="34">
        <f t="shared" si="158"/>
        <v>9</v>
      </c>
      <c r="H977" s="34">
        <f t="shared" si="159"/>
        <v>3</v>
      </c>
      <c r="I977" s="34" t="str">
        <f t="shared" si="162"/>
        <v/>
      </c>
      <c r="J977" s="34" t="str">
        <f t="shared" si="162"/>
        <v/>
      </c>
      <c r="K977" s="34" t="str">
        <f t="shared" si="162"/>
        <v/>
      </c>
      <c r="L977" s="34">
        <f t="shared" si="162"/>
        <v>42</v>
      </c>
      <c r="M977" s="34">
        <f t="shared" si="162"/>
        <v>48</v>
      </c>
      <c r="N977" s="34">
        <f t="shared" si="162"/>
        <v>55</v>
      </c>
      <c r="O977" s="34">
        <f t="shared" si="162"/>
        <v>67</v>
      </c>
      <c r="P977" s="34">
        <f t="shared" si="162"/>
        <v>79</v>
      </c>
      <c r="Q977" s="34">
        <f t="shared" si="162"/>
        <v>91</v>
      </c>
      <c r="R977" s="34">
        <f t="shared" si="162"/>
        <v>103</v>
      </c>
      <c r="S977" s="35">
        <f t="shared" si="160"/>
        <v>42</v>
      </c>
    </row>
    <row r="978" spans="2:19" hidden="1" outlineLevel="1">
      <c r="B978" s="14" t="s">
        <v>116</v>
      </c>
      <c r="C978" s="15" t="s">
        <v>65</v>
      </c>
      <c r="D978" s="52">
        <v>2030</v>
      </c>
      <c r="E978" s="34">
        <v>7</v>
      </c>
      <c r="F978" s="38">
        <f t="shared" si="157"/>
        <v>15524.741255643617</v>
      </c>
      <c r="G978" s="34">
        <f t="shared" si="158"/>
        <v>9</v>
      </c>
      <c r="H978" s="34">
        <f t="shared" si="159"/>
        <v>3</v>
      </c>
      <c r="I978" s="34" t="str">
        <f t="shared" si="162"/>
        <v/>
      </c>
      <c r="J978" s="34" t="str">
        <f t="shared" si="162"/>
        <v/>
      </c>
      <c r="K978" s="34" t="str">
        <f t="shared" si="162"/>
        <v/>
      </c>
      <c r="L978" s="34" t="str">
        <f t="shared" si="162"/>
        <v/>
      </c>
      <c r="M978" s="34">
        <f t="shared" si="162"/>
        <v>48</v>
      </c>
      <c r="N978" s="34">
        <f t="shared" si="162"/>
        <v>54</v>
      </c>
      <c r="O978" s="34">
        <f t="shared" si="162"/>
        <v>66</v>
      </c>
      <c r="P978" s="34">
        <f t="shared" si="162"/>
        <v>78</v>
      </c>
      <c r="Q978" s="34">
        <f t="shared" si="162"/>
        <v>90</v>
      </c>
      <c r="R978" s="34">
        <f t="shared" si="162"/>
        <v>102</v>
      </c>
      <c r="S978" s="35">
        <f t="shared" si="160"/>
        <v>48</v>
      </c>
    </row>
    <row r="979" spans="2:19" hidden="1" outlineLevel="1">
      <c r="B979" s="14" t="s">
        <v>116</v>
      </c>
      <c r="C979" s="15" t="s">
        <v>65</v>
      </c>
      <c r="D979" s="52">
        <v>2030</v>
      </c>
      <c r="E979" s="34">
        <v>8</v>
      </c>
      <c r="F979" s="38">
        <f t="shared" si="157"/>
        <v>15524.741255643617</v>
      </c>
      <c r="G979" s="34">
        <f t="shared" si="158"/>
        <v>9</v>
      </c>
      <c r="H979" s="34">
        <f t="shared" si="159"/>
        <v>3</v>
      </c>
      <c r="I979" s="34" t="str">
        <f t="shared" si="162"/>
        <v/>
      </c>
      <c r="J979" s="34" t="str">
        <f t="shared" si="162"/>
        <v/>
      </c>
      <c r="K979" s="34" t="str">
        <f t="shared" si="162"/>
        <v/>
      </c>
      <c r="L979" s="34" t="str">
        <f t="shared" si="162"/>
        <v/>
      </c>
      <c r="M979" s="34">
        <f t="shared" si="162"/>
        <v>48</v>
      </c>
      <c r="N979" s="34">
        <f t="shared" si="162"/>
        <v>54</v>
      </c>
      <c r="O979" s="34">
        <f t="shared" si="162"/>
        <v>65</v>
      </c>
      <c r="P979" s="34">
        <f t="shared" si="162"/>
        <v>77</v>
      </c>
      <c r="Q979" s="34">
        <f t="shared" si="162"/>
        <v>89</v>
      </c>
      <c r="R979" s="34">
        <f t="shared" si="162"/>
        <v>101</v>
      </c>
      <c r="S979" s="35">
        <f t="shared" si="160"/>
        <v>48</v>
      </c>
    </row>
    <row r="980" spans="2:19" hidden="1" outlineLevel="1">
      <c r="B980" s="14" t="s">
        <v>116</v>
      </c>
      <c r="C980" s="15" t="s">
        <v>65</v>
      </c>
      <c r="D980" s="52">
        <v>2030</v>
      </c>
      <c r="E980" s="34">
        <v>9</v>
      </c>
      <c r="F980" s="38">
        <f t="shared" si="157"/>
        <v>15524.741255643617</v>
      </c>
      <c r="G980" s="34">
        <f t="shared" si="158"/>
        <v>9</v>
      </c>
      <c r="H980" s="34">
        <f t="shared" si="159"/>
        <v>3</v>
      </c>
      <c r="I980" s="34" t="str">
        <f t="shared" ref="I980:R989" si="163">IF($D980&lt;$Z$18,"",IF(MAX($G980,INDEX($C$65:$F$108,$D980+I$119-2026,$H980))&lt;=12*I$119-$E980+12,MAX($G980,12*I$119-$E980+1,INDEX($C$65:$F$108,$D980+I$119-2026,$H980)),""))</f>
        <v/>
      </c>
      <c r="J980" s="34" t="str">
        <f t="shared" si="163"/>
        <v/>
      </c>
      <c r="K980" s="34" t="str">
        <f t="shared" si="163"/>
        <v/>
      </c>
      <c r="L980" s="34" t="str">
        <f t="shared" si="163"/>
        <v/>
      </c>
      <c r="M980" s="34">
        <f t="shared" si="163"/>
        <v>48</v>
      </c>
      <c r="N980" s="34">
        <f t="shared" si="163"/>
        <v>54</v>
      </c>
      <c r="O980" s="34">
        <f t="shared" si="163"/>
        <v>64</v>
      </c>
      <c r="P980" s="34">
        <f t="shared" si="163"/>
        <v>76</v>
      </c>
      <c r="Q980" s="34">
        <f t="shared" si="163"/>
        <v>88</v>
      </c>
      <c r="R980" s="34">
        <f t="shared" si="163"/>
        <v>100</v>
      </c>
      <c r="S980" s="35">
        <f t="shared" si="160"/>
        <v>48</v>
      </c>
    </row>
    <row r="981" spans="2:19" hidden="1" outlineLevel="1">
      <c r="B981" s="14" t="s">
        <v>116</v>
      </c>
      <c r="C981" s="15" t="s">
        <v>65</v>
      </c>
      <c r="D981" s="52">
        <v>2030</v>
      </c>
      <c r="E981" s="34">
        <v>10</v>
      </c>
      <c r="F981" s="38">
        <f t="shared" si="157"/>
        <v>15524.741255643617</v>
      </c>
      <c r="G981" s="34">
        <f t="shared" si="158"/>
        <v>9</v>
      </c>
      <c r="H981" s="34">
        <f t="shared" si="159"/>
        <v>3</v>
      </c>
      <c r="I981" s="34" t="str">
        <f t="shared" si="163"/>
        <v/>
      </c>
      <c r="J981" s="34" t="str">
        <f t="shared" si="163"/>
        <v/>
      </c>
      <c r="K981" s="34" t="str">
        <f t="shared" si="163"/>
        <v/>
      </c>
      <c r="L981" s="34" t="str">
        <f t="shared" si="163"/>
        <v/>
      </c>
      <c r="M981" s="34">
        <f t="shared" si="163"/>
        <v>48</v>
      </c>
      <c r="N981" s="34">
        <f t="shared" si="163"/>
        <v>54</v>
      </c>
      <c r="O981" s="34">
        <f t="shared" si="163"/>
        <v>63</v>
      </c>
      <c r="P981" s="34">
        <f t="shared" si="163"/>
        <v>75</v>
      </c>
      <c r="Q981" s="34">
        <f t="shared" si="163"/>
        <v>87</v>
      </c>
      <c r="R981" s="34">
        <f t="shared" si="163"/>
        <v>99</v>
      </c>
      <c r="S981" s="35">
        <f t="shared" si="160"/>
        <v>48</v>
      </c>
    </row>
    <row r="982" spans="2:19" hidden="1" outlineLevel="1">
      <c r="B982" s="14" t="s">
        <v>116</v>
      </c>
      <c r="C982" s="15" t="s">
        <v>65</v>
      </c>
      <c r="D982" s="52">
        <v>2030</v>
      </c>
      <c r="E982" s="34">
        <v>11</v>
      </c>
      <c r="F982" s="38">
        <f t="shared" si="157"/>
        <v>15524.741255643617</v>
      </c>
      <c r="G982" s="34">
        <f t="shared" si="158"/>
        <v>9</v>
      </c>
      <c r="H982" s="34">
        <f t="shared" si="159"/>
        <v>3</v>
      </c>
      <c r="I982" s="34" t="str">
        <f t="shared" si="163"/>
        <v/>
      </c>
      <c r="J982" s="34" t="str">
        <f t="shared" si="163"/>
        <v/>
      </c>
      <c r="K982" s="34" t="str">
        <f t="shared" si="163"/>
        <v/>
      </c>
      <c r="L982" s="34" t="str">
        <f t="shared" si="163"/>
        <v/>
      </c>
      <c r="M982" s="34">
        <f t="shared" si="163"/>
        <v>48</v>
      </c>
      <c r="N982" s="34">
        <f t="shared" si="163"/>
        <v>54</v>
      </c>
      <c r="O982" s="34">
        <f t="shared" si="163"/>
        <v>62</v>
      </c>
      <c r="P982" s="34">
        <f t="shared" si="163"/>
        <v>74</v>
      </c>
      <c r="Q982" s="34">
        <f t="shared" si="163"/>
        <v>86</v>
      </c>
      <c r="R982" s="34">
        <f t="shared" si="163"/>
        <v>98</v>
      </c>
      <c r="S982" s="35">
        <f t="shared" si="160"/>
        <v>48</v>
      </c>
    </row>
    <row r="983" spans="2:19" hidden="1" outlineLevel="1">
      <c r="B983" s="14" t="s">
        <v>116</v>
      </c>
      <c r="C983" s="15" t="s">
        <v>65</v>
      </c>
      <c r="D983" s="52">
        <v>2030</v>
      </c>
      <c r="E983" s="34">
        <v>12</v>
      </c>
      <c r="F983" s="38">
        <f t="shared" si="157"/>
        <v>15524.741255643617</v>
      </c>
      <c r="G983" s="34">
        <f t="shared" si="158"/>
        <v>9</v>
      </c>
      <c r="H983" s="34">
        <f t="shared" si="159"/>
        <v>3</v>
      </c>
      <c r="I983" s="34" t="str">
        <f t="shared" si="163"/>
        <v/>
      </c>
      <c r="J983" s="34" t="str">
        <f t="shared" si="163"/>
        <v/>
      </c>
      <c r="K983" s="34" t="str">
        <f t="shared" si="163"/>
        <v/>
      </c>
      <c r="L983" s="34" t="str">
        <f t="shared" si="163"/>
        <v/>
      </c>
      <c r="M983" s="34">
        <f t="shared" si="163"/>
        <v>48</v>
      </c>
      <c r="N983" s="34">
        <f t="shared" si="163"/>
        <v>54</v>
      </c>
      <c r="O983" s="34">
        <f t="shared" si="163"/>
        <v>61</v>
      </c>
      <c r="P983" s="34">
        <f t="shared" si="163"/>
        <v>73</v>
      </c>
      <c r="Q983" s="34">
        <f t="shared" si="163"/>
        <v>85</v>
      </c>
      <c r="R983" s="34">
        <f t="shared" si="163"/>
        <v>97</v>
      </c>
      <c r="S983" s="35">
        <f t="shared" si="160"/>
        <v>48</v>
      </c>
    </row>
    <row r="984" spans="2:19" hidden="1" outlineLevel="1">
      <c r="B984" s="14" t="s">
        <v>116</v>
      </c>
      <c r="C984" s="15" t="s">
        <v>65</v>
      </c>
      <c r="D984" s="52">
        <v>2031</v>
      </c>
      <c r="E984" s="34">
        <v>1</v>
      </c>
      <c r="F984" s="38">
        <f t="shared" si="157"/>
        <v>15763.944710621348</v>
      </c>
      <c r="G984" s="34">
        <f t="shared" si="158"/>
        <v>9</v>
      </c>
      <c r="H984" s="34">
        <f t="shared" si="159"/>
        <v>3</v>
      </c>
      <c r="I984" s="34" t="str">
        <f t="shared" si="163"/>
        <v/>
      </c>
      <c r="J984" s="34" t="str">
        <f t="shared" si="163"/>
        <v/>
      </c>
      <c r="K984" s="34" t="str">
        <f t="shared" si="163"/>
        <v/>
      </c>
      <c r="L984" s="34" t="str">
        <f t="shared" si="163"/>
        <v/>
      </c>
      <c r="M984" s="34">
        <f t="shared" si="163"/>
        <v>54</v>
      </c>
      <c r="N984" s="34">
        <f t="shared" si="163"/>
        <v>60</v>
      </c>
      <c r="O984" s="34">
        <f t="shared" si="163"/>
        <v>72</v>
      </c>
      <c r="P984" s="34">
        <f t="shared" si="163"/>
        <v>84</v>
      </c>
      <c r="Q984" s="34">
        <f t="shared" si="163"/>
        <v>96</v>
      </c>
      <c r="R984" s="34">
        <f t="shared" si="163"/>
        <v>108</v>
      </c>
      <c r="S984" s="35">
        <f t="shared" si="160"/>
        <v>54</v>
      </c>
    </row>
    <row r="985" spans="2:19" hidden="1" outlineLevel="1">
      <c r="B985" s="14" t="s">
        <v>116</v>
      </c>
      <c r="C985" s="15" t="s">
        <v>65</v>
      </c>
      <c r="D985" s="52">
        <v>2031</v>
      </c>
      <c r="E985" s="34">
        <v>2</v>
      </c>
      <c r="F985" s="38">
        <f t="shared" si="157"/>
        <v>15763.944710621348</v>
      </c>
      <c r="G985" s="34">
        <f t="shared" si="158"/>
        <v>9</v>
      </c>
      <c r="H985" s="34">
        <f t="shared" si="159"/>
        <v>3</v>
      </c>
      <c r="I985" s="34" t="str">
        <f t="shared" si="163"/>
        <v/>
      </c>
      <c r="J985" s="34" t="str">
        <f t="shared" si="163"/>
        <v/>
      </c>
      <c r="K985" s="34" t="str">
        <f t="shared" si="163"/>
        <v/>
      </c>
      <c r="L985" s="34" t="str">
        <f t="shared" si="163"/>
        <v/>
      </c>
      <c r="M985" s="34">
        <f t="shared" si="163"/>
        <v>54</v>
      </c>
      <c r="N985" s="34">
        <f t="shared" si="163"/>
        <v>60</v>
      </c>
      <c r="O985" s="34">
        <f t="shared" si="163"/>
        <v>71</v>
      </c>
      <c r="P985" s="34">
        <f t="shared" si="163"/>
        <v>83</v>
      </c>
      <c r="Q985" s="34">
        <f t="shared" si="163"/>
        <v>95</v>
      </c>
      <c r="R985" s="34">
        <f t="shared" si="163"/>
        <v>107</v>
      </c>
      <c r="S985" s="35">
        <f t="shared" si="160"/>
        <v>54</v>
      </c>
    </row>
    <row r="986" spans="2:19" hidden="1" outlineLevel="1">
      <c r="B986" s="14" t="s">
        <v>116</v>
      </c>
      <c r="C986" s="15" t="s">
        <v>65</v>
      </c>
      <c r="D986" s="52">
        <v>2031</v>
      </c>
      <c r="E986" s="34">
        <v>3</v>
      </c>
      <c r="F986" s="38">
        <f t="shared" si="157"/>
        <v>15763.944710621348</v>
      </c>
      <c r="G986" s="34">
        <f t="shared" si="158"/>
        <v>9</v>
      </c>
      <c r="H986" s="34">
        <f t="shared" si="159"/>
        <v>3</v>
      </c>
      <c r="I986" s="34" t="str">
        <f t="shared" si="163"/>
        <v/>
      </c>
      <c r="J986" s="34" t="str">
        <f t="shared" si="163"/>
        <v/>
      </c>
      <c r="K986" s="34" t="str">
        <f t="shared" si="163"/>
        <v/>
      </c>
      <c r="L986" s="34" t="str">
        <f t="shared" si="163"/>
        <v/>
      </c>
      <c r="M986" s="34">
        <f t="shared" si="163"/>
        <v>54</v>
      </c>
      <c r="N986" s="34">
        <f t="shared" si="163"/>
        <v>60</v>
      </c>
      <c r="O986" s="34">
        <f t="shared" si="163"/>
        <v>70</v>
      </c>
      <c r="P986" s="34">
        <f t="shared" si="163"/>
        <v>82</v>
      </c>
      <c r="Q986" s="34">
        <f t="shared" si="163"/>
        <v>94</v>
      </c>
      <c r="R986" s="34">
        <f t="shared" si="163"/>
        <v>106</v>
      </c>
      <c r="S986" s="35">
        <f t="shared" si="160"/>
        <v>54</v>
      </c>
    </row>
    <row r="987" spans="2:19" hidden="1" outlineLevel="1">
      <c r="B987" s="14" t="s">
        <v>116</v>
      </c>
      <c r="C987" s="15" t="s">
        <v>65</v>
      </c>
      <c r="D987" s="52">
        <v>2031</v>
      </c>
      <c r="E987" s="34">
        <v>4</v>
      </c>
      <c r="F987" s="38">
        <f t="shared" si="157"/>
        <v>15763.944710621348</v>
      </c>
      <c r="G987" s="34">
        <f t="shared" si="158"/>
        <v>9</v>
      </c>
      <c r="H987" s="34">
        <f t="shared" si="159"/>
        <v>3</v>
      </c>
      <c r="I987" s="34" t="str">
        <f t="shared" si="163"/>
        <v/>
      </c>
      <c r="J987" s="34" t="str">
        <f t="shared" si="163"/>
        <v/>
      </c>
      <c r="K987" s="34" t="str">
        <f t="shared" si="163"/>
        <v/>
      </c>
      <c r="L987" s="34" t="str">
        <f t="shared" si="163"/>
        <v/>
      </c>
      <c r="M987" s="34">
        <f t="shared" si="163"/>
        <v>54</v>
      </c>
      <c r="N987" s="34">
        <f t="shared" si="163"/>
        <v>60</v>
      </c>
      <c r="O987" s="34">
        <f t="shared" si="163"/>
        <v>69</v>
      </c>
      <c r="P987" s="34">
        <f t="shared" si="163"/>
        <v>81</v>
      </c>
      <c r="Q987" s="34">
        <f t="shared" si="163"/>
        <v>93</v>
      </c>
      <c r="R987" s="34">
        <f t="shared" si="163"/>
        <v>105</v>
      </c>
      <c r="S987" s="35">
        <f t="shared" si="160"/>
        <v>54</v>
      </c>
    </row>
    <row r="988" spans="2:19" hidden="1" outlineLevel="1">
      <c r="B988" s="14" t="s">
        <v>116</v>
      </c>
      <c r="C988" s="15" t="s">
        <v>65</v>
      </c>
      <c r="D988" s="52">
        <v>2031</v>
      </c>
      <c r="E988" s="34">
        <v>5</v>
      </c>
      <c r="F988" s="38">
        <f t="shared" si="157"/>
        <v>15763.944710621348</v>
      </c>
      <c r="G988" s="34">
        <f t="shared" si="158"/>
        <v>9</v>
      </c>
      <c r="H988" s="34">
        <f t="shared" si="159"/>
        <v>3</v>
      </c>
      <c r="I988" s="34" t="str">
        <f t="shared" si="163"/>
        <v/>
      </c>
      <c r="J988" s="34" t="str">
        <f t="shared" si="163"/>
        <v/>
      </c>
      <c r="K988" s="34" t="str">
        <f t="shared" si="163"/>
        <v/>
      </c>
      <c r="L988" s="34" t="str">
        <f t="shared" si="163"/>
        <v/>
      </c>
      <c r="M988" s="34">
        <f t="shared" si="163"/>
        <v>54</v>
      </c>
      <c r="N988" s="34">
        <f t="shared" si="163"/>
        <v>60</v>
      </c>
      <c r="O988" s="34">
        <f t="shared" si="163"/>
        <v>68</v>
      </c>
      <c r="P988" s="34">
        <f t="shared" si="163"/>
        <v>80</v>
      </c>
      <c r="Q988" s="34">
        <f t="shared" si="163"/>
        <v>92</v>
      </c>
      <c r="R988" s="34">
        <f t="shared" si="163"/>
        <v>104</v>
      </c>
      <c r="S988" s="35">
        <f t="shared" si="160"/>
        <v>54</v>
      </c>
    </row>
    <row r="989" spans="2:19" hidden="1" outlineLevel="1">
      <c r="B989" s="14" t="s">
        <v>116</v>
      </c>
      <c r="C989" s="15" t="s">
        <v>65</v>
      </c>
      <c r="D989" s="52">
        <v>2031</v>
      </c>
      <c r="E989" s="34">
        <v>6</v>
      </c>
      <c r="F989" s="38">
        <f t="shared" si="157"/>
        <v>15763.944710621348</v>
      </c>
      <c r="G989" s="34">
        <f t="shared" si="158"/>
        <v>9</v>
      </c>
      <c r="H989" s="34">
        <f t="shared" si="159"/>
        <v>3</v>
      </c>
      <c r="I989" s="34" t="str">
        <f t="shared" si="163"/>
        <v/>
      </c>
      <c r="J989" s="34" t="str">
        <f t="shared" si="163"/>
        <v/>
      </c>
      <c r="K989" s="34" t="str">
        <f t="shared" si="163"/>
        <v/>
      </c>
      <c r="L989" s="34" t="str">
        <f t="shared" si="163"/>
        <v/>
      </c>
      <c r="M989" s="34">
        <f t="shared" si="163"/>
        <v>54</v>
      </c>
      <c r="N989" s="34">
        <f t="shared" si="163"/>
        <v>60</v>
      </c>
      <c r="O989" s="34">
        <f t="shared" si="163"/>
        <v>67</v>
      </c>
      <c r="P989" s="34">
        <f t="shared" si="163"/>
        <v>79</v>
      </c>
      <c r="Q989" s="34">
        <f t="shared" si="163"/>
        <v>91</v>
      </c>
      <c r="R989" s="34">
        <f t="shared" si="163"/>
        <v>103</v>
      </c>
      <c r="S989" s="35">
        <f t="shared" si="160"/>
        <v>54</v>
      </c>
    </row>
    <row r="990" spans="2:19" hidden="1" outlineLevel="1">
      <c r="B990" s="14" t="s">
        <v>116</v>
      </c>
      <c r="C990" s="15" t="s">
        <v>65</v>
      </c>
      <c r="D990" s="52">
        <v>2031</v>
      </c>
      <c r="E990" s="34">
        <v>7</v>
      </c>
      <c r="F990" s="38">
        <f t="shared" si="157"/>
        <v>15763.944710621348</v>
      </c>
      <c r="G990" s="34">
        <f t="shared" si="158"/>
        <v>9</v>
      </c>
      <c r="H990" s="34">
        <f t="shared" si="159"/>
        <v>3</v>
      </c>
      <c r="I990" s="34" t="str">
        <f t="shared" ref="I990:R999" si="164">IF($D990&lt;$Z$18,"",IF(MAX($G990,INDEX($C$65:$F$108,$D990+I$119-2026,$H990))&lt;=12*I$119-$E990+12,MAX($G990,12*I$119-$E990+1,INDEX($C$65:$F$108,$D990+I$119-2026,$H990)),""))</f>
        <v/>
      </c>
      <c r="J990" s="34" t="str">
        <f t="shared" si="164"/>
        <v/>
      </c>
      <c r="K990" s="34" t="str">
        <f t="shared" si="164"/>
        <v/>
      </c>
      <c r="L990" s="34" t="str">
        <f t="shared" si="164"/>
        <v/>
      </c>
      <c r="M990" s="34" t="str">
        <f t="shared" si="164"/>
        <v/>
      </c>
      <c r="N990" s="34">
        <f t="shared" si="164"/>
        <v>60</v>
      </c>
      <c r="O990" s="34">
        <f t="shared" si="164"/>
        <v>66</v>
      </c>
      <c r="P990" s="34">
        <f t="shared" si="164"/>
        <v>78</v>
      </c>
      <c r="Q990" s="34">
        <f t="shared" si="164"/>
        <v>90</v>
      </c>
      <c r="R990" s="34">
        <f t="shared" si="164"/>
        <v>102</v>
      </c>
      <c r="S990" s="35">
        <f t="shared" si="160"/>
        <v>60</v>
      </c>
    </row>
    <row r="991" spans="2:19" hidden="1" outlineLevel="1">
      <c r="B991" s="14" t="s">
        <v>116</v>
      </c>
      <c r="C991" s="15" t="s">
        <v>65</v>
      </c>
      <c r="D991" s="52">
        <v>2031</v>
      </c>
      <c r="E991" s="34">
        <v>8</v>
      </c>
      <c r="F991" s="38">
        <f t="shared" si="157"/>
        <v>15763.944710621348</v>
      </c>
      <c r="G991" s="34">
        <f t="shared" si="158"/>
        <v>9</v>
      </c>
      <c r="H991" s="34">
        <f t="shared" si="159"/>
        <v>3</v>
      </c>
      <c r="I991" s="34" t="str">
        <f t="shared" si="164"/>
        <v/>
      </c>
      <c r="J991" s="34" t="str">
        <f t="shared" si="164"/>
        <v/>
      </c>
      <c r="K991" s="34" t="str">
        <f t="shared" si="164"/>
        <v/>
      </c>
      <c r="L991" s="34" t="str">
        <f t="shared" si="164"/>
        <v/>
      </c>
      <c r="M991" s="34" t="str">
        <f t="shared" si="164"/>
        <v/>
      </c>
      <c r="N991" s="34">
        <f t="shared" si="164"/>
        <v>60</v>
      </c>
      <c r="O991" s="34">
        <f t="shared" si="164"/>
        <v>65</v>
      </c>
      <c r="P991" s="34">
        <f t="shared" si="164"/>
        <v>77</v>
      </c>
      <c r="Q991" s="34">
        <f t="shared" si="164"/>
        <v>89</v>
      </c>
      <c r="R991" s="34">
        <f t="shared" si="164"/>
        <v>101</v>
      </c>
      <c r="S991" s="35">
        <f t="shared" si="160"/>
        <v>60</v>
      </c>
    </row>
    <row r="992" spans="2:19" hidden="1" outlineLevel="1">
      <c r="B992" s="14" t="s">
        <v>116</v>
      </c>
      <c r="C992" s="15" t="s">
        <v>65</v>
      </c>
      <c r="D992" s="52">
        <v>2031</v>
      </c>
      <c r="E992" s="34">
        <v>9</v>
      </c>
      <c r="F992" s="38">
        <f t="shared" si="157"/>
        <v>15763.944710621348</v>
      </c>
      <c r="G992" s="34">
        <f t="shared" si="158"/>
        <v>9</v>
      </c>
      <c r="H992" s="34">
        <f t="shared" si="159"/>
        <v>3</v>
      </c>
      <c r="I992" s="34" t="str">
        <f t="shared" si="164"/>
        <v/>
      </c>
      <c r="J992" s="34" t="str">
        <f t="shared" si="164"/>
        <v/>
      </c>
      <c r="K992" s="34" t="str">
        <f t="shared" si="164"/>
        <v/>
      </c>
      <c r="L992" s="34" t="str">
        <f t="shared" si="164"/>
        <v/>
      </c>
      <c r="M992" s="34" t="str">
        <f t="shared" si="164"/>
        <v/>
      </c>
      <c r="N992" s="34">
        <f t="shared" si="164"/>
        <v>60</v>
      </c>
      <c r="O992" s="34">
        <f t="shared" si="164"/>
        <v>64</v>
      </c>
      <c r="P992" s="34">
        <f t="shared" si="164"/>
        <v>76</v>
      </c>
      <c r="Q992" s="34">
        <f t="shared" si="164"/>
        <v>88</v>
      </c>
      <c r="R992" s="34">
        <f t="shared" si="164"/>
        <v>100</v>
      </c>
      <c r="S992" s="35">
        <f t="shared" si="160"/>
        <v>60</v>
      </c>
    </row>
    <row r="993" spans="2:19" hidden="1" outlineLevel="1">
      <c r="B993" s="14" t="s">
        <v>116</v>
      </c>
      <c r="C993" s="15" t="s">
        <v>65</v>
      </c>
      <c r="D993" s="52">
        <v>2031</v>
      </c>
      <c r="E993" s="34">
        <v>10</v>
      </c>
      <c r="F993" s="38">
        <f t="shared" si="157"/>
        <v>15763.944710621348</v>
      </c>
      <c r="G993" s="34">
        <f t="shared" si="158"/>
        <v>9</v>
      </c>
      <c r="H993" s="34">
        <f t="shared" si="159"/>
        <v>3</v>
      </c>
      <c r="I993" s="34" t="str">
        <f t="shared" si="164"/>
        <v/>
      </c>
      <c r="J993" s="34" t="str">
        <f t="shared" si="164"/>
        <v/>
      </c>
      <c r="K993" s="34" t="str">
        <f t="shared" si="164"/>
        <v/>
      </c>
      <c r="L993" s="34" t="str">
        <f t="shared" si="164"/>
        <v/>
      </c>
      <c r="M993" s="34" t="str">
        <f t="shared" si="164"/>
        <v/>
      </c>
      <c r="N993" s="34">
        <f t="shared" si="164"/>
        <v>60</v>
      </c>
      <c r="O993" s="34">
        <f t="shared" si="164"/>
        <v>63</v>
      </c>
      <c r="P993" s="34">
        <f t="shared" si="164"/>
        <v>75</v>
      </c>
      <c r="Q993" s="34">
        <f t="shared" si="164"/>
        <v>87</v>
      </c>
      <c r="R993" s="34">
        <f t="shared" si="164"/>
        <v>99</v>
      </c>
      <c r="S993" s="35">
        <f t="shared" si="160"/>
        <v>60</v>
      </c>
    </row>
    <row r="994" spans="2:19" hidden="1" outlineLevel="1">
      <c r="B994" s="14" t="s">
        <v>116</v>
      </c>
      <c r="C994" s="15" t="s">
        <v>65</v>
      </c>
      <c r="D994" s="52">
        <v>2031</v>
      </c>
      <c r="E994" s="34">
        <v>11</v>
      </c>
      <c r="F994" s="38">
        <f t="shared" si="157"/>
        <v>15763.944710621348</v>
      </c>
      <c r="G994" s="34">
        <f t="shared" si="158"/>
        <v>9</v>
      </c>
      <c r="H994" s="34">
        <f t="shared" si="159"/>
        <v>3</v>
      </c>
      <c r="I994" s="34" t="str">
        <f t="shared" si="164"/>
        <v/>
      </c>
      <c r="J994" s="34" t="str">
        <f t="shared" si="164"/>
        <v/>
      </c>
      <c r="K994" s="34" t="str">
        <f t="shared" si="164"/>
        <v/>
      </c>
      <c r="L994" s="34" t="str">
        <f t="shared" si="164"/>
        <v/>
      </c>
      <c r="M994" s="34" t="str">
        <f t="shared" si="164"/>
        <v/>
      </c>
      <c r="N994" s="34">
        <f t="shared" si="164"/>
        <v>60</v>
      </c>
      <c r="O994" s="34">
        <f t="shared" si="164"/>
        <v>62</v>
      </c>
      <c r="P994" s="34">
        <f t="shared" si="164"/>
        <v>74</v>
      </c>
      <c r="Q994" s="34">
        <f t="shared" si="164"/>
        <v>86</v>
      </c>
      <c r="R994" s="34">
        <f t="shared" si="164"/>
        <v>98</v>
      </c>
      <c r="S994" s="35">
        <f t="shared" si="160"/>
        <v>60</v>
      </c>
    </row>
    <row r="995" spans="2:19" hidden="1" outlineLevel="1">
      <c r="B995" s="14" t="s">
        <v>116</v>
      </c>
      <c r="C995" s="15" t="s">
        <v>65</v>
      </c>
      <c r="D995" s="52">
        <v>2031</v>
      </c>
      <c r="E995" s="34">
        <v>12</v>
      </c>
      <c r="F995" s="38">
        <f t="shared" si="157"/>
        <v>15763.944710621348</v>
      </c>
      <c r="G995" s="34">
        <f t="shared" si="158"/>
        <v>9</v>
      </c>
      <c r="H995" s="34">
        <f t="shared" si="159"/>
        <v>3</v>
      </c>
      <c r="I995" s="34" t="str">
        <f t="shared" si="164"/>
        <v/>
      </c>
      <c r="J995" s="34" t="str">
        <f t="shared" si="164"/>
        <v/>
      </c>
      <c r="K995" s="34" t="str">
        <f t="shared" si="164"/>
        <v/>
      </c>
      <c r="L995" s="34" t="str">
        <f t="shared" si="164"/>
        <v/>
      </c>
      <c r="M995" s="34" t="str">
        <f t="shared" si="164"/>
        <v/>
      </c>
      <c r="N995" s="34">
        <f t="shared" si="164"/>
        <v>60</v>
      </c>
      <c r="O995" s="34">
        <f t="shared" si="164"/>
        <v>61</v>
      </c>
      <c r="P995" s="34">
        <f t="shared" si="164"/>
        <v>73</v>
      </c>
      <c r="Q995" s="34">
        <f t="shared" si="164"/>
        <v>85</v>
      </c>
      <c r="R995" s="34">
        <f t="shared" si="164"/>
        <v>97</v>
      </c>
      <c r="S995" s="35">
        <f t="shared" si="160"/>
        <v>60</v>
      </c>
    </row>
    <row r="996" spans="2:19" hidden="1" outlineLevel="1">
      <c r="B996" s="14" t="s">
        <v>116</v>
      </c>
      <c r="C996" s="15" t="s">
        <v>65</v>
      </c>
      <c r="D996" s="52">
        <v>2032</v>
      </c>
      <c r="E996" s="34">
        <v>1</v>
      </c>
      <c r="F996" s="38">
        <f t="shared" si="157"/>
        <v>16033.684776872831</v>
      </c>
      <c r="G996" s="34">
        <f t="shared" si="158"/>
        <v>9</v>
      </c>
      <c r="H996" s="34">
        <f t="shared" si="159"/>
        <v>3</v>
      </c>
      <c r="I996" s="34" t="str">
        <f t="shared" si="164"/>
        <v/>
      </c>
      <c r="J996" s="34" t="str">
        <f t="shared" si="164"/>
        <v/>
      </c>
      <c r="K996" s="34" t="str">
        <f t="shared" si="164"/>
        <v/>
      </c>
      <c r="L996" s="34" t="str">
        <f t="shared" si="164"/>
        <v/>
      </c>
      <c r="M996" s="34" t="str">
        <f t="shared" si="164"/>
        <v/>
      </c>
      <c r="N996" s="34">
        <f t="shared" si="164"/>
        <v>60</v>
      </c>
      <c r="O996" s="34">
        <f t="shared" si="164"/>
        <v>72</v>
      </c>
      <c r="P996" s="34">
        <f t="shared" si="164"/>
        <v>84</v>
      </c>
      <c r="Q996" s="34">
        <f t="shared" si="164"/>
        <v>96</v>
      </c>
      <c r="R996" s="34">
        <f t="shared" si="164"/>
        <v>108</v>
      </c>
      <c r="S996" s="35">
        <f t="shared" si="160"/>
        <v>60</v>
      </c>
    </row>
    <row r="997" spans="2:19" hidden="1" outlineLevel="1">
      <c r="B997" s="14" t="s">
        <v>116</v>
      </c>
      <c r="C997" s="15" t="s">
        <v>65</v>
      </c>
      <c r="D997" s="52">
        <v>2032</v>
      </c>
      <c r="E997" s="34">
        <v>2</v>
      </c>
      <c r="F997" s="38">
        <f t="shared" si="157"/>
        <v>16033.684776872831</v>
      </c>
      <c r="G997" s="34">
        <f t="shared" si="158"/>
        <v>9</v>
      </c>
      <c r="H997" s="34">
        <f t="shared" si="159"/>
        <v>3</v>
      </c>
      <c r="I997" s="34" t="str">
        <f t="shared" si="164"/>
        <v/>
      </c>
      <c r="J997" s="34" t="str">
        <f t="shared" si="164"/>
        <v/>
      </c>
      <c r="K997" s="34" t="str">
        <f t="shared" si="164"/>
        <v/>
      </c>
      <c r="L997" s="34" t="str">
        <f t="shared" si="164"/>
        <v/>
      </c>
      <c r="M997" s="34" t="str">
        <f t="shared" si="164"/>
        <v/>
      </c>
      <c r="N997" s="34">
        <f t="shared" si="164"/>
        <v>60</v>
      </c>
      <c r="O997" s="34">
        <f t="shared" si="164"/>
        <v>71</v>
      </c>
      <c r="P997" s="34">
        <f t="shared" si="164"/>
        <v>83</v>
      </c>
      <c r="Q997" s="34">
        <f t="shared" si="164"/>
        <v>95</v>
      </c>
      <c r="R997" s="34">
        <f t="shared" si="164"/>
        <v>107</v>
      </c>
      <c r="S997" s="35">
        <f t="shared" si="160"/>
        <v>60</v>
      </c>
    </row>
    <row r="998" spans="2:19" hidden="1" outlineLevel="1">
      <c r="B998" s="14" t="s">
        <v>116</v>
      </c>
      <c r="C998" s="15" t="s">
        <v>65</v>
      </c>
      <c r="D998" s="52">
        <v>2032</v>
      </c>
      <c r="E998" s="34">
        <v>3</v>
      </c>
      <c r="F998" s="38">
        <f t="shared" si="157"/>
        <v>16033.684776872831</v>
      </c>
      <c r="G998" s="34">
        <f t="shared" si="158"/>
        <v>9</v>
      </c>
      <c r="H998" s="34">
        <f t="shared" si="159"/>
        <v>3</v>
      </c>
      <c r="I998" s="34" t="str">
        <f t="shared" si="164"/>
        <v/>
      </c>
      <c r="J998" s="34" t="str">
        <f t="shared" si="164"/>
        <v/>
      </c>
      <c r="K998" s="34" t="str">
        <f t="shared" si="164"/>
        <v/>
      </c>
      <c r="L998" s="34" t="str">
        <f t="shared" si="164"/>
        <v/>
      </c>
      <c r="M998" s="34" t="str">
        <f t="shared" si="164"/>
        <v/>
      </c>
      <c r="N998" s="34">
        <f t="shared" si="164"/>
        <v>60</v>
      </c>
      <c r="O998" s="34">
        <f t="shared" si="164"/>
        <v>70</v>
      </c>
      <c r="P998" s="34">
        <f t="shared" si="164"/>
        <v>82</v>
      </c>
      <c r="Q998" s="34">
        <f t="shared" si="164"/>
        <v>94</v>
      </c>
      <c r="R998" s="34">
        <f t="shared" si="164"/>
        <v>106</v>
      </c>
      <c r="S998" s="35">
        <f t="shared" si="160"/>
        <v>60</v>
      </c>
    </row>
    <row r="999" spans="2:19" hidden="1" outlineLevel="1">
      <c r="B999" s="14" t="s">
        <v>116</v>
      </c>
      <c r="C999" s="15" t="s">
        <v>65</v>
      </c>
      <c r="D999" s="52">
        <v>2032</v>
      </c>
      <c r="E999" s="34">
        <v>4</v>
      </c>
      <c r="F999" s="38">
        <f t="shared" si="157"/>
        <v>16033.684776872831</v>
      </c>
      <c r="G999" s="34">
        <f t="shared" si="158"/>
        <v>9</v>
      </c>
      <c r="H999" s="34">
        <f t="shared" si="159"/>
        <v>3</v>
      </c>
      <c r="I999" s="34" t="str">
        <f t="shared" si="164"/>
        <v/>
      </c>
      <c r="J999" s="34" t="str">
        <f t="shared" si="164"/>
        <v/>
      </c>
      <c r="K999" s="34" t="str">
        <f t="shared" si="164"/>
        <v/>
      </c>
      <c r="L999" s="34" t="str">
        <f t="shared" si="164"/>
        <v/>
      </c>
      <c r="M999" s="34" t="str">
        <f t="shared" si="164"/>
        <v/>
      </c>
      <c r="N999" s="34">
        <f t="shared" si="164"/>
        <v>60</v>
      </c>
      <c r="O999" s="34">
        <f t="shared" si="164"/>
        <v>69</v>
      </c>
      <c r="P999" s="34">
        <f t="shared" si="164"/>
        <v>81</v>
      </c>
      <c r="Q999" s="34">
        <f t="shared" si="164"/>
        <v>93</v>
      </c>
      <c r="R999" s="34">
        <f t="shared" si="164"/>
        <v>105</v>
      </c>
      <c r="S999" s="35">
        <f t="shared" si="160"/>
        <v>60</v>
      </c>
    </row>
    <row r="1000" spans="2:19" hidden="1" outlineLevel="1">
      <c r="B1000" s="14" t="s">
        <v>116</v>
      </c>
      <c r="C1000" s="15" t="s">
        <v>65</v>
      </c>
      <c r="D1000" s="52">
        <v>2032</v>
      </c>
      <c r="E1000" s="34">
        <v>5</v>
      </c>
      <c r="F1000" s="38">
        <f t="shared" si="157"/>
        <v>16033.684776872831</v>
      </c>
      <c r="G1000" s="34">
        <f t="shared" si="158"/>
        <v>9</v>
      </c>
      <c r="H1000" s="34">
        <f t="shared" si="159"/>
        <v>3</v>
      </c>
      <c r="I1000" s="34" t="str">
        <f t="shared" ref="I1000:R1009" si="165">IF($D1000&lt;$Z$18,"",IF(MAX($G1000,INDEX($C$65:$F$108,$D1000+I$119-2026,$H1000))&lt;=12*I$119-$E1000+12,MAX($G1000,12*I$119-$E1000+1,INDEX($C$65:$F$108,$D1000+I$119-2026,$H1000)),""))</f>
        <v/>
      </c>
      <c r="J1000" s="34" t="str">
        <f t="shared" si="165"/>
        <v/>
      </c>
      <c r="K1000" s="34" t="str">
        <f t="shared" si="165"/>
        <v/>
      </c>
      <c r="L1000" s="34" t="str">
        <f t="shared" si="165"/>
        <v/>
      </c>
      <c r="M1000" s="34" t="str">
        <f t="shared" si="165"/>
        <v/>
      </c>
      <c r="N1000" s="34">
        <f t="shared" si="165"/>
        <v>60</v>
      </c>
      <c r="O1000" s="34">
        <f t="shared" si="165"/>
        <v>68</v>
      </c>
      <c r="P1000" s="34">
        <f t="shared" si="165"/>
        <v>80</v>
      </c>
      <c r="Q1000" s="34">
        <f t="shared" si="165"/>
        <v>92</v>
      </c>
      <c r="R1000" s="34">
        <f t="shared" si="165"/>
        <v>104</v>
      </c>
      <c r="S1000" s="35">
        <f t="shared" si="160"/>
        <v>60</v>
      </c>
    </row>
    <row r="1001" spans="2:19" hidden="1" outlineLevel="1">
      <c r="B1001" s="14" t="s">
        <v>116</v>
      </c>
      <c r="C1001" s="15" t="s">
        <v>65</v>
      </c>
      <c r="D1001" s="52">
        <v>2032</v>
      </c>
      <c r="E1001" s="34">
        <v>6</v>
      </c>
      <c r="F1001" s="38">
        <f t="shared" si="157"/>
        <v>16033.684776872831</v>
      </c>
      <c r="G1001" s="34">
        <f t="shared" si="158"/>
        <v>9</v>
      </c>
      <c r="H1001" s="34">
        <f t="shared" si="159"/>
        <v>3</v>
      </c>
      <c r="I1001" s="34" t="str">
        <f t="shared" si="165"/>
        <v/>
      </c>
      <c r="J1001" s="34" t="str">
        <f t="shared" si="165"/>
        <v/>
      </c>
      <c r="K1001" s="34" t="str">
        <f t="shared" si="165"/>
        <v/>
      </c>
      <c r="L1001" s="34" t="str">
        <f t="shared" si="165"/>
        <v/>
      </c>
      <c r="M1001" s="34" t="str">
        <f t="shared" si="165"/>
        <v/>
      </c>
      <c r="N1001" s="34">
        <f t="shared" si="165"/>
        <v>60</v>
      </c>
      <c r="O1001" s="34">
        <f t="shared" si="165"/>
        <v>67</v>
      </c>
      <c r="P1001" s="34">
        <f t="shared" si="165"/>
        <v>79</v>
      </c>
      <c r="Q1001" s="34">
        <f t="shared" si="165"/>
        <v>91</v>
      </c>
      <c r="R1001" s="34">
        <f t="shared" si="165"/>
        <v>103</v>
      </c>
      <c r="S1001" s="35">
        <f t="shared" si="160"/>
        <v>60</v>
      </c>
    </row>
    <row r="1002" spans="2:19" hidden="1" outlineLevel="1">
      <c r="B1002" s="14" t="s">
        <v>116</v>
      </c>
      <c r="C1002" s="15" t="s">
        <v>65</v>
      </c>
      <c r="D1002" s="52">
        <v>2032</v>
      </c>
      <c r="E1002" s="34">
        <v>7</v>
      </c>
      <c r="F1002" s="38">
        <f t="shared" si="157"/>
        <v>16033.684776872831</v>
      </c>
      <c r="G1002" s="34">
        <f t="shared" si="158"/>
        <v>9</v>
      </c>
      <c r="H1002" s="34">
        <f t="shared" si="159"/>
        <v>3</v>
      </c>
      <c r="I1002" s="34" t="str">
        <f t="shared" si="165"/>
        <v/>
      </c>
      <c r="J1002" s="34" t="str">
        <f t="shared" si="165"/>
        <v/>
      </c>
      <c r="K1002" s="34" t="str">
        <f t="shared" si="165"/>
        <v/>
      </c>
      <c r="L1002" s="34" t="str">
        <f t="shared" si="165"/>
        <v/>
      </c>
      <c r="M1002" s="34" t="str">
        <f t="shared" si="165"/>
        <v/>
      </c>
      <c r="N1002" s="34">
        <f t="shared" si="165"/>
        <v>60</v>
      </c>
      <c r="O1002" s="34">
        <f t="shared" si="165"/>
        <v>66</v>
      </c>
      <c r="P1002" s="34">
        <f t="shared" si="165"/>
        <v>78</v>
      </c>
      <c r="Q1002" s="34">
        <f t="shared" si="165"/>
        <v>90</v>
      </c>
      <c r="R1002" s="34">
        <f t="shared" si="165"/>
        <v>102</v>
      </c>
      <c r="S1002" s="35">
        <f t="shared" si="160"/>
        <v>60</v>
      </c>
    </row>
    <row r="1003" spans="2:19" hidden="1" outlineLevel="1">
      <c r="B1003" s="14" t="s">
        <v>116</v>
      </c>
      <c r="C1003" s="15" t="s">
        <v>65</v>
      </c>
      <c r="D1003" s="52">
        <v>2032</v>
      </c>
      <c r="E1003" s="34">
        <v>8</v>
      </c>
      <c r="F1003" s="38">
        <f t="shared" si="157"/>
        <v>16033.684776872831</v>
      </c>
      <c r="G1003" s="34">
        <f t="shared" si="158"/>
        <v>9</v>
      </c>
      <c r="H1003" s="34">
        <f t="shared" si="159"/>
        <v>3</v>
      </c>
      <c r="I1003" s="34" t="str">
        <f t="shared" si="165"/>
        <v/>
      </c>
      <c r="J1003" s="34" t="str">
        <f t="shared" si="165"/>
        <v/>
      </c>
      <c r="K1003" s="34" t="str">
        <f t="shared" si="165"/>
        <v/>
      </c>
      <c r="L1003" s="34" t="str">
        <f t="shared" si="165"/>
        <v/>
      </c>
      <c r="M1003" s="34" t="str">
        <f t="shared" si="165"/>
        <v/>
      </c>
      <c r="N1003" s="34">
        <f t="shared" si="165"/>
        <v>60</v>
      </c>
      <c r="O1003" s="34">
        <f t="shared" si="165"/>
        <v>65</v>
      </c>
      <c r="P1003" s="34">
        <f t="shared" si="165"/>
        <v>77</v>
      </c>
      <c r="Q1003" s="34">
        <f t="shared" si="165"/>
        <v>89</v>
      </c>
      <c r="R1003" s="34">
        <f t="shared" si="165"/>
        <v>101</v>
      </c>
      <c r="S1003" s="35">
        <f t="shared" si="160"/>
        <v>60</v>
      </c>
    </row>
    <row r="1004" spans="2:19" hidden="1" outlineLevel="1">
      <c r="B1004" s="14" t="s">
        <v>116</v>
      </c>
      <c r="C1004" s="15" t="s">
        <v>65</v>
      </c>
      <c r="D1004" s="52">
        <v>2032</v>
      </c>
      <c r="E1004" s="34">
        <v>9</v>
      </c>
      <c r="F1004" s="38">
        <f t="shared" si="157"/>
        <v>16033.684776872831</v>
      </c>
      <c r="G1004" s="34">
        <f t="shared" si="158"/>
        <v>9</v>
      </c>
      <c r="H1004" s="34">
        <f t="shared" si="159"/>
        <v>3</v>
      </c>
      <c r="I1004" s="34" t="str">
        <f t="shared" si="165"/>
        <v/>
      </c>
      <c r="J1004" s="34" t="str">
        <f t="shared" si="165"/>
        <v/>
      </c>
      <c r="K1004" s="34" t="str">
        <f t="shared" si="165"/>
        <v/>
      </c>
      <c r="L1004" s="34" t="str">
        <f t="shared" si="165"/>
        <v/>
      </c>
      <c r="M1004" s="34" t="str">
        <f t="shared" si="165"/>
        <v/>
      </c>
      <c r="N1004" s="34">
        <f t="shared" si="165"/>
        <v>60</v>
      </c>
      <c r="O1004" s="34">
        <f t="shared" si="165"/>
        <v>64</v>
      </c>
      <c r="P1004" s="34">
        <f t="shared" si="165"/>
        <v>76</v>
      </c>
      <c r="Q1004" s="34">
        <f t="shared" si="165"/>
        <v>88</v>
      </c>
      <c r="R1004" s="34">
        <f t="shared" si="165"/>
        <v>100</v>
      </c>
      <c r="S1004" s="35">
        <f t="shared" si="160"/>
        <v>60</v>
      </c>
    </row>
    <row r="1005" spans="2:19" hidden="1" outlineLevel="1">
      <c r="B1005" s="14" t="s">
        <v>116</v>
      </c>
      <c r="C1005" s="15" t="s">
        <v>65</v>
      </c>
      <c r="D1005" s="52">
        <v>2032</v>
      </c>
      <c r="E1005" s="34">
        <v>10</v>
      </c>
      <c r="F1005" s="38">
        <f t="shared" si="157"/>
        <v>16033.684776872831</v>
      </c>
      <c r="G1005" s="34">
        <f t="shared" si="158"/>
        <v>9</v>
      </c>
      <c r="H1005" s="34">
        <f t="shared" si="159"/>
        <v>3</v>
      </c>
      <c r="I1005" s="34" t="str">
        <f t="shared" si="165"/>
        <v/>
      </c>
      <c r="J1005" s="34" t="str">
        <f t="shared" si="165"/>
        <v/>
      </c>
      <c r="K1005" s="34" t="str">
        <f t="shared" si="165"/>
        <v/>
      </c>
      <c r="L1005" s="34" t="str">
        <f t="shared" si="165"/>
        <v/>
      </c>
      <c r="M1005" s="34" t="str">
        <f t="shared" si="165"/>
        <v/>
      </c>
      <c r="N1005" s="34">
        <f t="shared" si="165"/>
        <v>60</v>
      </c>
      <c r="O1005" s="34">
        <f t="shared" si="165"/>
        <v>63</v>
      </c>
      <c r="P1005" s="34">
        <f t="shared" si="165"/>
        <v>75</v>
      </c>
      <c r="Q1005" s="34">
        <f t="shared" si="165"/>
        <v>87</v>
      </c>
      <c r="R1005" s="34">
        <f t="shared" si="165"/>
        <v>99</v>
      </c>
      <c r="S1005" s="35">
        <f t="shared" si="160"/>
        <v>60</v>
      </c>
    </row>
    <row r="1006" spans="2:19" hidden="1" outlineLevel="1">
      <c r="B1006" s="14" t="s">
        <v>116</v>
      </c>
      <c r="C1006" s="15" t="s">
        <v>65</v>
      </c>
      <c r="D1006" s="52">
        <v>2032</v>
      </c>
      <c r="E1006" s="34">
        <v>11</v>
      </c>
      <c r="F1006" s="38">
        <f t="shared" si="157"/>
        <v>16033.684776872831</v>
      </c>
      <c r="G1006" s="34">
        <f t="shared" si="158"/>
        <v>9</v>
      </c>
      <c r="H1006" s="34">
        <f t="shared" si="159"/>
        <v>3</v>
      </c>
      <c r="I1006" s="34" t="str">
        <f t="shared" si="165"/>
        <v/>
      </c>
      <c r="J1006" s="34" t="str">
        <f t="shared" si="165"/>
        <v/>
      </c>
      <c r="K1006" s="34" t="str">
        <f t="shared" si="165"/>
        <v/>
      </c>
      <c r="L1006" s="34" t="str">
        <f t="shared" si="165"/>
        <v/>
      </c>
      <c r="M1006" s="34" t="str">
        <f t="shared" si="165"/>
        <v/>
      </c>
      <c r="N1006" s="34">
        <f t="shared" si="165"/>
        <v>60</v>
      </c>
      <c r="O1006" s="34">
        <f t="shared" si="165"/>
        <v>62</v>
      </c>
      <c r="P1006" s="34">
        <f t="shared" si="165"/>
        <v>74</v>
      </c>
      <c r="Q1006" s="34">
        <f t="shared" si="165"/>
        <v>86</v>
      </c>
      <c r="R1006" s="34">
        <f t="shared" si="165"/>
        <v>98</v>
      </c>
      <c r="S1006" s="35">
        <f t="shared" si="160"/>
        <v>60</v>
      </c>
    </row>
    <row r="1007" spans="2:19" hidden="1" outlineLevel="1">
      <c r="B1007" s="14" t="s">
        <v>116</v>
      </c>
      <c r="C1007" s="15" t="s">
        <v>65</v>
      </c>
      <c r="D1007" s="52">
        <v>2032</v>
      </c>
      <c r="E1007" s="34">
        <v>12</v>
      </c>
      <c r="F1007" s="38">
        <f t="shared" si="157"/>
        <v>16033.684776872831</v>
      </c>
      <c r="G1007" s="34">
        <f t="shared" si="158"/>
        <v>9</v>
      </c>
      <c r="H1007" s="34">
        <f t="shared" si="159"/>
        <v>3</v>
      </c>
      <c r="I1007" s="34" t="str">
        <f t="shared" si="165"/>
        <v/>
      </c>
      <c r="J1007" s="34" t="str">
        <f t="shared" si="165"/>
        <v/>
      </c>
      <c r="K1007" s="34" t="str">
        <f t="shared" si="165"/>
        <v/>
      </c>
      <c r="L1007" s="34" t="str">
        <f t="shared" si="165"/>
        <v/>
      </c>
      <c r="M1007" s="34" t="str">
        <f t="shared" si="165"/>
        <v/>
      </c>
      <c r="N1007" s="34">
        <f t="shared" si="165"/>
        <v>60</v>
      </c>
      <c r="O1007" s="34">
        <f t="shared" si="165"/>
        <v>61</v>
      </c>
      <c r="P1007" s="34">
        <f t="shared" si="165"/>
        <v>73</v>
      </c>
      <c r="Q1007" s="34">
        <f t="shared" si="165"/>
        <v>85</v>
      </c>
      <c r="R1007" s="34">
        <f t="shared" si="165"/>
        <v>97</v>
      </c>
      <c r="S1007" s="35">
        <f t="shared" si="160"/>
        <v>60</v>
      </c>
    </row>
    <row r="1008" spans="2:19" hidden="1" outlineLevel="1">
      <c r="B1008" s="14" t="s">
        <v>116</v>
      </c>
      <c r="C1008" s="15" t="s">
        <v>65</v>
      </c>
      <c r="D1008" s="52">
        <v>2033</v>
      </c>
      <c r="E1008" s="34">
        <v>1</v>
      </c>
      <c r="F1008" s="38">
        <f t="shared" si="157"/>
        <v>16277.811707218976</v>
      </c>
      <c r="G1008" s="34">
        <f t="shared" si="158"/>
        <v>9</v>
      </c>
      <c r="H1008" s="34">
        <f t="shared" si="159"/>
        <v>3</v>
      </c>
      <c r="I1008" s="34" t="str">
        <f t="shared" si="165"/>
        <v/>
      </c>
      <c r="J1008" s="34" t="str">
        <f t="shared" si="165"/>
        <v/>
      </c>
      <c r="K1008" s="34" t="str">
        <f t="shared" si="165"/>
        <v/>
      </c>
      <c r="L1008" s="34" t="str">
        <f t="shared" si="165"/>
        <v/>
      </c>
      <c r="M1008" s="34" t="str">
        <f t="shared" si="165"/>
        <v/>
      </c>
      <c r="N1008" s="34">
        <f t="shared" si="165"/>
        <v>60</v>
      </c>
      <c r="O1008" s="34">
        <f t="shared" si="165"/>
        <v>72</v>
      </c>
      <c r="P1008" s="34">
        <f t="shared" si="165"/>
        <v>84</v>
      </c>
      <c r="Q1008" s="34">
        <f t="shared" si="165"/>
        <v>96</v>
      </c>
      <c r="R1008" s="34">
        <f t="shared" si="165"/>
        <v>108</v>
      </c>
      <c r="S1008" s="35">
        <f t="shared" si="160"/>
        <v>60</v>
      </c>
    </row>
    <row r="1009" spans="2:19" hidden="1" outlineLevel="1">
      <c r="B1009" s="14" t="s">
        <v>116</v>
      </c>
      <c r="C1009" s="15" t="s">
        <v>65</v>
      </c>
      <c r="D1009" s="52">
        <v>2033</v>
      </c>
      <c r="E1009" s="34">
        <v>2</v>
      </c>
      <c r="F1009" s="38">
        <f t="shared" si="157"/>
        <v>16277.811707218976</v>
      </c>
      <c r="G1009" s="34">
        <f t="shared" si="158"/>
        <v>9</v>
      </c>
      <c r="H1009" s="34">
        <f t="shared" si="159"/>
        <v>3</v>
      </c>
      <c r="I1009" s="34" t="str">
        <f t="shared" si="165"/>
        <v/>
      </c>
      <c r="J1009" s="34" t="str">
        <f t="shared" si="165"/>
        <v/>
      </c>
      <c r="K1009" s="34" t="str">
        <f t="shared" si="165"/>
        <v/>
      </c>
      <c r="L1009" s="34" t="str">
        <f t="shared" si="165"/>
        <v/>
      </c>
      <c r="M1009" s="34" t="str">
        <f t="shared" si="165"/>
        <v/>
      </c>
      <c r="N1009" s="34">
        <f t="shared" si="165"/>
        <v>60</v>
      </c>
      <c r="O1009" s="34">
        <f t="shared" si="165"/>
        <v>71</v>
      </c>
      <c r="P1009" s="34">
        <f t="shared" si="165"/>
        <v>83</v>
      </c>
      <c r="Q1009" s="34">
        <f t="shared" si="165"/>
        <v>95</v>
      </c>
      <c r="R1009" s="34">
        <f t="shared" si="165"/>
        <v>107</v>
      </c>
      <c r="S1009" s="35">
        <f t="shared" si="160"/>
        <v>60</v>
      </c>
    </row>
    <row r="1010" spans="2:19" hidden="1" outlineLevel="1">
      <c r="B1010" s="14" t="s">
        <v>116</v>
      </c>
      <c r="C1010" s="15" t="s">
        <v>65</v>
      </c>
      <c r="D1010" s="52">
        <v>2033</v>
      </c>
      <c r="E1010" s="34">
        <v>3</v>
      </c>
      <c r="F1010" s="38">
        <f t="shared" si="157"/>
        <v>16277.811707218976</v>
      </c>
      <c r="G1010" s="34">
        <f t="shared" si="158"/>
        <v>9</v>
      </c>
      <c r="H1010" s="34">
        <f t="shared" si="159"/>
        <v>3</v>
      </c>
      <c r="I1010" s="34" t="str">
        <f t="shared" ref="I1010:R1019" si="166">IF($D1010&lt;$Z$18,"",IF(MAX($G1010,INDEX($C$65:$F$108,$D1010+I$119-2026,$H1010))&lt;=12*I$119-$E1010+12,MAX($G1010,12*I$119-$E1010+1,INDEX($C$65:$F$108,$D1010+I$119-2026,$H1010)),""))</f>
        <v/>
      </c>
      <c r="J1010" s="34" t="str">
        <f t="shared" si="166"/>
        <v/>
      </c>
      <c r="K1010" s="34" t="str">
        <f t="shared" si="166"/>
        <v/>
      </c>
      <c r="L1010" s="34" t="str">
        <f t="shared" si="166"/>
        <v/>
      </c>
      <c r="M1010" s="34" t="str">
        <f t="shared" si="166"/>
        <v/>
      </c>
      <c r="N1010" s="34">
        <f t="shared" si="166"/>
        <v>60</v>
      </c>
      <c r="O1010" s="34">
        <f t="shared" si="166"/>
        <v>70</v>
      </c>
      <c r="P1010" s="34">
        <f t="shared" si="166"/>
        <v>82</v>
      </c>
      <c r="Q1010" s="34">
        <f t="shared" si="166"/>
        <v>94</v>
      </c>
      <c r="R1010" s="34">
        <f t="shared" si="166"/>
        <v>106</v>
      </c>
      <c r="S1010" s="35">
        <f t="shared" si="160"/>
        <v>60</v>
      </c>
    </row>
    <row r="1011" spans="2:19" hidden="1" outlineLevel="1">
      <c r="B1011" s="14" t="s">
        <v>116</v>
      </c>
      <c r="C1011" s="15" t="s">
        <v>65</v>
      </c>
      <c r="D1011" s="52">
        <v>2033</v>
      </c>
      <c r="E1011" s="34">
        <v>4</v>
      </c>
      <c r="F1011" s="38">
        <f t="shared" si="157"/>
        <v>16277.811707218976</v>
      </c>
      <c r="G1011" s="34">
        <f t="shared" si="158"/>
        <v>9</v>
      </c>
      <c r="H1011" s="34">
        <f t="shared" si="159"/>
        <v>3</v>
      </c>
      <c r="I1011" s="34" t="str">
        <f t="shared" si="166"/>
        <v/>
      </c>
      <c r="J1011" s="34" t="str">
        <f t="shared" si="166"/>
        <v/>
      </c>
      <c r="K1011" s="34" t="str">
        <f t="shared" si="166"/>
        <v/>
      </c>
      <c r="L1011" s="34" t="str">
        <f t="shared" si="166"/>
        <v/>
      </c>
      <c r="M1011" s="34" t="str">
        <f t="shared" si="166"/>
        <v/>
      </c>
      <c r="N1011" s="34">
        <f t="shared" si="166"/>
        <v>60</v>
      </c>
      <c r="O1011" s="34">
        <f t="shared" si="166"/>
        <v>69</v>
      </c>
      <c r="P1011" s="34">
        <f t="shared" si="166"/>
        <v>81</v>
      </c>
      <c r="Q1011" s="34">
        <f t="shared" si="166"/>
        <v>93</v>
      </c>
      <c r="R1011" s="34">
        <f t="shared" si="166"/>
        <v>105</v>
      </c>
      <c r="S1011" s="35">
        <f t="shared" si="160"/>
        <v>60</v>
      </c>
    </row>
    <row r="1012" spans="2:19" hidden="1" outlineLevel="1">
      <c r="B1012" s="14" t="s">
        <v>116</v>
      </c>
      <c r="C1012" s="15" t="s">
        <v>65</v>
      </c>
      <c r="D1012" s="52">
        <v>2033</v>
      </c>
      <c r="E1012" s="34">
        <v>5</v>
      </c>
      <c r="F1012" s="38">
        <f t="shared" si="157"/>
        <v>16277.811707218976</v>
      </c>
      <c r="G1012" s="34">
        <f t="shared" si="158"/>
        <v>9</v>
      </c>
      <c r="H1012" s="34">
        <f t="shared" si="159"/>
        <v>3</v>
      </c>
      <c r="I1012" s="34" t="str">
        <f t="shared" si="166"/>
        <v/>
      </c>
      <c r="J1012" s="34" t="str">
        <f t="shared" si="166"/>
        <v/>
      </c>
      <c r="K1012" s="34" t="str">
        <f t="shared" si="166"/>
        <v/>
      </c>
      <c r="L1012" s="34" t="str">
        <f t="shared" si="166"/>
        <v/>
      </c>
      <c r="M1012" s="34" t="str">
        <f t="shared" si="166"/>
        <v/>
      </c>
      <c r="N1012" s="34">
        <f t="shared" si="166"/>
        <v>60</v>
      </c>
      <c r="O1012" s="34">
        <f t="shared" si="166"/>
        <v>68</v>
      </c>
      <c r="P1012" s="34">
        <f t="shared" si="166"/>
        <v>80</v>
      </c>
      <c r="Q1012" s="34">
        <f t="shared" si="166"/>
        <v>92</v>
      </c>
      <c r="R1012" s="34">
        <f t="shared" si="166"/>
        <v>104</v>
      </c>
      <c r="S1012" s="35">
        <f t="shared" si="160"/>
        <v>60</v>
      </c>
    </row>
    <row r="1013" spans="2:19" hidden="1" outlineLevel="1">
      <c r="B1013" s="14" t="s">
        <v>116</v>
      </c>
      <c r="C1013" s="15" t="s">
        <v>65</v>
      </c>
      <c r="D1013" s="52">
        <v>2033</v>
      </c>
      <c r="E1013" s="34">
        <v>6</v>
      </c>
      <c r="F1013" s="38">
        <f t="shared" si="157"/>
        <v>16277.811707218976</v>
      </c>
      <c r="G1013" s="34">
        <f t="shared" si="158"/>
        <v>9</v>
      </c>
      <c r="H1013" s="34">
        <f t="shared" si="159"/>
        <v>3</v>
      </c>
      <c r="I1013" s="34" t="str">
        <f t="shared" si="166"/>
        <v/>
      </c>
      <c r="J1013" s="34" t="str">
        <f t="shared" si="166"/>
        <v/>
      </c>
      <c r="K1013" s="34" t="str">
        <f t="shared" si="166"/>
        <v/>
      </c>
      <c r="L1013" s="34" t="str">
        <f t="shared" si="166"/>
        <v/>
      </c>
      <c r="M1013" s="34" t="str">
        <f t="shared" si="166"/>
        <v/>
      </c>
      <c r="N1013" s="34">
        <f t="shared" si="166"/>
        <v>60</v>
      </c>
      <c r="O1013" s="34">
        <f t="shared" si="166"/>
        <v>67</v>
      </c>
      <c r="P1013" s="34">
        <f t="shared" si="166"/>
        <v>79</v>
      </c>
      <c r="Q1013" s="34">
        <f t="shared" si="166"/>
        <v>91</v>
      </c>
      <c r="R1013" s="34">
        <f t="shared" si="166"/>
        <v>103</v>
      </c>
      <c r="S1013" s="35">
        <f t="shared" si="160"/>
        <v>60</v>
      </c>
    </row>
    <row r="1014" spans="2:19" hidden="1" outlineLevel="1">
      <c r="B1014" s="14" t="s">
        <v>116</v>
      </c>
      <c r="C1014" s="15" t="s">
        <v>65</v>
      </c>
      <c r="D1014" s="52">
        <v>2033</v>
      </c>
      <c r="E1014" s="34">
        <v>7</v>
      </c>
      <c r="F1014" s="38">
        <f t="shared" si="157"/>
        <v>16277.811707218976</v>
      </c>
      <c r="G1014" s="34">
        <f t="shared" si="158"/>
        <v>9</v>
      </c>
      <c r="H1014" s="34">
        <f t="shared" si="159"/>
        <v>3</v>
      </c>
      <c r="I1014" s="34" t="str">
        <f t="shared" si="166"/>
        <v/>
      </c>
      <c r="J1014" s="34" t="str">
        <f t="shared" si="166"/>
        <v/>
      </c>
      <c r="K1014" s="34" t="str">
        <f t="shared" si="166"/>
        <v/>
      </c>
      <c r="L1014" s="34" t="str">
        <f t="shared" si="166"/>
        <v/>
      </c>
      <c r="M1014" s="34" t="str">
        <f t="shared" si="166"/>
        <v/>
      </c>
      <c r="N1014" s="34">
        <f t="shared" si="166"/>
        <v>60</v>
      </c>
      <c r="O1014" s="34">
        <f t="shared" si="166"/>
        <v>66</v>
      </c>
      <c r="P1014" s="34">
        <f t="shared" si="166"/>
        <v>78</v>
      </c>
      <c r="Q1014" s="34">
        <f t="shared" si="166"/>
        <v>90</v>
      </c>
      <c r="R1014" s="34">
        <f t="shared" si="166"/>
        <v>102</v>
      </c>
      <c r="S1014" s="35">
        <f t="shared" si="160"/>
        <v>60</v>
      </c>
    </row>
    <row r="1015" spans="2:19" hidden="1" outlineLevel="1">
      <c r="B1015" s="14" t="s">
        <v>116</v>
      </c>
      <c r="C1015" s="15" t="s">
        <v>65</v>
      </c>
      <c r="D1015" s="52">
        <v>2033</v>
      </c>
      <c r="E1015" s="34">
        <v>8</v>
      </c>
      <c r="F1015" s="38">
        <f t="shared" si="157"/>
        <v>16277.811707218976</v>
      </c>
      <c r="G1015" s="34">
        <f t="shared" si="158"/>
        <v>9</v>
      </c>
      <c r="H1015" s="34">
        <f t="shared" si="159"/>
        <v>3</v>
      </c>
      <c r="I1015" s="34" t="str">
        <f t="shared" si="166"/>
        <v/>
      </c>
      <c r="J1015" s="34" t="str">
        <f t="shared" si="166"/>
        <v/>
      </c>
      <c r="K1015" s="34" t="str">
        <f t="shared" si="166"/>
        <v/>
      </c>
      <c r="L1015" s="34" t="str">
        <f t="shared" si="166"/>
        <v/>
      </c>
      <c r="M1015" s="34" t="str">
        <f t="shared" si="166"/>
        <v/>
      </c>
      <c r="N1015" s="34">
        <f t="shared" si="166"/>
        <v>60</v>
      </c>
      <c r="O1015" s="34">
        <f t="shared" si="166"/>
        <v>65</v>
      </c>
      <c r="P1015" s="34">
        <f t="shared" si="166"/>
        <v>77</v>
      </c>
      <c r="Q1015" s="34">
        <f t="shared" si="166"/>
        <v>89</v>
      </c>
      <c r="R1015" s="34">
        <f t="shared" si="166"/>
        <v>101</v>
      </c>
      <c r="S1015" s="35">
        <f t="shared" si="160"/>
        <v>60</v>
      </c>
    </row>
    <row r="1016" spans="2:19" hidden="1" outlineLevel="1">
      <c r="B1016" s="14" t="s">
        <v>116</v>
      </c>
      <c r="C1016" s="15" t="s">
        <v>65</v>
      </c>
      <c r="D1016" s="52">
        <v>2033</v>
      </c>
      <c r="E1016" s="34">
        <v>9</v>
      </c>
      <c r="F1016" s="38">
        <f t="shared" ref="F1016:F1079" si="167">IF($C1016="Homens",INDEX($C$5:$C$55,MATCH($D1016,$B$5:$B$55,0)),INDEX($F$5:$F$55,MATCH($D1016,$B$5:$B$55,0)))/12</f>
        <v>16277.811707218976</v>
      </c>
      <c r="G1016" s="34">
        <f t="shared" ref="G1016:G1079" si="168">IF($C1016="Homens",$Z$17,$AA$17)</f>
        <v>9</v>
      </c>
      <c r="H1016" s="34">
        <f t="shared" ref="H1016:H1079" si="169">1+2*($B1016="Com Transição")+($C1016="Mulheres")</f>
        <v>3</v>
      </c>
      <c r="I1016" s="34" t="str">
        <f t="shared" si="166"/>
        <v/>
      </c>
      <c r="J1016" s="34" t="str">
        <f t="shared" si="166"/>
        <v/>
      </c>
      <c r="K1016" s="34" t="str">
        <f t="shared" si="166"/>
        <v/>
      </c>
      <c r="L1016" s="34" t="str">
        <f t="shared" si="166"/>
        <v/>
      </c>
      <c r="M1016" s="34" t="str">
        <f t="shared" si="166"/>
        <v/>
      </c>
      <c r="N1016" s="34">
        <f t="shared" si="166"/>
        <v>60</v>
      </c>
      <c r="O1016" s="34">
        <f t="shared" si="166"/>
        <v>64</v>
      </c>
      <c r="P1016" s="34">
        <f t="shared" si="166"/>
        <v>76</v>
      </c>
      <c r="Q1016" s="34">
        <f t="shared" si="166"/>
        <v>88</v>
      </c>
      <c r="R1016" s="34">
        <f t="shared" si="166"/>
        <v>100</v>
      </c>
      <c r="S1016" s="35">
        <f t="shared" ref="S1016:S1079" si="170">IF($D1016&lt;$Z$18,$G1016,MIN(I1016:R1016))</f>
        <v>60</v>
      </c>
    </row>
    <row r="1017" spans="2:19" hidden="1" outlineLevel="1">
      <c r="B1017" s="14" t="s">
        <v>116</v>
      </c>
      <c r="C1017" s="15" t="s">
        <v>65</v>
      </c>
      <c r="D1017" s="52">
        <v>2033</v>
      </c>
      <c r="E1017" s="34">
        <v>10</v>
      </c>
      <c r="F1017" s="38">
        <f t="shared" si="167"/>
        <v>16277.811707218976</v>
      </c>
      <c r="G1017" s="34">
        <f t="shared" si="168"/>
        <v>9</v>
      </c>
      <c r="H1017" s="34">
        <f t="shared" si="169"/>
        <v>3</v>
      </c>
      <c r="I1017" s="34" t="str">
        <f t="shared" si="166"/>
        <v/>
      </c>
      <c r="J1017" s="34" t="str">
        <f t="shared" si="166"/>
        <v/>
      </c>
      <c r="K1017" s="34" t="str">
        <f t="shared" si="166"/>
        <v/>
      </c>
      <c r="L1017" s="34" t="str">
        <f t="shared" si="166"/>
        <v/>
      </c>
      <c r="M1017" s="34" t="str">
        <f t="shared" si="166"/>
        <v/>
      </c>
      <c r="N1017" s="34">
        <f t="shared" si="166"/>
        <v>60</v>
      </c>
      <c r="O1017" s="34">
        <f t="shared" si="166"/>
        <v>63</v>
      </c>
      <c r="P1017" s="34">
        <f t="shared" si="166"/>
        <v>75</v>
      </c>
      <c r="Q1017" s="34">
        <f t="shared" si="166"/>
        <v>87</v>
      </c>
      <c r="R1017" s="34">
        <f t="shared" si="166"/>
        <v>99</v>
      </c>
      <c r="S1017" s="35">
        <f t="shared" si="170"/>
        <v>60</v>
      </c>
    </row>
    <row r="1018" spans="2:19" hidden="1" outlineLevel="1">
      <c r="B1018" s="14" t="s">
        <v>116</v>
      </c>
      <c r="C1018" s="15" t="s">
        <v>65</v>
      </c>
      <c r="D1018" s="52">
        <v>2033</v>
      </c>
      <c r="E1018" s="34">
        <v>11</v>
      </c>
      <c r="F1018" s="38">
        <f t="shared" si="167"/>
        <v>16277.811707218976</v>
      </c>
      <c r="G1018" s="34">
        <f t="shared" si="168"/>
        <v>9</v>
      </c>
      <c r="H1018" s="34">
        <f t="shared" si="169"/>
        <v>3</v>
      </c>
      <c r="I1018" s="34" t="str">
        <f t="shared" si="166"/>
        <v/>
      </c>
      <c r="J1018" s="34" t="str">
        <f t="shared" si="166"/>
        <v/>
      </c>
      <c r="K1018" s="34" t="str">
        <f t="shared" si="166"/>
        <v/>
      </c>
      <c r="L1018" s="34" t="str">
        <f t="shared" si="166"/>
        <v/>
      </c>
      <c r="M1018" s="34" t="str">
        <f t="shared" si="166"/>
        <v/>
      </c>
      <c r="N1018" s="34">
        <f t="shared" si="166"/>
        <v>60</v>
      </c>
      <c r="O1018" s="34">
        <f t="shared" si="166"/>
        <v>62</v>
      </c>
      <c r="P1018" s="34">
        <f t="shared" si="166"/>
        <v>74</v>
      </c>
      <c r="Q1018" s="34">
        <f t="shared" si="166"/>
        <v>86</v>
      </c>
      <c r="R1018" s="34">
        <f t="shared" si="166"/>
        <v>98</v>
      </c>
      <c r="S1018" s="35">
        <f t="shared" si="170"/>
        <v>60</v>
      </c>
    </row>
    <row r="1019" spans="2:19" hidden="1" outlineLevel="1">
      <c r="B1019" s="14" t="s">
        <v>116</v>
      </c>
      <c r="C1019" s="15" t="s">
        <v>65</v>
      </c>
      <c r="D1019" s="52">
        <v>2033</v>
      </c>
      <c r="E1019" s="34">
        <v>12</v>
      </c>
      <c r="F1019" s="38">
        <f t="shared" si="167"/>
        <v>16277.811707218976</v>
      </c>
      <c r="G1019" s="34">
        <f t="shared" si="168"/>
        <v>9</v>
      </c>
      <c r="H1019" s="34">
        <f t="shared" si="169"/>
        <v>3</v>
      </c>
      <c r="I1019" s="34" t="str">
        <f t="shared" si="166"/>
        <v/>
      </c>
      <c r="J1019" s="34" t="str">
        <f t="shared" si="166"/>
        <v/>
      </c>
      <c r="K1019" s="34" t="str">
        <f t="shared" si="166"/>
        <v/>
      </c>
      <c r="L1019" s="34" t="str">
        <f t="shared" si="166"/>
        <v/>
      </c>
      <c r="M1019" s="34" t="str">
        <f t="shared" si="166"/>
        <v/>
      </c>
      <c r="N1019" s="34">
        <f t="shared" si="166"/>
        <v>60</v>
      </c>
      <c r="O1019" s="34">
        <f t="shared" si="166"/>
        <v>61</v>
      </c>
      <c r="P1019" s="34">
        <f t="shared" si="166"/>
        <v>73</v>
      </c>
      <c r="Q1019" s="34">
        <f t="shared" si="166"/>
        <v>85</v>
      </c>
      <c r="R1019" s="34">
        <f t="shared" si="166"/>
        <v>97</v>
      </c>
      <c r="S1019" s="35">
        <f t="shared" si="170"/>
        <v>60</v>
      </c>
    </row>
    <row r="1020" spans="2:19" hidden="1" outlineLevel="1">
      <c r="B1020" s="14" t="s">
        <v>116</v>
      </c>
      <c r="C1020" s="15" t="s">
        <v>65</v>
      </c>
      <c r="D1020" s="52">
        <v>2034</v>
      </c>
      <c r="E1020" s="34">
        <v>1</v>
      </c>
      <c r="F1020" s="38">
        <f t="shared" si="167"/>
        <v>16548.326252741896</v>
      </c>
      <c r="G1020" s="34">
        <f t="shared" si="168"/>
        <v>9</v>
      </c>
      <c r="H1020" s="34">
        <f t="shared" si="169"/>
        <v>3</v>
      </c>
      <c r="I1020" s="34" t="str">
        <f t="shared" ref="I1020:R1029" si="171">IF($D1020&lt;$Z$18,"",IF(MAX($G1020,INDEX($C$65:$F$108,$D1020+I$119-2026,$H1020))&lt;=12*I$119-$E1020+12,MAX($G1020,12*I$119-$E1020+1,INDEX($C$65:$F$108,$D1020+I$119-2026,$H1020)),""))</f>
        <v/>
      </c>
      <c r="J1020" s="34" t="str">
        <f t="shared" si="171"/>
        <v/>
      </c>
      <c r="K1020" s="34" t="str">
        <f t="shared" si="171"/>
        <v/>
      </c>
      <c r="L1020" s="34" t="str">
        <f t="shared" si="171"/>
        <v/>
      </c>
      <c r="M1020" s="34" t="str">
        <f t="shared" si="171"/>
        <v/>
      </c>
      <c r="N1020" s="34">
        <f t="shared" si="171"/>
        <v>60</v>
      </c>
      <c r="O1020" s="34">
        <f t="shared" si="171"/>
        <v>72</v>
      </c>
      <c r="P1020" s="34">
        <f t="shared" si="171"/>
        <v>84</v>
      </c>
      <c r="Q1020" s="34">
        <f t="shared" si="171"/>
        <v>96</v>
      </c>
      <c r="R1020" s="34">
        <f t="shared" si="171"/>
        <v>108</v>
      </c>
      <c r="S1020" s="35">
        <f t="shared" si="170"/>
        <v>60</v>
      </c>
    </row>
    <row r="1021" spans="2:19" hidden="1" outlineLevel="1">
      <c r="B1021" s="14" t="s">
        <v>116</v>
      </c>
      <c r="C1021" s="15" t="s">
        <v>65</v>
      </c>
      <c r="D1021" s="52">
        <v>2034</v>
      </c>
      <c r="E1021" s="34">
        <v>2</v>
      </c>
      <c r="F1021" s="38">
        <f t="shared" si="167"/>
        <v>16548.326252741896</v>
      </c>
      <c r="G1021" s="34">
        <f t="shared" si="168"/>
        <v>9</v>
      </c>
      <c r="H1021" s="34">
        <f t="shared" si="169"/>
        <v>3</v>
      </c>
      <c r="I1021" s="34" t="str">
        <f t="shared" si="171"/>
        <v/>
      </c>
      <c r="J1021" s="34" t="str">
        <f t="shared" si="171"/>
        <v/>
      </c>
      <c r="K1021" s="34" t="str">
        <f t="shared" si="171"/>
        <v/>
      </c>
      <c r="L1021" s="34" t="str">
        <f t="shared" si="171"/>
        <v/>
      </c>
      <c r="M1021" s="34" t="str">
        <f t="shared" si="171"/>
        <v/>
      </c>
      <c r="N1021" s="34">
        <f t="shared" si="171"/>
        <v>60</v>
      </c>
      <c r="O1021" s="34">
        <f t="shared" si="171"/>
        <v>71</v>
      </c>
      <c r="P1021" s="34">
        <f t="shared" si="171"/>
        <v>83</v>
      </c>
      <c r="Q1021" s="34">
        <f t="shared" si="171"/>
        <v>95</v>
      </c>
      <c r="R1021" s="34">
        <f t="shared" si="171"/>
        <v>107</v>
      </c>
      <c r="S1021" s="35">
        <f t="shared" si="170"/>
        <v>60</v>
      </c>
    </row>
    <row r="1022" spans="2:19" hidden="1" outlineLevel="1">
      <c r="B1022" s="14" t="s">
        <v>116</v>
      </c>
      <c r="C1022" s="15" t="s">
        <v>65</v>
      </c>
      <c r="D1022" s="52">
        <v>2034</v>
      </c>
      <c r="E1022" s="34">
        <v>3</v>
      </c>
      <c r="F1022" s="38">
        <f t="shared" si="167"/>
        <v>16548.326252741896</v>
      </c>
      <c r="G1022" s="34">
        <f t="shared" si="168"/>
        <v>9</v>
      </c>
      <c r="H1022" s="34">
        <f t="shared" si="169"/>
        <v>3</v>
      </c>
      <c r="I1022" s="34" t="str">
        <f t="shared" si="171"/>
        <v/>
      </c>
      <c r="J1022" s="34" t="str">
        <f t="shared" si="171"/>
        <v/>
      </c>
      <c r="K1022" s="34" t="str">
        <f t="shared" si="171"/>
        <v/>
      </c>
      <c r="L1022" s="34" t="str">
        <f t="shared" si="171"/>
        <v/>
      </c>
      <c r="M1022" s="34" t="str">
        <f t="shared" si="171"/>
        <v/>
      </c>
      <c r="N1022" s="34">
        <f t="shared" si="171"/>
        <v>60</v>
      </c>
      <c r="O1022" s="34">
        <f t="shared" si="171"/>
        <v>70</v>
      </c>
      <c r="P1022" s="34">
        <f t="shared" si="171"/>
        <v>82</v>
      </c>
      <c r="Q1022" s="34">
        <f t="shared" si="171"/>
        <v>94</v>
      </c>
      <c r="R1022" s="34">
        <f t="shared" si="171"/>
        <v>106</v>
      </c>
      <c r="S1022" s="35">
        <f t="shared" si="170"/>
        <v>60</v>
      </c>
    </row>
    <row r="1023" spans="2:19" hidden="1" outlineLevel="1">
      <c r="B1023" s="14" t="s">
        <v>116</v>
      </c>
      <c r="C1023" s="15" t="s">
        <v>65</v>
      </c>
      <c r="D1023" s="52">
        <v>2034</v>
      </c>
      <c r="E1023" s="34">
        <v>4</v>
      </c>
      <c r="F1023" s="38">
        <f t="shared" si="167"/>
        <v>16548.326252741896</v>
      </c>
      <c r="G1023" s="34">
        <f t="shared" si="168"/>
        <v>9</v>
      </c>
      <c r="H1023" s="34">
        <f t="shared" si="169"/>
        <v>3</v>
      </c>
      <c r="I1023" s="34" t="str">
        <f t="shared" si="171"/>
        <v/>
      </c>
      <c r="J1023" s="34" t="str">
        <f t="shared" si="171"/>
        <v/>
      </c>
      <c r="K1023" s="34" t="str">
        <f t="shared" si="171"/>
        <v/>
      </c>
      <c r="L1023" s="34" t="str">
        <f t="shared" si="171"/>
        <v/>
      </c>
      <c r="M1023" s="34" t="str">
        <f t="shared" si="171"/>
        <v/>
      </c>
      <c r="N1023" s="34">
        <f t="shared" si="171"/>
        <v>60</v>
      </c>
      <c r="O1023" s="34">
        <f t="shared" si="171"/>
        <v>69</v>
      </c>
      <c r="P1023" s="34">
        <f t="shared" si="171"/>
        <v>81</v>
      </c>
      <c r="Q1023" s="34">
        <f t="shared" si="171"/>
        <v>93</v>
      </c>
      <c r="R1023" s="34">
        <f t="shared" si="171"/>
        <v>105</v>
      </c>
      <c r="S1023" s="35">
        <f t="shared" si="170"/>
        <v>60</v>
      </c>
    </row>
    <row r="1024" spans="2:19" hidden="1" outlineLevel="1">
      <c r="B1024" s="14" t="s">
        <v>116</v>
      </c>
      <c r="C1024" s="15" t="s">
        <v>65</v>
      </c>
      <c r="D1024" s="52">
        <v>2034</v>
      </c>
      <c r="E1024" s="34">
        <v>5</v>
      </c>
      <c r="F1024" s="38">
        <f t="shared" si="167"/>
        <v>16548.326252741896</v>
      </c>
      <c r="G1024" s="34">
        <f t="shared" si="168"/>
        <v>9</v>
      </c>
      <c r="H1024" s="34">
        <f t="shared" si="169"/>
        <v>3</v>
      </c>
      <c r="I1024" s="34" t="str">
        <f t="shared" si="171"/>
        <v/>
      </c>
      <c r="J1024" s="34" t="str">
        <f t="shared" si="171"/>
        <v/>
      </c>
      <c r="K1024" s="34" t="str">
        <f t="shared" si="171"/>
        <v/>
      </c>
      <c r="L1024" s="34" t="str">
        <f t="shared" si="171"/>
        <v/>
      </c>
      <c r="M1024" s="34" t="str">
        <f t="shared" si="171"/>
        <v/>
      </c>
      <c r="N1024" s="34">
        <f t="shared" si="171"/>
        <v>60</v>
      </c>
      <c r="O1024" s="34">
        <f t="shared" si="171"/>
        <v>68</v>
      </c>
      <c r="P1024" s="34">
        <f t="shared" si="171"/>
        <v>80</v>
      </c>
      <c r="Q1024" s="34">
        <f t="shared" si="171"/>
        <v>92</v>
      </c>
      <c r="R1024" s="34">
        <f t="shared" si="171"/>
        <v>104</v>
      </c>
      <c r="S1024" s="35">
        <f t="shared" si="170"/>
        <v>60</v>
      </c>
    </row>
    <row r="1025" spans="2:19" hidden="1" outlineLevel="1">
      <c r="B1025" s="14" t="s">
        <v>116</v>
      </c>
      <c r="C1025" s="15" t="s">
        <v>65</v>
      </c>
      <c r="D1025" s="52">
        <v>2034</v>
      </c>
      <c r="E1025" s="34">
        <v>6</v>
      </c>
      <c r="F1025" s="38">
        <f t="shared" si="167"/>
        <v>16548.326252741896</v>
      </c>
      <c r="G1025" s="34">
        <f t="shared" si="168"/>
        <v>9</v>
      </c>
      <c r="H1025" s="34">
        <f t="shared" si="169"/>
        <v>3</v>
      </c>
      <c r="I1025" s="34" t="str">
        <f t="shared" si="171"/>
        <v/>
      </c>
      <c r="J1025" s="34" t="str">
        <f t="shared" si="171"/>
        <v/>
      </c>
      <c r="K1025" s="34" t="str">
        <f t="shared" si="171"/>
        <v/>
      </c>
      <c r="L1025" s="34" t="str">
        <f t="shared" si="171"/>
        <v/>
      </c>
      <c r="M1025" s="34" t="str">
        <f t="shared" si="171"/>
        <v/>
      </c>
      <c r="N1025" s="34">
        <f t="shared" si="171"/>
        <v>60</v>
      </c>
      <c r="O1025" s="34">
        <f t="shared" si="171"/>
        <v>67</v>
      </c>
      <c r="P1025" s="34">
        <f t="shared" si="171"/>
        <v>79</v>
      </c>
      <c r="Q1025" s="34">
        <f t="shared" si="171"/>
        <v>91</v>
      </c>
      <c r="R1025" s="34">
        <f t="shared" si="171"/>
        <v>103</v>
      </c>
      <c r="S1025" s="35">
        <f t="shared" si="170"/>
        <v>60</v>
      </c>
    </row>
    <row r="1026" spans="2:19" hidden="1" outlineLevel="1">
      <c r="B1026" s="14" t="s">
        <v>116</v>
      </c>
      <c r="C1026" s="15" t="s">
        <v>65</v>
      </c>
      <c r="D1026" s="52">
        <v>2034</v>
      </c>
      <c r="E1026" s="34">
        <v>7</v>
      </c>
      <c r="F1026" s="38">
        <f t="shared" si="167"/>
        <v>16548.326252741896</v>
      </c>
      <c r="G1026" s="34">
        <f t="shared" si="168"/>
        <v>9</v>
      </c>
      <c r="H1026" s="34">
        <f t="shared" si="169"/>
        <v>3</v>
      </c>
      <c r="I1026" s="34" t="str">
        <f t="shared" si="171"/>
        <v/>
      </c>
      <c r="J1026" s="34" t="str">
        <f t="shared" si="171"/>
        <v/>
      </c>
      <c r="K1026" s="34" t="str">
        <f t="shared" si="171"/>
        <v/>
      </c>
      <c r="L1026" s="34" t="str">
        <f t="shared" si="171"/>
        <v/>
      </c>
      <c r="M1026" s="34" t="str">
        <f t="shared" si="171"/>
        <v/>
      </c>
      <c r="N1026" s="34">
        <f t="shared" si="171"/>
        <v>60</v>
      </c>
      <c r="O1026" s="34">
        <f t="shared" si="171"/>
        <v>66</v>
      </c>
      <c r="P1026" s="34">
        <f t="shared" si="171"/>
        <v>78</v>
      </c>
      <c r="Q1026" s="34">
        <f t="shared" si="171"/>
        <v>90</v>
      </c>
      <c r="R1026" s="34">
        <f t="shared" si="171"/>
        <v>102</v>
      </c>
      <c r="S1026" s="35">
        <f t="shared" si="170"/>
        <v>60</v>
      </c>
    </row>
    <row r="1027" spans="2:19" hidden="1" outlineLevel="1">
      <c r="B1027" s="14" t="s">
        <v>116</v>
      </c>
      <c r="C1027" s="15" t="s">
        <v>65</v>
      </c>
      <c r="D1027" s="52">
        <v>2034</v>
      </c>
      <c r="E1027" s="34">
        <v>8</v>
      </c>
      <c r="F1027" s="38">
        <f t="shared" si="167"/>
        <v>16548.326252741896</v>
      </c>
      <c r="G1027" s="34">
        <f t="shared" si="168"/>
        <v>9</v>
      </c>
      <c r="H1027" s="34">
        <f t="shared" si="169"/>
        <v>3</v>
      </c>
      <c r="I1027" s="34" t="str">
        <f t="shared" si="171"/>
        <v/>
      </c>
      <c r="J1027" s="34" t="str">
        <f t="shared" si="171"/>
        <v/>
      </c>
      <c r="K1027" s="34" t="str">
        <f t="shared" si="171"/>
        <v/>
      </c>
      <c r="L1027" s="34" t="str">
        <f t="shared" si="171"/>
        <v/>
      </c>
      <c r="M1027" s="34" t="str">
        <f t="shared" si="171"/>
        <v/>
      </c>
      <c r="N1027" s="34">
        <f t="shared" si="171"/>
        <v>60</v>
      </c>
      <c r="O1027" s="34">
        <f t="shared" si="171"/>
        <v>65</v>
      </c>
      <c r="P1027" s="34">
        <f t="shared" si="171"/>
        <v>77</v>
      </c>
      <c r="Q1027" s="34">
        <f t="shared" si="171"/>
        <v>89</v>
      </c>
      <c r="R1027" s="34">
        <f t="shared" si="171"/>
        <v>101</v>
      </c>
      <c r="S1027" s="35">
        <f t="shared" si="170"/>
        <v>60</v>
      </c>
    </row>
    <row r="1028" spans="2:19" hidden="1" outlineLevel="1">
      <c r="B1028" s="14" t="s">
        <v>116</v>
      </c>
      <c r="C1028" s="15" t="s">
        <v>65</v>
      </c>
      <c r="D1028" s="52">
        <v>2034</v>
      </c>
      <c r="E1028" s="34">
        <v>9</v>
      </c>
      <c r="F1028" s="38">
        <f t="shared" si="167"/>
        <v>16548.326252741896</v>
      </c>
      <c r="G1028" s="34">
        <f t="shared" si="168"/>
        <v>9</v>
      </c>
      <c r="H1028" s="34">
        <f t="shared" si="169"/>
        <v>3</v>
      </c>
      <c r="I1028" s="34" t="str">
        <f t="shared" si="171"/>
        <v/>
      </c>
      <c r="J1028" s="34" t="str">
        <f t="shared" si="171"/>
        <v/>
      </c>
      <c r="K1028" s="34" t="str">
        <f t="shared" si="171"/>
        <v/>
      </c>
      <c r="L1028" s="34" t="str">
        <f t="shared" si="171"/>
        <v/>
      </c>
      <c r="M1028" s="34" t="str">
        <f t="shared" si="171"/>
        <v/>
      </c>
      <c r="N1028" s="34">
        <f t="shared" si="171"/>
        <v>60</v>
      </c>
      <c r="O1028" s="34">
        <f t="shared" si="171"/>
        <v>64</v>
      </c>
      <c r="P1028" s="34">
        <f t="shared" si="171"/>
        <v>76</v>
      </c>
      <c r="Q1028" s="34">
        <f t="shared" si="171"/>
        <v>88</v>
      </c>
      <c r="R1028" s="34">
        <f t="shared" si="171"/>
        <v>100</v>
      </c>
      <c r="S1028" s="35">
        <f t="shared" si="170"/>
        <v>60</v>
      </c>
    </row>
    <row r="1029" spans="2:19" hidden="1" outlineLevel="1">
      <c r="B1029" s="14" t="s">
        <v>116</v>
      </c>
      <c r="C1029" s="15" t="s">
        <v>65</v>
      </c>
      <c r="D1029" s="52">
        <v>2034</v>
      </c>
      <c r="E1029" s="34">
        <v>10</v>
      </c>
      <c r="F1029" s="38">
        <f t="shared" si="167"/>
        <v>16548.326252741896</v>
      </c>
      <c r="G1029" s="34">
        <f t="shared" si="168"/>
        <v>9</v>
      </c>
      <c r="H1029" s="34">
        <f t="shared" si="169"/>
        <v>3</v>
      </c>
      <c r="I1029" s="34" t="str">
        <f t="shared" si="171"/>
        <v/>
      </c>
      <c r="J1029" s="34" t="str">
        <f t="shared" si="171"/>
        <v/>
      </c>
      <c r="K1029" s="34" t="str">
        <f t="shared" si="171"/>
        <v/>
      </c>
      <c r="L1029" s="34" t="str">
        <f t="shared" si="171"/>
        <v/>
      </c>
      <c r="M1029" s="34" t="str">
        <f t="shared" si="171"/>
        <v/>
      </c>
      <c r="N1029" s="34">
        <f t="shared" si="171"/>
        <v>60</v>
      </c>
      <c r="O1029" s="34">
        <f t="shared" si="171"/>
        <v>63</v>
      </c>
      <c r="P1029" s="34">
        <f t="shared" si="171"/>
        <v>75</v>
      </c>
      <c r="Q1029" s="34">
        <f t="shared" si="171"/>
        <v>87</v>
      </c>
      <c r="R1029" s="34">
        <f t="shared" si="171"/>
        <v>99</v>
      </c>
      <c r="S1029" s="35">
        <f t="shared" si="170"/>
        <v>60</v>
      </c>
    </row>
    <row r="1030" spans="2:19" hidden="1" outlineLevel="1">
      <c r="B1030" s="14" t="s">
        <v>116</v>
      </c>
      <c r="C1030" s="15" t="s">
        <v>65</v>
      </c>
      <c r="D1030" s="52">
        <v>2034</v>
      </c>
      <c r="E1030" s="34">
        <v>11</v>
      </c>
      <c r="F1030" s="38">
        <f t="shared" si="167"/>
        <v>16548.326252741896</v>
      </c>
      <c r="G1030" s="34">
        <f t="shared" si="168"/>
        <v>9</v>
      </c>
      <c r="H1030" s="34">
        <f t="shared" si="169"/>
        <v>3</v>
      </c>
      <c r="I1030" s="34" t="str">
        <f t="shared" ref="I1030:R1039" si="172">IF($D1030&lt;$Z$18,"",IF(MAX($G1030,INDEX($C$65:$F$108,$D1030+I$119-2026,$H1030))&lt;=12*I$119-$E1030+12,MAX($G1030,12*I$119-$E1030+1,INDEX($C$65:$F$108,$D1030+I$119-2026,$H1030)),""))</f>
        <v/>
      </c>
      <c r="J1030" s="34" t="str">
        <f t="shared" si="172"/>
        <v/>
      </c>
      <c r="K1030" s="34" t="str">
        <f t="shared" si="172"/>
        <v/>
      </c>
      <c r="L1030" s="34" t="str">
        <f t="shared" si="172"/>
        <v/>
      </c>
      <c r="M1030" s="34" t="str">
        <f t="shared" si="172"/>
        <v/>
      </c>
      <c r="N1030" s="34">
        <f t="shared" si="172"/>
        <v>60</v>
      </c>
      <c r="O1030" s="34">
        <f t="shared" si="172"/>
        <v>62</v>
      </c>
      <c r="P1030" s="34">
        <f t="shared" si="172"/>
        <v>74</v>
      </c>
      <c r="Q1030" s="34">
        <f t="shared" si="172"/>
        <v>86</v>
      </c>
      <c r="R1030" s="34">
        <f t="shared" si="172"/>
        <v>98</v>
      </c>
      <c r="S1030" s="35">
        <f t="shared" si="170"/>
        <v>60</v>
      </c>
    </row>
    <row r="1031" spans="2:19" hidden="1" outlineLevel="1">
      <c r="B1031" s="14" t="s">
        <v>116</v>
      </c>
      <c r="C1031" s="15" t="s">
        <v>65</v>
      </c>
      <c r="D1031" s="52">
        <v>2034</v>
      </c>
      <c r="E1031" s="34">
        <v>12</v>
      </c>
      <c r="F1031" s="38">
        <f t="shared" si="167"/>
        <v>16548.326252741896</v>
      </c>
      <c r="G1031" s="34">
        <f t="shared" si="168"/>
        <v>9</v>
      </c>
      <c r="H1031" s="34">
        <f t="shared" si="169"/>
        <v>3</v>
      </c>
      <c r="I1031" s="34" t="str">
        <f t="shared" si="172"/>
        <v/>
      </c>
      <c r="J1031" s="34" t="str">
        <f t="shared" si="172"/>
        <v/>
      </c>
      <c r="K1031" s="34" t="str">
        <f t="shared" si="172"/>
        <v/>
      </c>
      <c r="L1031" s="34" t="str">
        <f t="shared" si="172"/>
        <v/>
      </c>
      <c r="M1031" s="34" t="str">
        <f t="shared" si="172"/>
        <v/>
      </c>
      <c r="N1031" s="34">
        <f t="shared" si="172"/>
        <v>60</v>
      </c>
      <c r="O1031" s="34">
        <f t="shared" si="172"/>
        <v>61</v>
      </c>
      <c r="P1031" s="34">
        <f t="shared" si="172"/>
        <v>73</v>
      </c>
      <c r="Q1031" s="34">
        <f t="shared" si="172"/>
        <v>85</v>
      </c>
      <c r="R1031" s="34">
        <f t="shared" si="172"/>
        <v>97</v>
      </c>
      <c r="S1031" s="35">
        <f t="shared" si="170"/>
        <v>60</v>
      </c>
    </row>
    <row r="1032" spans="2:19" hidden="1" outlineLevel="1">
      <c r="B1032" s="14" t="s">
        <v>116</v>
      </c>
      <c r="C1032" s="15" t="s">
        <v>65</v>
      </c>
      <c r="D1032" s="52">
        <v>2035</v>
      </c>
      <c r="E1032" s="34">
        <v>1</v>
      </c>
      <c r="F1032" s="38">
        <f t="shared" si="167"/>
        <v>16940.738303594007</v>
      </c>
      <c r="G1032" s="34">
        <f t="shared" si="168"/>
        <v>9</v>
      </c>
      <c r="H1032" s="34">
        <f t="shared" si="169"/>
        <v>3</v>
      </c>
      <c r="I1032" s="34" t="str">
        <f t="shared" si="172"/>
        <v/>
      </c>
      <c r="J1032" s="34" t="str">
        <f t="shared" si="172"/>
        <v/>
      </c>
      <c r="K1032" s="34" t="str">
        <f t="shared" si="172"/>
        <v/>
      </c>
      <c r="L1032" s="34" t="str">
        <f t="shared" si="172"/>
        <v/>
      </c>
      <c r="M1032" s="34" t="str">
        <f t="shared" si="172"/>
        <v/>
      </c>
      <c r="N1032" s="34">
        <f t="shared" si="172"/>
        <v>60</v>
      </c>
      <c r="O1032" s="34">
        <f t="shared" si="172"/>
        <v>72</v>
      </c>
      <c r="P1032" s="34">
        <f t="shared" si="172"/>
        <v>84</v>
      </c>
      <c r="Q1032" s="34">
        <f t="shared" si="172"/>
        <v>96</v>
      </c>
      <c r="R1032" s="34">
        <f t="shared" si="172"/>
        <v>108</v>
      </c>
      <c r="S1032" s="35">
        <f t="shared" si="170"/>
        <v>60</v>
      </c>
    </row>
    <row r="1033" spans="2:19" hidden="1" outlineLevel="1">
      <c r="B1033" s="14" t="s">
        <v>116</v>
      </c>
      <c r="C1033" s="15" t="s">
        <v>65</v>
      </c>
      <c r="D1033" s="52">
        <v>2035</v>
      </c>
      <c r="E1033" s="34">
        <v>2</v>
      </c>
      <c r="F1033" s="38">
        <f t="shared" si="167"/>
        <v>16940.738303594007</v>
      </c>
      <c r="G1033" s="34">
        <f t="shared" si="168"/>
        <v>9</v>
      </c>
      <c r="H1033" s="34">
        <f t="shared" si="169"/>
        <v>3</v>
      </c>
      <c r="I1033" s="34" t="str">
        <f t="shared" si="172"/>
        <v/>
      </c>
      <c r="J1033" s="34" t="str">
        <f t="shared" si="172"/>
        <v/>
      </c>
      <c r="K1033" s="34" t="str">
        <f t="shared" si="172"/>
        <v/>
      </c>
      <c r="L1033" s="34" t="str">
        <f t="shared" si="172"/>
        <v/>
      </c>
      <c r="M1033" s="34" t="str">
        <f t="shared" si="172"/>
        <v/>
      </c>
      <c r="N1033" s="34">
        <f t="shared" si="172"/>
        <v>60</v>
      </c>
      <c r="O1033" s="34">
        <f t="shared" si="172"/>
        <v>71</v>
      </c>
      <c r="P1033" s="34">
        <f t="shared" si="172"/>
        <v>83</v>
      </c>
      <c r="Q1033" s="34">
        <f t="shared" si="172"/>
        <v>95</v>
      </c>
      <c r="R1033" s="34">
        <f t="shared" si="172"/>
        <v>107</v>
      </c>
      <c r="S1033" s="35">
        <f t="shared" si="170"/>
        <v>60</v>
      </c>
    </row>
    <row r="1034" spans="2:19" hidden="1" outlineLevel="1">
      <c r="B1034" s="14" t="s">
        <v>116</v>
      </c>
      <c r="C1034" s="15" t="s">
        <v>65</v>
      </c>
      <c r="D1034" s="52">
        <v>2035</v>
      </c>
      <c r="E1034" s="34">
        <v>3</v>
      </c>
      <c r="F1034" s="38">
        <f t="shared" si="167"/>
        <v>16940.738303594007</v>
      </c>
      <c r="G1034" s="34">
        <f t="shared" si="168"/>
        <v>9</v>
      </c>
      <c r="H1034" s="34">
        <f t="shared" si="169"/>
        <v>3</v>
      </c>
      <c r="I1034" s="34" t="str">
        <f t="shared" si="172"/>
        <v/>
      </c>
      <c r="J1034" s="34" t="str">
        <f t="shared" si="172"/>
        <v/>
      </c>
      <c r="K1034" s="34" t="str">
        <f t="shared" si="172"/>
        <v/>
      </c>
      <c r="L1034" s="34" t="str">
        <f t="shared" si="172"/>
        <v/>
      </c>
      <c r="M1034" s="34" t="str">
        <f t="shared" si="172"/>
        <v/>
      </c>
      <c r="N1034" s="34">
        <f t="shared" si="172"/>
        <v>60</v>
      </c>
      <c r="O1034" s="34">
        <f t="shared" si="172"/>
        <v>70</v>
      </c>
      <c r="P1034" s="34">
        <f t="shared" si="172"/>
        <v>82</v>
      </c>
      <c r="Q1034" s="34">
        <f t="shared" si="172"/>
        <v>94</v>
      </c>
      <c r="R1034" s="34">
        <f t="shared" si="172"/>
        <v>106</v>
      </c>
      <c r="S1034" s="35">
        <f t="shared" si="170"/>
        <v>60</v>
      </c>
    </row>
    <row r="1035" spans="2:19" hidden="1" outlineLevel="1">
      <c r="B1035" s="14" t="s">
        <v>116</v>
      </c>
      <c r="C1035" s="15" t="s">
        <v>65</v>
      </c>
      <c r="D1035" s="52">
        <v>2035</v>
      </c>
      <c r="E1035" s="34">
        <v>4</v>
      </c>
      <c r="F1035" s="38">
        <f t="shared" si="167"/>
        <v>16940.738303594007</v>
      </c>
      <c r="G1035" s="34">
        <f t="shared" si="168"/>
        <v>9</v>
      </c>
      <c r="H1035" s="34">
        <f t="shared" si="169"/>
        <v>3</v>
      </c>
      <c r="I1035" s="34" t="str">
        <f t="shared" si="172"/>
        <v/>
      </c>
      <c r="J1035" s="34" t="str">
        <f t="shared" si="172"/>
        <v/>
      </c>
      <c r="K1035" s="34" t="str">
        <f t="shared" si="172"/>
        <v/>
      </c>
      <c r="L1035" s="34" t="str">
        <f t="shared" si="172"/>
        <v/>
      </c>
      <c r="M1035" s="34" t="str">
        <f t="shared" si="172"/>
        <v/>
      </c>
      <c r="N1035" s="34">
        <f t="shared" si="172"/>
        <v>60</v>
      </c>
      <c r="O1035" s="34">
        <f t="shared" si="172"/>
        <v>69</v>
      </c>
      <c r="P1035" s="34">
        <f t="shared" si="172"/>
        <v>81</v>
      </c>
      <c r="Q1035" s="34">
        <f t="shared" si="172"/>
        <v>93</v>
      </c>
      <c r="R1035" s="34">
        <f t="shared" si="172"/>
        <v>105</v>
      </c>
      <c r="S1035" s="35">
        <f t="shared" si="170"/>
        <v>60</v>
      </c>
    </row>
    <row r="1036" spans="2:19" hidden="1" outlineLevel="1">
      <c r="B1036" s="14" t="s">
        <v>116</v>
      </c>
      <c r="C1036" s="15" t="s">
        <v>65</v>
      </c>
      <c r="D1036" s="52">
        <v>2035</v>
      </c>
      <c r="E1036" s="34">
        <v>5</v>
      </c>
      <c r="F1036" s="38">
        <f t="shared" si="167"/>
        <v>16940.738303594007</v>
      </c>
      <c r="G1036" s="34">
        <f t="shared" si="168"/>
        <v>9</v>
      </c>
      <c r="H1036" s="34">
        <f t="shared" si="169"/>
        <v>3</v>
      </c>
      <c r="I1036" s="34" t="str">
        <f t="shared" si="172"/>
        <v/>
      </c>
      <c r="J1036" s="34" t="str">
        <f t="shared" si="172"/>
        <v/>
      </c>
      <c r="K1036" s="34" t="str">
        <f t="shared" si="172"/>
        <v/>
      </c>
      <c r="L1036" s="34" t="str">
        <f t="shared" si="172"/>
        <v/>
      </c>
      <c r="M1036" s="34" t="str">
        <f t="shared" si="172"/>
        <v/>
      </c>
      <c r="N1036" s="34">
        <f t="shared" si="172"/>
        <v>60</v>
      </c>
      <c r="O1036" s="34">
        <f t="shared" si="172"/>
        <v>68</v>
      </c>
      <c r="P1036" s="34">
        <f t="shared" si="172"/>
        <v>80</v>
      </c>
      <c r="Q1036" s="34">
        <f t="shared" si="172"/>
        <v>92</v>
      </c>
      <c r="R1036" s="34">
        <f t="shared" si="172"/>
        <v>104</v>
      </c>
      <c r="S1036" s="35">
        <f t="shared" si="170"/>
        <v>60</v>
      </c>
    </row>
    <row r="1037" spans="2:19" hidden="1" outlineLevel="1">
      <c r="B1037" s="14" t="s">
        <v>116</v>
      </c>
      <c r="C1037" s="15" t="s">
        <v>65</v>
      </c>
      <c r="D1037" s="52">
        <v>2035</v>
      </c>
      <c r="E1037" s="34">
        <v>6</v>
      </c>
      <c r="F1037" s="38">
        <f t="shared" si="167"/>
        <v>16940.738303594007</v>
      </c>
      <c r="G1037" s="34">
        <f t="shared" si="168"/>
        <v>9</v>
      </c>
      <c r="H1037" s="34">
        <f t="shared" si="169"/>
        <v>3</v>
      </c>
      <c r="I1037" s="34" t="str">
        <f t="shared" si="172"/>
        <v/>
      </c>
      <c r="J1037" s="34" t="str">
        <f t="shared" si="172"/>
        <v/>
      </c>
      <c r="K1037" s="34" t="str">
        <f t="shared" si="172"/>
        <v/>
      </c>
      <c r="L1037" s="34" t="str">
        <f t="shared" si="172"/>
        <v/>
      </c>
      <c r="M1037" s="34" t="str">
        <f t="shared" si="172"/>
        <v/>
      </c>
      <c r="N1037" s="34">
        <f t="shared" si="172"/>
        <v>60</v>
      </c>
      <c r="O1037" s="34">
        <f t="shared" si="172"/>
        <v>67</v>
      </c>
      <c r="P1037" s="34">
        <f t="shared" si="172"/>
        <v>79</v>
      </c>
      <c r="Q1037" s="34">
        <f t="shared" si="172"/>
        <v>91</v>
      </c>
      <c r="R1037" s="34">
        <f t="shared" si="172"/>
        <v>103</v>
      </c>
      <c r="S1037" s="35">
        <f t="shared" si="170"/>
        <v>60</v>
      </c>
    </row>
    <row r="1038" spans="2:19" hidden="1" outlineLevel="1">
      <c r="B1038" s="14" t="s">
        <v>116</v>
      </c>
      <c r="C1038" s="15" t="s">
        <v>65</v>
      </c>
      <c r="D1038" s="52">
        <v>2035</v>
      </c>
      <c r="E1038" s="34">
        <v>7</v>
      </c>
      <c r="F1038" s="38">
        <f t="shared" si="167"/>
        <v>16940.738303594007</v>
      </c>
      <c r="G1038" s="34">
        <f t="shared" si="168"/>
        <v>9</v>
      </c>
      <c r="H1038" s="34">
        <f t="shared" si="169"/>
        <v>3</v>
      </c>
      <c r="I1038" s="34" t="str">
        <f t="shared" si="172"/>
        <v/>
      </c>
      <c r="J1038" s="34" t="str">
        <f t="shared" si="172"/>
        <v/>
      </c>
      <c r="K1038" s="34" t="str">
        <f t="shared" si="172"/>
        <v/>
      </c>
      <c r="L1038" s="34" t="str">
        <f t="shared" si="172"/>
        <v/>
      </c>
      <c r="M1038" s="34" t="str">
        <f t="shared" si="172"/>
        <v/>
      </c>
      <c r="N1038" s="34">
        <f t="shared" si="172"/>
        <v>60</v>
      </c>
      <c r="O1038" s="34">
        <f t="shared" si="172"/>
        <v>66</v>
      </c>
      <c r="P1038" s="34">
        <f t="shared" si="172"/>
        <v>78</v>
      </c>
      <c r="Q1038" s="34">
        <f t="shared" si="172"/>
        <v>90</v>
      </c>
      <c r="R1038" s="34">
        <f t="shared" si="172"/>
        <v>102</v>
      </c>
      <c r="S1038" s="35">
        <f t="shared" si="170"/>
        <v>60</v>
      </c>
    </row>
    <row r="1039" spans="2:19" hidden="1" outlineLevel="1">
      <c r="B1039" s="14" t="s">
        <v>116</v>
      </c>
      <c r="C1039" s="15" t="s">
        <v>65</v>
      </c>
      <c r="D1039" s="52">
        <v>2035</v>
      </c>
      <c r="E1039" s="34">
        <v>8</v>
      </c>
      <c r="F1039" s="38">
        <f t="shared" si="167"/>
        <v>16940.738303594007</v>
      </c>
      <c r="G1039" s="34">
        <f t="shared" si="168"/>
        <v>9</v>
      </c>
      <c r="H1039" s="34">
        <f t="shared" si="169"/>
        <v>3</v>
      </c>
      <c r="I1039" s="34" t="str">
        <f t="shared" si="172"/>
        <v/>
      </c>
      <c r="J1039" s="34" t="str">
        <f t="shared" si="172"/>
        <v/>
      </c>
      <c r="K1039" s="34" t="str">
        <f t="shared" si="172"/>
        <v/>
      </c>
      <c r="L1039" s="34" t="str">
        <f t="shared" si="172"/>
        <v/>
      </c>
      <c r="M1039" s="34" t="str">
        <f t="shared" si="172"/>
        <v/>
      </c>
      <c r="N1039" s="34">
        <f t="shared" si="172"/>
        <v>60</v>
      </c>
      <c r="O1039" s="34">
        <f t="shared" si="172"/>
        <v>65</v>
      </c>
      <c r="P1039" s="34">
        <f t="shared" si="172"/>
        <v>77</v>
      </c>
      <c r="Q1039" s="34">
        <f t="shared" si="172"/>
        <v>89</v>
      </c>
      <c r="R1039" s="34">
        <f t="shared" si="172"/>
        <v>101</v>
      </c>
      <c r="S1039" s="35">
        <f t="shared" si="170"/>
        <v>60</v>
      </c>
    </row>
    <row r="1040" spans="2:19" hidden="1" outlineLevel="1">
      <c r="B1040" s="14" t="s">
        <v>116</v>
      </c>
      <c r="C1040" s="15" t="s">
        <v>65</v>
      </c>
      <c r="D1040" s="52">
        <v>2035</v>
      </c>
      <c r="E1040" s="34">
        <v>9</v>
      </c>
      <c r="F1040" s="38">
        <f t="shared" si="167"/>
        <v>16940.738303594007</v>
      </c>
      <c r="G1040" s="34">
        <f t="shared" si="168"/>
        <v>9</v>
      </c>
      <c r="H1040" s="34">
        <f t="shared" si="169"/>
        <v>3</v>
      </c>
      <c r="I1040" s="34" t="str">
        <f t="shared" ref="I1040:R1049" si="173">IF($D1040&lt;$Z$18,"",IF(MAX($G1040,INDEX($C$65:$F$108,$D1040+I$119-2026,$H1040))&lt;=12*I$119-$E1040+12,MAX($G1040,12*I$119-$E1040+1,INDEX($C$65:$F$108,$D1040+I$119-2026,$H1040)),""))</f>
        <v/>
      </c>
      <c r="J1040" s="34" t="str">
        <f t="shared" si="173"/>
        <v/>
      </c>
      <c r="K1040" s="34" t="str">
        <f t="shared" si="173"/>
        <v/>
      </c>
      <c r="L1040" s="34" t="str">
        <f t="shared" si="173"/>
        <v/>
      </c>
      <c r="M1040" s="34" t="str">
        <f t="shared" si="173"/>
        <v/>
      </c>
      <c r="N1040" s="34">
        <f t="shared" si="173"/>
        <v>60</v>
      </c>
      <c r="O1040" s="34">
        <f t="shared" si="173"/>
        <v>64</v>
      </c>
      <c r="P1040" s="34">
        <f t="shared" si="173"/>
        <v>76</v>
      </c>
      <c r="Q1040" s="34">
        <f t="shared" si="173"/>
        <v>88</v>
      </c>
      <c r="R1040" s="34">
        <f t="shared" si="173"/>
        <v>100</v>
      </c>
      <c r="S1040" s="35">
        <f t="shared" si="170"/>
        <v>60</v>
      </c>
    </row>
    <row r="1041" spans="2:19" hidden="1" outlineLevel="1">
      <c r="B1041" s="14" t="s">
        <v>116</v>
      </c>
      <c r="C1041" s="15" t="s">
        <v>65</v>
      </c>
      <c r="D1041" s="52">
        <v>2035</v>
      </c>
      <c r="E1041" s="34">
        <v>10</v>
      </c>
      <c r="F1041" s="38">
        <f t="shared" si="167"/>
        <v>16940.738303594007</v>
      </c>
      <c r="G1041" s="34">
        <f t="shared" si="168"/>
        <v>9</v>
      </c>
      <c r="H1041" s="34">
        <f t="shared" si="169"/>
        <v>3</v>
      </c>
      <c r="I1041" s="34" t="str">
        <f t="shared" si="173"/>
        <v/>
      </c>
      <c r="J1041" s="34" t="str">
        <f t="shared" si="173"/>
        <v/>
      </c>
      <c r="K1041" s="34" t="str">
        <f t="shared" si="173"/>
        <v/>
      </c>
      <c r="L1041" s="34" t="str">
        <f t="shared" si="173"/>
        <v/>
      </c>
      <c r="M1041" s="34" t="str">
        <f t="shared" si="173"/>
        <v/>
      </c>
      <c r="N1041" s="34">
        <f t="shared" si="173"/>
        <v>60</v>
      </c>
      <c r="O1041" s="34">
        <f t="shared" si="173"/>
        <v>63</v>
      </c>
      <c r="P1041" s="34">
        <f t="shared" si="173"/>
        <v>75</v>
      </c>
      <c r="Q1041" s="34">
        <f t="shared" si="173"/>
        <v>87</v>
      </c>
      <c r="R1041" s="34">
        <f t="shared" si="173"/>
        <v>99</v>
      </c>
      <c r="S1041" s="35">
        <f t="shared" si="170"/>
        <v>60</v>
      </c>
    </row>
    <row r="1042" spans="2:19" hidden="1" outlineLevel="1">
      <c r="B1042" s="14" t="s">
        <v>116</v>
      </c>
      <c r="C1042" s="15" t="s">
        <v>65</v>
      </c>
      <c r="D1042" s="52">
        <v>2035</v>
      </c>
      <c r="E1042" s="34">
        <v>11</v>
      </c>
      <c r="F1042" s="38">
        <f t="shared" si="167"/>
        <v>16940.738303594007</v>
      </c>
      <c r="G1042" s="34">
        <f t="shared" si="168"/>
        <v>9</v>
      </c>
      <c r="H1042" s="34">
        <f t="shared" si="169"/>
        <v>3</v>
      </c>
      <c r="I1042" s="34" t="str">
        <f t="shared" si="173"/>
        <v/>
      </c>
      <c r="J1042" s="34" t="str">
        <f t="shared" si="173"/>
        <v/>
      </c>
      <c r="K1042" s="34" t="str">
        <f t="shared" si="173"/>
        <v/>
      </c>
      <c r="L1042" s="34" t="str">
        <f t="shared" si="173"/>
        <v/>
      </c>
      <c r="M1042" s="34" t="str">
        <f t="shared" si="173"/>
        <v/>
      </c>
      <c r="N1042" s="34">
        <f t="shared" si="173"/>
        <v>60</v>
      </c>
      <c r="O1042" s="34">
        <f t="shared" si="173"/>
        <v>62</v>
      </c>
      <c r="P1042" s="34">
        <f t="shared" si="173"/>
        <v>74</v>
      </c>
      <c r="Q1042" s="34">
        <f t="shared" si="173"/>
        <v>86</v>
      </c>
      <c r="R1042" s="34">
        <f t="shared" si="173"/>
        <v>98</v>
      </c>
      <c r="S1042" s="35">
        <f t="shared" si="170"/>
        <v>60</v>
      </c>
    </row>
    <row r="1043" spans="2:19" hidden="1" outlineLevel="1">
      <c r="B1043" s="14" t="s">
        <v>116</v>
      </c>
      <c r="C1043" s="15" t="s">
        <v>65</v>
      </c>
      <c r="D1043" s="52">
        <v>2035</v>
      </c>
      <c r="E1043" s="34">
        <v>12</v>
      </c>
      <c r="F1043" s="38">
        <f t="shared" si="167"/>
        <v>16940.738303594007</v>
      </c>
      <c r="G1043" s="34">
        <f t="shared" si="168"/>
        <v>9</v>
      </c>
      <c r="H1043" s="34">
        <f t="shared" si="169"/>
        <v>3</v>
      </c>
      <c r="I1043" s="34" t="str">
        <f t="shared" si="173"/>
        <v/>
      </c>
      <c r="J1043" s="34" t="str">
        <f t="shared" si="173"/>
        <v/>
      </c>
      <c r="K1043" s="34" t="str">
        <f t="shared" si="173"/>
        <v/>
      </c>
      <c r="L1043" s="34" t="str">
        <f t="shared" si="173"/>
        <v/>
      </c>
      <c r="M1043" s="34" t="str">
        <f t="shared" si="173"/>
        <v/>
      </c>
      <c r="N1043" s="34">
        <f t="shared" si="173"/>
        <v>60</v>
      </c>
      <c r="O1043" s="34">
        <f t="shared" si="173"/>
        <v>61</v>
      </c>
      <c r="P1043" s="34">
        <f t="shared" si="173"/>
        <v>73</v>
      </c>
      <c r="Q1043" s="34">
        <f t="shared" si="173"/>
        <v>85</v>
      </c>
      <c r="R1043" s="34">
        <f t="shared" si="173"/>
        <v>97</v>
      </c>
      <c r="S1043" s="35">
        <f t="shared" si="170"/>
        <v>60</v>
      </c>
    </row>
    <row r="1044" spans="2:19" hidden="1" outlineLevel="1">
      <c r="B1044" s="14" t="s">
        <v>116</v>
      </c>
      <c r="C1044" s="15" t="s">
        <v>65</v>
      </c>
      <c r="D1044" s="52">
        <v>2036</v>
      </c>
      <c r="E1044" s="34">
        <v>1</v>
      </c>
      <c r="F1044" s="38">
        <f t="shared" si="167"/>
        <v>17467.951237636913</v>
      </c>
      <c r="G1044" s="34">
        <f t="shared" si="168"/>
        <v>9</v>
      </c>
      <c r="H1044" s="34">
        <f t="shared" si="169"/>
        <v>3</v>
      </c>
      <c r="I1044" s="34" t="str">
        <f t="shared" si="173"/>
        <v/>
      </c>
      <c r="J1044" s="34" t="str">
        <f t="shared" si="173"/>
        <v/>
      </c>
      <c r="K1044" s="34" t="str">
        <f t="shared" si="173"/>
        <v/>
      </c>
      <c r="L1044" s="34" t="str">
        <f t="shared" si="173"/>
        <v/>
      </c>
      <c r="M1044" s="34" t="str">
        <f t="shared" si="173"/>
        <v/>
      </c>
      <c r="N1044" s="34">
        <f t="shared" si="173"/>
        <v>60</v>
      </c>
      <c r="O1044" s="34">
        <f t="shared" si="173"/>
        <v>72</v>
      </c>
      <c r="P1044" s="34">
        <f t="shared" si="173"/>
        <v>84</v>
      </c>
      <c r="Q1044" s="34">
        <f t="shared" si="173"/>
        <v>96</v>
      </c>
      <c r="R1044" s="34">
        <f t="shared" si="173"/>
        <v>108</v>
      </c>
      <c r="S1044" s="35">
        <f t="shared" si="170"/>
        <v>60</v>
      </c>
    </row>
    <row r="1045" spans="2:19" hidden="1" outlineLevel="1">
      <c r="B1045" s="14" t="s">
        <v>116</v>
      </c>
      <c r="C1045" s="15" t="s">
        <v>65</v>
      </c>
      <c r="D1045" s="52">
        <v>2036</v>
      </c>
      <c r="E1045" s="34">
        <v>2</v>
      </c>
      <c r="F1045" s="38">
        <f t="shared" si="167"/>
        <v>17467.951237636913</v>
      </c>
      <c r="G1045" s="34">
        <f t="shared" si="168"/>
        <v>9</v>
      </c>
      <c r="H1045" s="34">
        <f t="shared" si="169"/>
        <v>3</v>
      </c>
      <c r="I1045" s="34" t="str">
        <f t="shared" si="173"/>
        <v/>
      </c>
      <c r="J1045" s="34" t="str">
        <f t="shared" si="173"/>
        <v/>
      </c>
      <c r="K1045" s="34" t="str">
        <f t="shared" si="173"/>
        <v/>
      </c>
      <c r="L1045" s="34" t="str">
        <f t="shared" si="173"/>
        <v/>
      </c>
      <c r="M1045" s="34" t="str">
        <f t="shared" si="173"/>
        <v/>
      </c>
      <c r="N1045" s="34">
        <f t="shared" si="173"/>
        <v>60</v>
      </c>
      <c r="O1045" s="34">
        <f t="shared" si="173"/>
        <v>71</v>
      </c>
      <c r="P1045" s="34">
        <f t="shared" si="173"/>
        <v>83</v>
      </c>
      <c r="Q1045" s="34">
        <f t="shared" si="173"/>
        <v>95</v>
      </c>
      <c r="R1045" s="34">
        <f t="shared" si="173"/>
        <v>107</v>
      </c>
      <c r="S1045" s="35">
        <f t="shared" si="170"/>
        <v>60</v>
      </c>
    </row>
    <row r="1046" spans="2:19" hidden="1" outlineLevel="1">
      <c r="B1046" s="14" t="s">
        <v>116</v>
      </c>
      <c r="C1046" s="15" t="s">
        <v>65</v>
      </c>
      <c r="D1046" s="52">
        <v>2036</v>
      </c>
      <c r="E1046" s="34">
        <v>3</v>
      </c>
      <c r="F1046" s="38">
        <f t="shared" si="167"/>
        <v>17467.951237636913</v>
      </c>
      <c r="G1046" s="34">
        <f t="shared" si="168"/>
        <v>9</v>
      </c>
      <c r="H1046" s="34">
        <f t="shared" si="169"/>
        <v>3</v>
      </c>
      <c r="I1046" s="34" t="str">
        <f t="shared" si="173"/>
        <v/>
      </c>
      <c r="J1046" s="34" t="str">
        <f t="shared" si="173"/>
        <v/>
      </c>
      <c r="K1046" s="34" t="str">
        <f t="shared" si="173"/>
        <v/>
      </c>
      <c r="L1046" s="34" t="str">
        <f t="shared" si="173"/>
        <v/>
      </c>
      <c r="M1046" s="34" t="str">
        <f t="shared" si="173"/>
        <v/>
      </c>
      <c r="N1046" s="34">
        <f t="shared" si="173"/>
        <v>60</v>
      </c>
      <c r="O1046" s="34">
        <f t="shared" si="173"/>
        <v>70</v>
      </c>
      <c r="P1046" s="34">
        <f t="shared" si="173"/>
        <v>82</v>
      </c>
      <c r="Q1046" s="34">
        <f t="shared" si="173"/>
        <v>94</v>
      </c>
      <c r="R1046" s="34">
        <f t="shared" si="173"/>
        <v>106</v>
      </c>
      <c r="S1046" s="35">
        <f t="shared" si="170"/>
        <v>60</v>
      </c>
    </row>
    <row r="1047" spans="2:19" hidden="1" outlineLevel="1">
      <c r="B1047" s="14" t="s">
        <v>116</v>
      </c>
      <c r="C1047" s="15" t="s">
        <v>65</v>
      </c>
      <c r="D1047" s="52">
        <v>2036</v>
      </c>
      <c r="E1047" s="34">
        <v>4</v>
      </c>
      <c r="F1047" s="38">
        <f t="shared" si="167"/>
        <v>17467.951237636913</v>
      </c>
      <c r="G1047" s="34">
        <f t="shared" si="168"/>
        <v>9</v>
      </c>
      <c r="H1047" s="34">
        <f t="shared" si="169"/>
        <v>3</v>
      </c>
      <c r="I1047" s="34" t="str">
        <f t="shared" si="173"/>
        <v/>
      </c>
      <c r="J1047" s="34" t="str">
        <f t="shared" si="173"/>
        <v/>
      </c>
      <c r="K1047" s="34" t="str">
        <f t="shared" si="173"/>
        <v/>
      </c>
      <c r="L1047" s="34" t="str">
        <f t="shared" si="173"/>
        <v/>
      </c>
      <c r="M1047" s="34" t="str">
        <f t="shared" si="173"/>
        <v/>
      </c>
      <c r="N1047" s="34">
        <f t="shared" si="173"/>
        <v>60</v>
      </c>
      <c r="O1047" s="34">
        <f t="shared" si="173"/>
        <v>69</v>
      </c>
      <c r="P1047" s="34">
        <f t="shared" si="173"/>
        <v>81</v>
      </c>
      <c r="Q1047" s="34">
        <f t="shared" si="173"/>
        <v>93</v>
      </c>
      <c r="R1047" s="34">
        <f t="shared" si="173"/>
        <v>105</v>
      </c>
      <c r="S1047" s="35">
        <f t="shared" si="170"/>
        <v>60</v>
      </c>
    </row>
    <row r="1048" spans="2:19" hidden="1" outlineLevel="1">
      <c r="B1048" s="14" t="s">
        <v>116</v>
      </c>
      <c r="C1048" s="15" t="s">
        <v>65</v>
      </c>
      <c r="D1048" s="52">
        <v>2036</v>
      </c>
      <c r="E1048" s="34">
        <v>5</v>
      </c>
      <c r="F1048" s="38">
        <f t="shared" si="167"/>
        <v>17467.951237636913</v>
      </c>
      <c r="G1048" s="34">
        <f t="shared" si="168"/>
        <v>9</v>
      </c>
      <c r="H1048" s="34">
        <f t="shared" si="169"/>
        <v>3</v>
      </c>
      <c r="I1048" s="34" t="str">
        <f t="shared" si="173"/>
        <v/>
      </c>
      <c r="J1048" s="34" t="str">
        <f t="shared" si="173"/>
        <v/>
      </c>
      <c r="K1048" s="34" t="str">
        <f t="shared" si="173"/>
        <v/>
      </c>
      <c r="L1048" s="34" t="str">
        <f t="shared" si="173"/>
        <v/>
      </c>
      <c r="M1048" s="34" t="str">
        <f t="shared" si="173"/>
        <v/>
      </c>
      <c r="N1048" s="34">
        <f t="shared" si="173"/>
        <v>60</v>
      </c>
      <c r="O1048" s="34">
        <f t="shared" si="173"/>
        <v>68</v>
      </c>
      <c r="P1048" s="34">
        <f t="shared" si="173"/>
        <v>80</v>
      </c>
      <c r="Q1048" s="34">
        <f t="shared" si="173"/>
        <v>92</v>
      </c>
      <c r="R1048" s="34">
        <f t="shared" si="173"/>
        <v>104</v>
      </c>
      <c r="S1048" s="35">
        <f t="shared" si="170"/>
        <v>60</v>
      </c>
    </row>
    <row r="1049" spans="2:19" hidden="1" outlineLevel="1">
      <c r="B1049" s="14" t="s">
        <v>116</v>
      </c>
      <c r="C1049" s="15" t="s">
        <v>65</v>
      </c>
      <c r="D1049" s="52">
        <v>2036</v>
      </c>
      <c r="E1049" s="34">
        <v>6</v>
      </c>
      <c r="F1049" s="38">
        <f t="shared" si="167"/>
        <v>17467.951237636913</v>
      </c>
      <c r="G1049" s="34">
        <f t="shared" si="168"/>
        <v>9</v>
      </c>
      <c r="H1049" s="34">
        <f t="shared" si="169"/>
        <v>3</v>
      </c>
      <c r="I1049" s="34" t="str">
        <f t="shared" si="173"/>
        <v/>
      </c>
      <c r="J1049" s="34" t="str">
        <f t="shared" si="173"/>
        <v/>
      </c>
      <c r="K1049" s="34" t="str">
        <f t="shared" si="173"/>
        <v/>
      </c>
      <c r="L1049" s="34" t="str">
        <f t="shared" si="173"/>
        <v/>
      </c>
      <c r="M1049" s="34" t="str">
        <f t="shared" si="173"/>
        <v/>
      </c>
      <c r="N1049" s="34">
        <f t="shared" si="173"/>
        <v>60</v>
      </c>
      <c r="O1049" s="34">
        <f t="shared" si="173"/>
        <v>67</v>
      </c>
      <c r="P1049" s="34">
        <f t="shared" si="173"/>
        <v>79</v>
      </c>
      <c r="Q1049" s="34">
        <f t="shared" si="173"/>
        <v>91</v>
      </c>
      <c r="R1049" s="34">
        <f t="shared" si="173"/>
        <v>103</v>
      </c>
      <c r="S1049" s="35">
        <f t="shared" si="170"/>
        <v>60</v>
      </c>
    </row>
    <row r="1050" spans="2:19" hidden="1" outlineLevel="1">
      <c r="B1050" s="14" t="s">
        <v>116</v>
      </c>
      <c r="C1050" s="15" t="s">
        <v>65</v>
      </c>
      <c r="D1050" s="52">
        <v>2036</v>
      </c>
      <c r="E1050" s="34">
        <v>7</v>
      </c>
      <c r="F1050" s="38">
        <f t="shared" si="167"/>
        <v>17467.951237636913</v>
      </c>
      <c r="G1050" s="34">
        <f t="shared" si="168"/>
        <v>9</v>
      </c>
      <c r="H1050" s="34">
        <f t="shared" si="169"/>
        <v>3</v>
      </c>
      <c r="I1050" s="34" t="str">
        <f t="shared" ref="I1050:R1059" si="174">IF($D1050&lt;$Z$18,"",IF(MAX($G1050,INDEX($C$65:$F$108,$D1050+I$119-2026,$H1050))&lt;=12*I$119-$E1050+12,MAX($G1050,12*I$119-$E1050+1,INDEX($C$65:$F$108,$D1050+I$119-2026,$H1050)),""))</f>
        <v/>
      </c>
      <c r="J1050" s="34" t="str">
        <f t="shared" si="174"/>
        <v/>
      </c>
      <c r="K1050" s="34" t="str">
        <f t="shared" si="174"/>
        <v/>
      </c>
      <c r="L1050" s="34" t="str">
        <f t="shared" si="174"/>
        <v/>
      </c>
      <c r="M1050" s="34" t="str">
        <f t="shared" si="174"/>
        <v/>
      </c>
      <c r="N1050" s="34">
        <f t="shared" si="174"/>
        <v>60</v>
      </c>
      <c r="O1050" s="34">
        <f t="shared" si="174"/>
        <v>66</v>
      </c>
      <c r="P1050" s="34">
        <f t="shared" si="174"/>
        <v>78</v>
      </c>
      <c r="Q1050" s="34">
        <f t="shared" si="174"/>
        <v>90</v>
      </c>
      <c r="R1050" s="34">
        <f t="shared" si="174"/>
        <v>102</v>
      </c>
      <c r="S1050" s="35">
        <f t="shared" si="170"/>
        <v>60</v>
      </c>
    </row>
    <row r="1051" spans="2:19" hidden="1" outlineLevel="1">
      <c r="B1051" s="14" t="s">
        <v>116</v>
      </c>
      <c r="C1051" s="15" t="s">
        <v>65</v>
      </c>
      <c r="D1051" s="52">
        <v>2036</v>
      </c>
      <c r="E1051" s="34">
        <v>8</v>
      </c>
      <c r="F1051" s="38">
        <f t="shared" si="167"/>
        <v>17467.951237636913</v>
      </c>
      <c r="G1051" s="34">
        <f t="shared" si="168"/>
        <v>9</v>
      </c>
      <c r="H1051" s="34">
        <f t="shared" si="169"/>
        <v>3</v>
      </c>
      <c r="I1051" s="34" t="str">
        <f t="shared" si="174"/>
        <v/>
      </c>
      <c r="J1051" s="34" t="str">
        <f t="shared" si="174"/>
        <v/>
      </c>
      <c r="K1051" s="34" t="str">
        <f t="shared" si="174"/>
        <v/>
      </c>
      <c r="L1051" s="34" t="str">
        <f t="shared" si="174"/>
        <v/>
      </c>
      <c r="M1051" s="34" t="str">
        <f t="shared" si="174"/>
        <v/>
      </c>
      <c r="N1051" s="34">
        <f t="shared" si="174"/>
        <v>60</v>
      </c>
      <c r="O1051" s="34">
        <f t="shared" si="174"/>
        <v>65</v>
      </c>
      <c r="P1051" s="34">
        <f t="shared" si="174"/>
        <v>77</v>
      </c>
      <c r="Q1051" s="34">
        <f t="shared" si="174"/>
        <v>89</v>
      </c>
      <c r="R1051" s="34">
        <f t="shared" si="174"/>
        <v>101</v>
      </c>
      <c r="S1051" s="35">
        <f t="shared" si="170"/>
        <v>60</v>
      </c>
    </row>
    <row r="1052" spans="2:19" hidden="1" outlineLevel="1">
      <c r="B1052" s="14" t="s">
        <v>116</v>
      </c>
      <c r="C1052" s="15" t="s">
        <v>65</v>
      </c>
      <c r="D1052" s="52">
        <v>2036</v>
      </c>
      <c r="E1052" s="34">
        <v>9</v>
      </c>
      <c r="F1052" s="38">
        <f t="shared" si="167"/>
        <v>17467.951237636913</v>
      </c>
      <c r="G1052" s="34">
        <f t="shared" si="168"/>
        <v>9</v>
      </c>
      <c r="H1052" s="34">
        <f t="shared" si="169"/>
        <v>3</v>
      </c>
      <c r="I1052" s="34" t="str">
        <f t="shared" si="174"/>
        <v/>
      </c>
      <c r="J1052" s="34" t="str">
        <f t="shared" si="174"/>
        <v/>
      </c>
      <c r="K1052" s="34" t="str">
        <f t="shared" si="174"/>
        <v/>
      </c>
      <c r="L1052" s="34" t="str">
        <f t="shared" si="174"/>
        <v/>
      </c>
      <c r="M1052" s="34" t="str">
        <f t="shared" si="174"/>
        <v/>
      </c>
      <c r="N1052" s="34">
        <f t="shared" si="174"/>
        <v>60</v>
      </c>
      <c r="O1052" s="34">
        <f t="shared" si="174"/>
        <v>64</v>
      </c>
      <c r="P1052" s="34">
        <f t="shared" si="174"/>
        <v>76</v>
      </c>
      <c r="Q1052" s="34">
        <f t="shared" si="174"/>
        <v>88</v>
      </c>
      <c r="R1052" s="34">
        <f t="shared" si="174"/>
        <v>100</v>
      </c>
      <c r="S1052" s="35">
        <f t="shared" si="170"/>
        <v>60</v>
      </c>
    </row>
    <row r="1053" spans="2:19" hidden="1" outlineLevel="1">
      <c r="B1053" s="14" t="s">
        <v>116</v>
      </c>
      <c r="C1053" s="15" t="s">
        <v>65</v>
      </c>
      <c r="D1053" s="52">
        <v>2036</v>
      </c>
      <c r="E1053" s="34">
        <v>10</v>
      </c>
      <c r="F1053" s="38">
        <f t="shared" si="167"/>
        <v>17467.951237636913</v>
      </c>
      <c r="G1053" s="34">
        <f t="shared" si="168"/>
        <v>9</v>
      </c>
      <c r="H1053" s="34">
        <f t="shared" si="169"/>
        <v>3</v>
      </c>
      <c r="I1053" s="34" t="str">
        <f t="shared" si="174"/>
        <v/>
      </c>
      <c r="J1053" s="34" t="str">
        <f t="shared" si="174"/>
        <v/>
      </c>
      <c r="K1053" s="34" t="str">
        <f t="shared" si="174"/>
        <v/>
      </c>
      <c r="L1053" s="34" t="str">
        <f t="shared" si="174"/>
        <v/>
      </c>
      <c r="M1053" s="34" t="str">
        <f t="shared" si="174"/>
        <v/>
      </c>
      <c r="N1053" s="34">
        <f t="shared" si="174"/>
        <v>60</v>
      </c>
      <c r="O1053" s="34">
        <f t="shared" si="174"/>
        <v>63</v>
      </c>
      <c r="P1053" s="34">
        <f t="shared" si="174"/>
        <v>75</v>
      </c>
      <c r="Q1053" s="34">
        <f t="shared" si="174"/>
        <v>87</v>
      </c>
      <c r="R1053" s="34">
        <f t="shared" si="174"/>
        <v>99</v>
      </c>
      <c r="S1053" s="35">
        <f t="shared" si="170"/>
        <v>60</v>
      </c>
    </row>
    <row r="1054" spans="2:19" hidden="1" outlineLevel="1">
      <c r="B1054" s="14" t="s">
        <v>116</v>
      </c>
      <c r="C1054" s="15" t="s">
        <v>65</v>
      </c>
      <c r="D1054" s="52">
        <v>2036</v>
      </c>
      <c r="E1054" s="34">
        <v>11</v>
      </c>
      <c r="F1054" s="38">
        <f t="shared" si="167"/>
        <v>17467.951237636913</v>
      </c>
      <c r="G1054" s="34">
        <f t="shared" si="168"/>
        <v>9</v>
      </c>
      <c r="H1054" s="34">
        <f t="shared" si="169"/>
        <v>3</v>
      </c>
      <c r="I1054" s="34" t="str">
        <f t="shared" si="174"/>
        <v/>
      </c>
      <c r="J1054" s="34" t="str">
        <f t="shared" si="174"/>
        <v/>
      </c>
      <c r="K1054" s="34" t="str">
        <f t="shared" si="174"/>
        <v/>
      </c>
      <c r="L1054" s="34" t="str">
        <f t="shared" si="174"/>
        <v/>
      </c>
      <c r="M1054" s="34" t="str">
        <f t="shared" si="174"/>
        <v/>
      </c>
      <c r="N1054" s="34">
        <f t="shared" si="174"/>
        <v>60</v>
      </c>
      <c r="O1054" s="34">
        <f t="shared" si="174"/>
        <v>62</v>
      </c>
      <c r="P1054" s="34">
        <f t="shared" si="174"/>
        <v>74</v>
      </c>
      <c r="Q1054" s="34">
        <f t="shared" si="174"/>
        <v>86</v>
      </c>
      <c r="R1054" s="34">
        <f t="shared" si="174"/>
        <v>98</v>
      </c>
      <c r="S1054" s="35">
        <f t="shared" si="170"/>
        <v>60</v>
      </c>
    </row>
    <row r="1055" spans="2:19" hidden="1" outlineLevel="1">
      <c r="B1055" s="14" t="s">
        <v>116</v>
      </c>
      <c r="C1055" s="15" t="s">
        <v>65</v>
      </c>
      <c r="D1055" s="52">
        <v>2036</v>
      </c>
      <c r="E1055" s="34">
        <v>12</v>
      </c>
      <c r="F1055" s="38">
        <f t="shared" si="167"/>
        <v>17467.951237636913</v>
      </c>
      <c r="G1055" s="34">
        <f t="shared" si="168"/>
        <v>9</v>
      </c>
      <c r="H1055" s="34">
        <f t="shared" si="169"/>
        <v>3</v>
      </c>
      <c r="I1055" s="34" t="str">
        <f t="shared" si="174"/>
        <v/>
      </c>
      <c r="J1055" s="34" t="str">
        <f t="shared" si="174"/>
        <v/>
      </c>
      <c r="K1055" s="34" t="str">
        <f t="shared" si="174"/>
        <v/>
      </c>
      <c r="L1055" s="34" t="str">
        <f t="shared" si="174"/>
        <v/>
      </c>
      <c r="M1055" s="34" t="str">
        <f t="shared" si="174"/>
        <v/>
      </c>
      <c r="N1055" s="34">
        <f t="shared" si="174"/>
        <v>60</v>
      </c>
      <c r="O1055" s="34">
        <f t="shared" si="174"/>
        <v>61</v>
      </c>
      <c r="P1055" s="34">
        <f t="shared" si="174"/>
        <v>73</v>
      </c>
      <c r="Q1055" s="34">
        <f t="shared" si="174"/>
        <v>85</v>
      </c>
      <c r="R1055" s="34">
        <f t="shared" si="174"/>
        <v>97</v>
      </c>
      <c r="S1055" s="35">
        <f t="shared" si="170"/>
        <v>60</v>
      </c>
    </row>
    <row r="1056" spans="2:19" hidden="1" outlineLevel="1">
      <c r="B1056" s="14" t="s">
        <v>116</v>
      </c>
      <c r="C1056" s="15" t="s">
        <v>65</v>
      </c>
      <c r="D1056" s="52">
        <v>2037</v>
      </c>
      <c r="E1056" s="34">
        <v>1</v>
      </c>
      <c r="F1056" s="38">
        <f t="shared" si="167"/>
        <v>18077.646214087723</v>
      </c>
      <c r="G1056" s="34">
        <f t="shared" si="168"/>
        <v>9</v>
      </c>
      <c r="H1056" s="34">
        <f t="shared" si="169"/>
        <v>3</v>
      </c>
      <c r="I1056" s="34" t="str">
        <f t="shared" si="174"/>
        <v/>
      </c>
      <c r="J1056" s="34" t="str">
        <f t="shared" si="174"/>
        <v/>
      </c>
      <c r="K1056" s="34" t="str">
        <f t="shared" si="174"/>
        <v/>
      </c>
      <c r="L1056" s="34" t="str">
        <f t="shared" si="174"/>
        <v/>
      </c>
      <c r="M1056" s="34" t="str">
        <f t="shared" si="174"/>
        <v/>
      </c>
      <c r="N1056" s="34">
        <f t="shared" si="174"/>
        <v>60</v>
      </c>
      <c r="O1056" s="34">
        <f t="shared" si="174"/>
        <v>72</v>
      </c>
      <c r="P1056" s="34">
        <f t="shared" si="174"/>
        <v>84</v>
      </c>
      <c r="Q1056" s="34">
        <f t="shared" si="174"/>
        <v>96</v>
      </c>
      <c r="R1056" s="34">
        <f t="shared" si="174"/>
        <v>108</v>
      </c>
      <c r="S1056" s="35">
        <f t="shared" si="170"/>
        <v>60</v>
      </c>
    </row>
    <row r="1057" spans="2:19" hidden="1" outlineLevel="1">
      <c r="B1057" s="14" t="s">
        <v>116</v>
      </c>
      <c r="C1057" s="15" t="s">
        <v>65</v>
      </c>
      <c r="D1057" s="52">
        <v>2037</v>
      </c>
      <c r="E1057" s="34">
        <v>2</v>
      </c>
      <c r="F1057" s="38">
        <f t="shared" si="167"/>
        <v>18077.646214087723</v>
      </c>
      <c r="G1057" s="34">
        <f t="shared" si="168"/>
        <v>9</v>
      </c>
      <c r="H1057" s="34">
        <f t="shared" si="169"/>
        <v>3</v>
      </c>
      <c r="I1057" s="34" t="str">
        <f t="shared" si="174"/>
        <v/>
      </c>
      <c r="J1057" s="34" t="str">
        <f t="shared" si="174"/>
        <v/>
      </c>
      <c r="K1057" s="34" t="str">
        <f t="shared" si="174"/>
        <v/>
      </c>
      <c r="L1057" s="34" t="str">
        <f t="shared" si="174"/>
        <v/>
      </c>
      <c r="M1057" s="34" t="str">
        <f t="shared" si="174"/>
        <v/>
      </c>
      <c r="N1057" s="34">
        <f t="shared" si="174"/>
        <v>60</v>
      </c>
      <c r="O1057" s="34">
        <f t="shared" si="174"/>
        <v>71</v>
      </c>
      <c r="P1057" s="34">
        <f t="shared" si="174"/>
        <v>83</v>
      </c>
      <c r="Q1057" s="34">
        <f t="shared" si="174"/>
        <v>95</v>
      </c>
      <c r="R1057" s="34">
        <f t="shared" si="174"/>
        <v>107</v>
      </c>
      <c r="S1057" s="35">
        <f t="shared" si="170"/>
        <v>60</v>
      </c>
    </row>
    <row r="1058" spans="2:19" hidden="1" outlineLevel="1">
      <c r="B1058" s="14" t="s">
        <v>116</v>
      </c>
      <c r="C1058" s="15" t="s">
        <v>65</v>
      </c>
      <c r="D1058" s="52">
        <v>2037</v>
      </c>
      <c r="E1058" s="34">
        <v>3</v>
      </c>
      <c r="F1058" s="38">
        <f t="shared" si="167"/>
        <v>18077.646214087723</v>
      </c>
      <c r="G1058" s="34">
        <f t="shared" si="168"/>
        <v>9</v>
      </c>
      <c r="H1058" s="34">
        <f t="shared" si="169"/>
        <v>3</v>
      </c>
      <c r="I1058" s="34" t="str">
        <f t="shared" si="174"/>
        <v/>
      </c>
      <c r="J1058" s="34" t="str">
        <f t="shared" si="174"/>
        <v/>
      </c>
      <c r="K1058" s="34" t="str">
        <f t="shared" si="174"/>
        <v/>
      </c>
      <c r="L1058" s="34" t="str">
        <f t="shared" si="174"/>
        <v/>
      </c>
      <c r="M1058" s="34" t="str">
        <f t="shared" si="174"/>
        <v/>
      </c>
      <c r="N1058" s="34">
        <f t="shared" si="174"/>
        <v>60</v>
      </c>
      <c r="O1058" s="34">
        <f t="shared" si="174"/>
        <v>70</v>
      </c>
      <c r="P1058" s="34">
        <f t="shared" si="174"/>
        <v>82</v>
      </c>
      <c r="Q1058" s="34">
        <f t="shared" si="174"/>
        <v>94</v>
      </c>
      <c r="R1058" s="34">
        <f t="shared" si="174"/>
        <v>106</v>
      </c>
      <c r="S1058" s="35">
        <f t="shared" si="170"/>
        <v>60</v>
      </c>
    </row>
    <row r="1059" spans="2:19" hidden="1" outlineLevel="1">
      <c r="B1059" s="14" t="s">
        <v>116</v>
      </c>
      <c r="C1059" s="15" t="s">
        <v>65</v>
      </c>
      <c r="D1059" s="52">
        <v>2037</v>
      </c>
      <c r="E1059" s="34">
        <v>4</v>
      </c>
      <c r="F1059" s="38">
        <f t="shared" si="167"/>
        <v>18077.646214087723</v>
      </c>
      <c r="G1059" s="34">
        <f t="shared" si="168"/>
        <v>9</v>
      </c>
      <c r="H1059" s="34">
        <f t="shared" si="169"/>
        <v>3</v>
      </c>
      <c r="I1059" s="34" t="str">
        <f t="shared" si="174"/>
        <v/>
      </c>
      <c r="J1059" s="34" t="str">
        <f t="shared" si="174"/>
        <v/>
      </c>
      <c r="K1059" s="34" t="str">
        <f t="shared" si="174"/>
        <v/>
      </c>
      <c r="L1059" s="34" t="str">
        <f t="shared" si="174"/>
        <v/>
      </c>
      <c r="M1059" s="34" t="str">
        <f t="shared" si="174"/>
        <v/>
      </c>
      <c r="N1059" s="34">
        <f t="shared" si="174"/>
        <v>60</v>
      </c>
      <c r="O1059" s="34">
        <f t="shared" si="174"/>
        <v>69</v>
      </c>
      <c r="P1059" s="34">
        <f t="shared" si="174"/>
        <v>81</v>
      </c>
      <c r="Q1059" s="34">
        <f t="shared" si="174"/>
        <v>93</v>
      </c>
      <c r="R1059" s="34">
        <f t="shared" si="174"/>
        <v>105</v>
      </c>
      <c r="S1059" s="35">
        <f t="shared" si="170"/>
        <v>60</v>
      </c>
    </row>
    <row r="1060" spans="2:19" hidden="1" outlineLevel="1">
      <c r="B1060" s="14" t="s">
        <v>116</v>
      </c>
      <c r="C1060" s="15" t="s">
        <v>65</v>
      </c>
      <c r="D1060" s="52">
        <v>2037</v>
      </c>
      <c r="E1060" s="34">
        <v>5</v>
      </c>
      <c r="F1060" s="38">
        <f t="shared" si="167"/>
        <v>18077.646214087723</v>
      </c>
      <c r="G1060" s="34">
        <f t="shared" si="168"/>
        <v>9</v>
      </c>
      <c r="H1060" s="34">
        <f t="shared" si="169"/>
        <v>3</v>
      </c>
      <c r="I1060" s="34" t="str">
        <f t="shared" ref="I1060:R1069" si="175">IF($D1060&lt;$Z$18,"",IF(MAX($G1060,INDEX($C$65:$F$108,$D1060+I$119-2026,$H1060))&lt;=12*I$119-$E1060+12,MAX($G1060,12*I$119-$E1060+1,INDEX($C$65:$F$108,$D1060+I$119-2026,$H1060)),""))</f>
        <v/>
      </c>
      <c r="J1060" s="34" t="str">
        <f t="shared" si="175"/>
        <v/>
      </c>
      <c r="K1060" s="34" t="str">
        <f t="shared" si="175"/>
        <v/>
      </c>
      <c r="L1060" s="34" t="str">
        <f t="shared" si="175"/>
        <v/>
      </c>
      <c r="M1060" s="34" t="str">
        <f t="shared" si="175"/>
        <v/>
      </c>
      <c r="N1060" s="34">
        <f t="shared" si="175"/>
        <v>60</v>
      </c>
      <c r="O1060" s="34">
        <f t="shared" si="175"/>
        <v>68</v>
      </c>
      <c r="P1060" s="34">
        <f t="shared" si="175"/>
        <v>80</v>
      </c>
      <c r="Q1060" s="34">
        <f t="shared" si="175"/>
        <v>92</v>
      </c>
      <c r="R1060" s="34">
        <f t="shared" si="175"/>
        <v>104</v>
      </c>
      <c r="S1060" s="35">
        <f t="shared" si="170"/>
        <v>60</v>
      </c>
    </row>
    <row r="1061" spans="2:19" hidden="1" outlineLevel="1">
      <c r="B1061" s="14" t="s">
        <v>116</v>
      </c>
      <c r="C1061" s="15" t="s">
        <v>65</v>
      </c>
      <c r="D1061" s="52">
        <v>2037</v>
      </c>
      <c r="E1061" s="34">
        <v>6</v>
      </c>
      <c r="F1061" s="38">
        <f t="shared" si="167"/>
        <v>18077.646214087723</v>
      </c>
      <c r="G1061" s="34">
        <f t="shared" si="168"/>
        <v>9</v>
      </c>
      <c r="H1061" s="34">
        <f t="shared" si="169"/>
        <v>3</v>
      </c>
      <c r="I1061" s="34" t="str">
        <f t="shared" si="175"/>
        <v/>
      </c>
      <c r="J1061" s="34" t="str">
        <f t="shared" si="175"/>
        <v/>
      </c>
      <c r="K1061" s="34" t="str">
        <f t="shared" si="175"/>
        <v/>
      </c>
      <c r="L1061" s="34" t="str">
        <f t="shared" si="175"/>
        <v/>
      </c>
      <c r="M1061" s="34" t="str">
        <f t="shared" si="175"/>
        <v/>
      </c>
      <c r="N1061" s="34">
        <f t="shared" si="175"/>
        <v>60</v>
      </c>
      <c r="O1061" s="34">
        <f t="shared" si="175"/>
        <v>67</v>
      </c>
      <c r="P1061" s="34">
        <f t="shared" si="175"/>
        <v>79</v>
      </c>
      <c r="Q1061" s="34">
        <f t="shared" si="175"/>
        <v>91</v>
      </c>
      <c r="R1061" s="34">
        <f t="shared" si="175"/>
        <v>103</v>
      </c>
      <c r="S1061" s="35">
        <f t="shared" si="170"/>
        <v>60</v>
      </c>
    </row>
    <row r="1062" spans="2:19" hidden="1" outlineLevel="1">
      <c r="B1062" s="14" t="s">
        <v>116</v>
      </c>
      <c r="C1062" s="15" t="s">
        <v>65</v>
      </c>
      <c r="D1062" s="52">
        <v>2037</v>
      </c>
      <c r="E1062" s="34">
        <v>7</v>
      </c>
      <c r="F1062" s="38">
        <f t="shared" si="167"/>
        <v>18077.646214087723</v>
      </c>
      <c r="G1062" s="34">
        <f t="shared" si="168"/>
        <v>9</v>
      </c>
      <c r="H1062" s="34">
        <f t="shared" si="169"/>
        <v>3</v>
      </c>
      <c r="I1062" s="34" t="str">
        <f t="shared" si="175"/>
        <v/>
      </c>
      <c r="J1062" s="34" t="str">
        <f t="shared" si="175"/>
        <v/>
      </c>
      <c r="K1062" s="34" t="str">
        <f t="shared" si="175"/>
        <v/>
      </c>
      <c r="L1062" s="34" t="str">
        <f t="shared" si="175"/>
        <v/>
      </c>
      <c r="M1062" s="34" t="str">
        <f t="shared" si="175"/>
        <v/>
      </c>
      <c r="N1062" s="34">
        <f t="shared" si="175"/>
        <v>60</v>
      </c>
      <c r="O1062" s="34">
        <f t="shared" si="175"/>
        <v>66</v>
      </c>
      <c r="P1062" s="34">
        <f t="shared" si="175"/>
        <v>78</v>
      </c>
      <c r="Q1062" s="34">
        <f t="shared" si="175"/>
        <v>90</v>
      </c>
      <c r="R1062" s="34">
        <f t="shared" si="175"/>
        <v>102</v>
      </c>
      <c r="S1062" s="35">
        <f t="shared" si="170"/>
        <v>60</v>
      </c>
    </row>
    <row r="1063" spans="2:19" hidden="1" outlineLevel="1">
      <c r="B1063" s="14" t="s">
        <v>116</v>
      </c>
      <c r="C1063" s="15" t="s">
        <v>65</v>
      </c>
      <c r="D1063" s="52">
        <v>2037</v>
      </c>
      <c r="E1063" s="34">
        <v>8</v>
      </c>
      <c r="F1063" s="38">
        <f t="shared" si="167"/>
        <v>18077.646214087723</v>
      </c>
      <c r="G1063" s="34">
        <f t="shared" si="168"/>
        <v>9</v>
      </c>
      <c r="H1063" s="34">
        <f t="shared" si="169"/>
        <v>3</v>
      </c>
      <c r="I1063" s="34" t="str">
        <f t="shared" si="175"/>
        <v/>
      </c>
      <c r="J1063" s="34" t="str">
        <f t="shared" si="175"/>
        <v/>
      </c>
      <c r="K1063" s="34" t="str">
        <f t="shared" si="175"/>
        <v/>
      </c>
      <c r="L1063" s="34" t="str">
        <f t="shared" si="175"/>
        <v/>
      </c>
      <c r="M1063" s="34" t="str">
        <f t="shared" si="175"/>
        <v/>
      </c>
      <c r="N1063" s="34">
        <f t="shared" si="175"/>
        <v>60</v>
      </c>
      <c r="O1063" s="34">
        <f t="shared" si="175"/>
        <v>65</v>
      </c>
      <c r="P1063" s="34">
        <f t="shared" si="175"/>
        <v>77</v>
      </c>
      <c r="Q1063" s="34">
        <f t="shared" si="175"/>
        <v>89</v>
      </c>
      <c r="R1063" s="34">
        <f t="shared" si="175"/>
        <v>101</v>
      </c>
      <c r="S1063" s="35">
        <f t="shared" si="170"/>
        <v>60</v>
      </c>
    </row>
    <row r="1064" spans="2:19" hidden="1" outlineLevel="1">
      <c r="B1064" s="14" t="s">
        <v>116</v>
      </c>
      <c r="C1064" s="15" t="s">
        <v>65</v>
      </c>
      <c r="D1064" s="52">
        <v>2037</v>
      </c>
      <c r="E1064" s="34">
        <v>9</v>
      </c>
      <c r="F1064" s="38">
        <f t="shared" si="167"/>
        <v>18077.646214087723</v>
      </c>
      <c r="G1064" s="34">
        <f t="shared" si="168"/>
        <v>9</v>
      </c>
      <c r="H1064" s="34">
        <f t="shared" si="169"/>
        <v>3</v>
      </c>
      <c r="I1064" s="34" t="str">
        <f t="shared" si="175"/>
        <v/>
      </c>
      <c r="J1064" s="34" t="str">
        <f t="shared" si="175"/>
        <v/>
      </c>
      <c r="K1064" s="34" t="str">
        <f t="shared" si="175"/>
        <v/>
      </c>
      <c r="L1064" s="34" t="str">
        <f t="shared" si="175"/>
        <v/>
      </c>
      <c r="M1064" s="34" t="str">
        <f t="shared" si="175"/>
        <v/>
      </c>
      <c r="N1064" s="34">
        <f t="shared" si="175"/>
        <v>60</v>
      </c>
      <c r="O1064" s="34">
        <f t="shared" si="175"/>
        <v>64</v>
      </c>
      <c r="P1064" s="34">
        <f t="shared" si="175"/>
        <v>76</v>
      </c>
      <c r="Q1064" s="34">
        <f t="shared" si="175"/>
        <v>88</v>
      </c>
      <c r="R1064" s="34">
        <f t="shared" si="175"/>
        <v>100</v>
      </c>
      <c r="S1064" s="35">
        <f t="shared" si="170"/>
        <v>60</v>
      </c>
    </row>
    <row r="1065" spans="2:19" hidden="1" outlineLevel="1">
      <c r="B1065" s="14" t="s">
        <v>116</v>
      </c>
      <c r="C1065" s="15" t="s">
        <v>65</v>
      </c>
      <c r="D1065" s="52">
        <v>2037</v>
      </c>
      <c r="E1065" s="34">
        <v>10</v>
      </c>
      <c r="F1065" s="38">
        <f t="shared" si="167"/>
        <v>18077.646214087723</v>
      </c>
      <c r="G1065" s="34">
        <f t="shared" si="168"/>
        <v>9</v>
      </c>
      <c r="H1065" s="34">
        <f t="shared" si="169"/>
        <v>3</v>
      </c>
      <c r="I1065" s="34" t="str">
        <f t="shared" si="175"/>
        <v/>
      </c>
      <c r="J1065" s="34" t="str">
        <f t="shared" si="175"/>
        <v/>
      </c>
      <c r="K1065" s="34" t="str">
        <f t="shared" si="175"/>
        <v/>
      </c>
      <c r="L1065" s="34" t="str">
        <f t="shared" si="175"/>
        <v/>
      </c>
      <c r="M1065" s="34" t="str">
        <f t="shared" si="175"/>
        <v/>
      </c>
      <c r="N1065" s="34">
        <f t="shared" si="175"/>
        <v>60</v>
      </c>
      <c r="O1065" s="34">
        <f t="shared" si="175"/>
        <v>63</v>
      </c>
      <c r="P1065" s="34">
        <f t="shared" si="175"/>
        <v>75</v>
      </c>
      <c r="Q1065" s="34">
        <f t="shared" si="175"/>
        <v>87</v>
      </c>
      <c r="R1065" s="34">
        <f t="shared" si="175"/>
        <v>99</v>
      </c>
      <c r="S1065" s="35">
        <f t="shared" si="170"/>
        <v>60</v>
      </c>
    </row>
    <row r="1066" spans="2:19" hidden="1" outlineLevel="1">
      <c r="B1066" s="14" t="s">
        <v>116</v>
      </c>
      <c r="C1066" s="15" t="s">
        <v>65</v>
      </c>
      <c r="D1066" s="52">
        <v>2037</v>
      </c>
      <c r="E1066" s="34">
        <v>11</v>
      </c>
      <c r="F1066" s="38">
        <f t="shared" si="167"/>
        <v>18077.646214087723</v>
      </c>
      <c r="G1066" s="34">
        <f t="shared" si="168"/>
        <v>9</v>
      </c>
      <c r="H1066" s="34">
        <f t="shared" si="169"/>
        <v>3</v>
      </c>
      <c r="I1066" s="34" t="str">
        <f t="shared" si="175"/>
        <v/>
      </c>
      <c r="J1066" s="34" t="str">
        <f t="shared" si="175"/>
        <v/>
      </c>
      <c r="K1066" s="34" t="str">
        <f t="shared" si="175"/>
        <v/>
      </c>
      <c r="L1066" s="34" t="str">
        <f t="shared" si="175"/>
        <v/>
      </c>
      <c r="M1066" s="34" t="str">
        <f t="shared" si="175"/>
        <v/>
      </c>
      <c r="N1066" s="34">
        <f t="shared" si="175"/>
        <v>60</v>
      </c>
      <c r="O1066" s="34">
        <f t="shared" si="175"/>
        <v>62</v>
      </c>
      <c r="P1066" s="34">
        <f t="shared" si="175"/>
        <v>74</v>
      </c>
      <c r="Q1066" s="34">
        <f t="shared" si="175"/>
        <v>86</v>
      </c>
      <c r="R1066" s="34">
        <f t="shared" si="175"/>
        <v>98</v>
      </c>
      <c r="S1066" s="35">
        <f t="shared" si="170"/>
        <v>60</v>
      </c>
    </row>
    <row r="1067" spans="2:19" hidden="1" outlineLevel="1">
      <c r="B1067" s="14" t="s">
        <v>116</v>
      </c>
      <c r="C1067" s="15" t="s">
        <v>65</v>
      </c>
      <c r="D1067" s="52">
        <v>2037</v>
      </c>
      <c r="E1067" s="34">
        <v>12</v>
      </c>
      <c r="F1067" s="38">
        <f t="shared" si="167"/>
        <v>18077.646214087723</v>
      </c>
      <c r="G1067" s="34">
        <f t="shared" si="168"/>
        <v>9</v>
      </c>
      <c r="H1067" s="34">
        <f t="shared" si="169"/>
        <v>3</v>
      </c>
      <c r="I1067" s="34" t="str">
        <f t="shared" si="175"/>
        <v/>
      </c>
      <c r="J1067" s="34" t="str">
        <f t="shared" si="175"/>
        <v/>
      </c>
      <c r="K1067" s="34" t="str">
        <f t="shared" si="175"/>
        <v/>
      </c>
      <c r="L1067" s="34" t="str">
        <f t="shared" si="175"/>
        <v/>
      </c>
      <c r="M1067" s="34" t="str">
        <f t="shared" si="175"/>
        <v/>
      </c>
      <c r="N1067" s="34">
        <f t="shared" si="175"/>
        <v>60</v>
      </c>
      <c r="O1067" s="34">
        <f t="shared" si="175"/>
        <v>61</v>
      </c>
      <c r="P1067" s="34">
        <f t="shared" si="175"/>
        <v>73</v>
      </c>
      <c r="Q1067" s="34">
        <f t="shared" si="175"/>
        <v>85</v>
      </c>
      <c r="R1067" s="34">
        <f t="shared" si="175"/>
        <v>97</v>
      </c>
      <c r="S1067" s="35">
        <f t="shared" si="170"/>
        <v>60</v>
      </c>
    </row>
    <row r="1068" spans="2:19" hidden="1" outlineLevel="1">
      <c r="B1068" s="14" t="s">
        <v>116</v>
      </c>
      <c r="C1068" s="15" t="s">
        <v>65</v>
      </c>
      <c r="D1068" s="52">
        <v>2038</v>
      </c>
      <c r="E1068" s="34">
        <v>1</v>
      </c>
      <c r="F1068" s="38">
        <f t="shared" si="167"/>
        <v>18709.842579371147</v>
      </c>
      <c r="G1068" s="34">
        <f t="shared" si="168"/>
        <v>9</v>
      </c>
      <c r="H1068" s="34">
        <f t="shared" si="169"/>
        <v>3</v>
      </c>
      <c r="I1068" s="34" t="str">
        <f t="shared" si="175"/>
        <v/>
      </c>
      <c r="J1068" s="34" t="str">
        <f t="shared" si="175"/>
        <v/>
      </c>
      <c r="K1068" s="34" t="str">
        <f t="shared" si="175"/>
        <v/>
      </c>
      <c r="L1068" s="34" t="str">
        <f t="shared" si="175"/>
        <v/>
      </c>
      <c r="M1068" s="34" t="str">
        <f t="shared" si="175"/>
        <v/>
      </c>
      <c r="N1068" s="34">
        <f t="shared" si="175"/>
        <v>60</v>
      </c>
      <c r="O1068" s="34">
        <f t="shared" si="175"/>
        <v>72</v>
      </c>
      <c r="P1068" s="34">
        <f t="shared" si="175"/>
        <v>84</v>
      </c>
      <c r="Q1068" s="34">
        <f t="shared" si="175"/>
        <v>96</v>
      </c>
      <c r="R1068" s="34">
        <f t="shared" si="175"/>
        <v>108</v>
      </c>
      <c r="S1068" s="35">
        <f t="shared" si="170"/>
        <v>60</v>
      </c>
    </row>
    <row r="1069" spans="2:19" hidden="1" outlineLevel="1">
      <c r="B1069" s="14" t="s">
        <v>116</v>
      </c>
      <c r="C1069" s="15" t="s">
        <v>65</v>
      </c>
      <c r="D1069" s="52">
        <v>2038</v>
      </c>
      <c r="E1069" s="34">
        <v>2</v>
      </c>
      <c r="F1069" s="38">
        <f t="shared" si="167"/>
        <v>18709.842579371147</v>
      </c>
      <c r="G1069" s="34">
        <f t="shared" si="168"/>
        <v>9</v>
      </c>
      <c r="H1069" s="34">
        <f t="shared" si="169"/>
        <v>3</v>
      </c>
      <c r="I1069" s="34" t="str">
        <f t="shared" si="175"/>
        <v/>
      </c>
      <c r="J1069" s="34" t="str">
        <f t="shared" si="175"/>
        <v/>
      </c>
      <c r="K1069" s="34" t="str">
        <f t="shared" si="175"/>
        <v/>
      </c>
      <c r="L1069" s="34" t="str">
        <f t="shared" si="175"/>
        <v/>
      </c>
      <c r="M1069" s="34" t="str">
        <f t="shared" si="175"/>
        <v/>
      </c>
      <c r="N1069" s="34">
        <f t="shared" si="175"/>
        <v>60</v>
      </c>
      <c r="O1069" s="34">
        <f t="shared" si="175"/>
        <v>71</v>
      </c>
      <c r="P1069" s="34">
        <f t="shared" si="175"/>
        <v>83</v>
      </c>
      <c r="Q1069" s="34">
        <f t="shared" si="175"/>
        <v>95</v>
      </c>
      <c r="R1069" s="34">
        <f t="shared" si="175"/>
        <v>107</v>
      </c>
      <c r="S1069" s="35">
        <f t="shared" si="170"/>
        <v>60</v>
      </c>
    </row>
    <row r="1070" spans="2:19" hidden="1" outlineLevel="1">
      <c r="B1070" s="14" t="s">
        <v>116</v>
      </c>
      <c r="C1070" s="15" t="s">
        <v>65</v>
      </c>
      <c r="D1070" s="52">
        <v>2038</v>
      </c>
      <c r="E1070" s="34">
        <v>3</v>
      </c>
      <c r="F1070" s="38">
        <f t="shared" si="167"/>
        <v>18709.842579371147</v>
      </c>
      <c r="G1070" s="34">
        <f t="shared" si="168"/>
        <v>9</v>
      </c>
      <c r="H1070" s="34">
        <f t="shared" si="169"/>
        <v>3</v>
      </c>
      <c r="I1070" s="34" t="str">
        <f t="shared" ref="I1070:R1079" si="176">IF($D1070&lt;$Z$18,"",IF(MAX($G1070,INDEX($C$65:$F$108,$D1070+I$119-2026,$H1070))&lt;=12*I$119-$E1070+12,MAX($G1070,12*I$119-$E1070+1,INDEX($C$65:$F$108,$D1070+I$119-2026,$H1070)),""))</f>
        <v/>
      </c>
      <c r="J1070" s="34" t="str">
        <f t="shared" si="176"/>
        <v/>
      </c>
      <c r="K1070" s="34" t="str">
        <f t="shared" si="176"/>
        <v/>
      </c>
      <c r="L1070" s="34" t="str">
        <f t="shared" si="176"/>
        <v/>
      </c>
      <c r="M1070" s="34" t="str">
        <f t="shared" si="176"/>
        <v/>
      </c>
      <c r="N1070" s="34">
        <f t="shared" si="176"/>
        <v>60</v>
      </c>
      <c r="O1070" s="34">
        <f t="shared" si="176"/>
        <v>70</v>
      </c>
      <c r="P1070" s="34">
        <f t="shared" si="176"/>
        <v>82</v>
      </c>
      <c r="Q1070" s="34">
        <f t="shared" si="176"/>
        <v>94</v>
      </c>
      <c r="R1070" s="34">
        <f t="shared" si="176"/>
        <v>106</v>
      </c>
      <c r="S1070" s="35">
        <f t="shared" si="170"/>
        <v>60</v>
      </c>
    </row>
    <row r="1071" spans="2:19" hidden="1" outlineLevel="1">
      <c r="B1071" s="14" t="s">
        <v>116</v>
      </c>
      <c r="C1071" s="15" t="s">
        <v>65</v>
      </c>
      <c r="D1071" s="52">
        <v>2038</v>
      </c>
      <c r="E1071" s="34">
        <v>4</v>
      </c>
      <c r="F1071" s="38">
        <f t="shared" si="167"/>
        <v>18709.842579371147</v>
      </c>
      <c r="G1071" s="34">
        <f t="shared" si="168"/>
        <v>9</v>
      </c>
      <c r="H1071" s="34">
        <f t="shared" si="169"/>
        <v>3</v>
      </c>
      <c r="I1071" s="34" t="str">
        <f t="shared" si="176"/>
        <v/>
      </c>
      <c r="J1071" s="34" t="str">
        <f t="shared" si="176"/>
        <v/>
      </c>
      <c r="K1071" s="34" t="str">
        <f t="shared" si="176"/>
        <v/>
      </c>
      <c r="L1071" s="34" t="str">
        <f t="shared" si="176"/>
        <v/>
      </c>
      <c r="M1071" s="34" t="str">
        <f t="shared" si="176"/>
        <v/>
      </c>
      <c r="N1071" s="34">
        <f t="shared" si="176"/>
        <v>60</v>
      </c>
      <c r="O1071" s="34">
        <f t="shared" si="176"/>
        <v>69</v>
      </c>
      <c r="P1071" s="34">
        <f t="shared" si="176"/>
        <v>81</v>
      </c>
      <c r="Q1071" s="34">
        <f t="shared" si="176"/>
        <v>93</v>
      </c>
      <c r="R1071" s="34">
        <f t="shared" si="176"/>
        <v>105</v>
      </c>
      <c r="S1071" s="35">
        <f t="shared" si="170"/>
        <v>60</v>
      </c>
    </row>
    <row r="1072" spans="2:19" hidden="1" outlineLevel="1">
      <c r="B1072" s="14" t="s">
        <v>116</v>
      </c>
      <c r="C1072" s="15" t="s">
        <v>65</v>
      </c>
      <c r="D1072" s="52">
        <v>2038</v>
      </c>
      <c r="E1072" s="34">
        <v>5</v>
      </c>
      <c r="F1072" s="38">
        <f t="shared" si="167"/>
        <v>18709.842579371147</v>
      </c>
      <c r="G1072" s="34">
        <f t="shared" si="168"/>
        <v>9</v>
      </c>
      <c r="H1072" s="34">
        <f t="shared" si="169"/>
        <v>3</v>
      </c>
      <c r="I1072" s="34" t="str">
        <f t="shared" si="176"/>
        <v/>
      </c>
      <c r="J1072" s="34" t="str">
        <f t="shared" si="176"/>
        <v/>
      </c>
      <c r="K1072" s="34" t="str">
        <f t="shared" si="176"/>
        <v/>
      </c>
      <c r="L1072" s="34" t="str">
        <f t="shared" si="176"/>
        <v/>
      </c>
      <c r="M1072" s="34" t="str">
        <f t="shared" si="176"/>
        <v/>
      </c>
      <c r="N1072" s="34">
        <f t="shared" si="176"/>
        <v>60</v>
      </c>
      <c r="O1072" s="34">
        <f t="shared" si="176"/>
        <v>68</v>
      </c>
      <c r="P1072" s="34">
        <f t="shared" si="176"/>
        <v>80</v>
      </c>
      <c r="Q1072" s="34">
        <f t="shared" si="176"/>
        <v>92</v>
      </c>
      <c r="R1072" s="34">
        <f t="shared" si="176"/>
        <v>104</v>
      </c>
      <c r="S1072" s="35">
        <f t="shared" si="170"/>
        <v>60</v>
      </c>
    </row>
    <row r="1073" spans="2:19" hidden="1" outlineLevel="1">
      <c r="B1073" s="14" t="s">
        <v>116</v>
      </c>
      <c r="C1073" s="15" t="s">
        <v>65</v>
      </c>
      <c r="D1073" s="52">
        <v>2038</v>
      </c>
      <c r="E1073" s="34">
        <v>6</v>
      </c>
      <c r="F1073" s="38">
        <f t="shared" si="167"/>
        <v>18709.842579371147</v>
      </c>
      <c r="G1073" s="34">
        <f t="shared" si="168"/>
        <v>9</v>
      </c>
      <c r="H1073" s="34">
        <f t="shared" si="169"/>
        <v>3</v>
      </c>
      <c r="I1073" s="34" t="str">
        <f t="shared" si="176"/>
        <v/>
      </c>
      <c r="J1073" s="34" t="str">
        <f t="shared" si="176"/>
        <v/>
      </c>
      <c r="K1073" s="34" t="str">
        <f t="shared" si="176"/>
        <v/>
      </c>
      <c r="L1073" s="34" t="str">
        <f t="shared" si="176"/>
        <v/>
      </c>
      <c r="M1073" s="34" t="str">
        <f t="shared" si="176"/>
        <v/>
      </c>
      <c r="N1073" s="34">
        <f t="shared" si="176"/>
        <v>60</v>
      </c>
      <c r="O1073" s="34">
        <f t="shared" si="176"/>
        <v>67</v>
      </c>
      <c r="P1073" s="34">
        <f t="shared" si="176"/>
        <v>79</v>
      </c>
      <c r="Q1073" s="34">
        <f t="shared" si="176"/>
        <v>91</v>
      </c>
      <c r="R1073" s="34">
        <f t="shared" si="176"/>
        <v>103</v>
      </c>
      <c r="S1073" s="35">
        <f t="shared" si="170"/>
        <v>60</v>
      </c>
    </row>
    <row r="1074" spans="2:19" hidden="1" outlineLevel="1">
      <c r="B1074" s="14" t="s">
        <v>116</v>
      </c>
      <c r="C1074" s="15" t="s">
        <v>65</v>
      </c>
      <c r="D1074" s="52">
        <v>2038</v>
      </c>
      <c r="E1074" s="34">
        <v>7</v>
      </c>
      <c r="F1074" s="38">
        <f t="shared" si="167"/>
        <v>18709.842579371147</v>
      </c>
      <c r="G1074" s="34">
        <f t="shared" si="168"/>
        <v>9</v>
      </c>
      <c r="H1074" s="34">
        <f t="shared" si="169"/>
        <v>3</v>
      </c>
      <c r="I1074" s="34" t="str">
        <f t="shared" si="176"/>
        <v/>
      </c>
      <c r="J1074" s="34" t="str">
        <f t="shared" si="176"/>
        <v/>
      </c>
      <c r="K1074" s="34" t="str">
        <f t="shared" si="176"/>
        <v/>
      </c>
      <c r="L1074" s="34" t="str">
        <f t="shared" si="176"/>
        <v/>
      </c>
      <c r="M1074" s="34" t="str">
        <f t="shared" si="176"/>
        <v/>
      </c>
      <c r="N1074" s="34">
        <f t="shared" si="176"/>
        <v>60</v>
      </c>
      <c r="O1074" s="34">
        <f t="shared" si="176"/>
        <v>66</v>
      </c>
      <c r="P1074" s="34">
        <f t="shared" si="176"/>
        <v>78</v>
      </c>
      <c r="Q1074" s="34">
        <f t="shared" si="176"/>
        <v>90</v>
      </c>
      <c r="R1074" s="34">
        <f t="shared" si="176"/>
        <v>102</v>
      </c>
      <c r="S1074" s="35">
        <f t="shared" si="170"/>
        <v>60</v>
      </c>
    </row>
    <row r="1075" spans="2:19" hidden="1" outlineLevel="1">
      <c r="B1075" s="14" t="s">
        <v>116</v>
      </c>
      <c r="C1075" s="15" t="s">
        <v>65</v>
      </c>
      <c r="D1075" s="52">
        <v>2038</v>
      </c>
      <c r="E1075" s="34">
        <v>8</v>
      </c>
      <c r="F1075" s="38">
        <f t="shared" si="167"/>
        <v>18709.842579371147</v>
      </c>
      <c r="G1075" s="34">
        <f t="shared" si="168"/>
        <v>9</v>
      </c>
      <c r="H1075" s="34">
        <f t="shared" si="169"/>
        <v>3</v>
      </c>
      <c r="I1075" s="34" t="str">
        <f t="shared" si="176"/>
        <v/>
      </c>
      <c r="J1075" s="34" t="str">
        <f t="shared" si="176"/>
        <v/>
      </c>
      <c r="K1075" s="34" t="str">
        <f t="shared" si="176"/>
        <v/>
      </c>
      <c r="L1075" s="34" t="str">
        <f t="shared" si="176"/>
        <v/>
      </c>
      <c r="M1075" s="34" t="str">
        <f t="shared" si="176"/>
        <v/>
      </c>
      <c r="N1075" s="34">
        <f t="shared" si="176"/>
        <v>60</v>
      </c>
      <c r="O1075" s="34">
        <f t="shared" si="176"/>
        <v>65</v>
      </c>
      <c r="P1075" s="34">
        <f t="shared" si="176"/>
        <v>77</v>
      </c>
      <c r="Q1075" s="34">
        <f t="shared" si="176"/>
        <v>89</v>
      </c>
      <c r="R1075" s="34">
        <f t="shared" si="176"/>
        <v>101</v>
      </c>
      <c r="S1075" s="35">
        <f t="shared" si="170"/>
        <v>60</v>
      </c>
    </row>
    <row r="1076" spans="2:19" hidden="1" outlineLevel="1">
      <c r="B1076" s="14" t="s">
        <v>116</v>
      </c>
      <c r="C1076" s="15" t="s">
        <v>65</v>
      </c>
      <c r="D1076" s="52">
        <v>2038</v>
      </c>
      <c r="E1076" s="34">
        <v>9</v>
      </c>
      <c r="F1076" s="38">
        <f t="shared" si="167"/>
        <v>18709.842579371147</v>
      </c>
      <c r="G1076" s="34">
        <f t="shared" si="168"/>
        <v>9</v>
      </c>
      <c r="H1076" s="34">
        <f t="shared" si="169"/>
        <v>3</v>
      </c>
      <c r="I1076" s="34" t="str">
        <f t="shared" si="176"/>
        <v/>
      </c>
      <c r="J1076" s="34" t="str">
        <f t="shared" si="176"/>
        <v/>
      </c>
      <c r="K1076" s="34" t="str">
        <f t="shared" si="176"/>
        <v/>
      </c>
      <c r="L1076" s="34" t="str">
        <f t="shared" si="176"/>
        <v/>
      </c>
      <c r="M1076" s="34" t="str">
        <f t="shared" si="176"/>
        <v/>
      </c>
      <c r="N1076" s="34">
        <f t="shared" si="176"/>
        <v>60</v>
      </c>
      <c r="O1076" s="34">
        <f t="shared" si="176"/>
        <v>64</v>
      </c>
      <c r="P1076" s="34">
        <f t="shared" si="176"/>
        <v>76</v>
      </c>
      <c r="Q1076" s="34">
        <f t="shared" si="176"/>
        <v>88</v>
      </c>
      <c r="R1076" s="34">
        <f t="shared" si="176"/>
        <v>100</v>
      </c>
      <c r="S1076" s="35">
        <f t="shared" si="170"/>
        <v>60</v>
      </c>
    </row>
    <row r="1077" spans="2:19" hidden="1" outlineLevel="1">
      <c r="B1077" s="14" t="s">
        <v>116</v>
      </c>
      <c r="C1077" s="15" t="s">
        <v>65</v>
      </c>
      <c r="D1077" s="52">
        <v>2038</v>
      </c>
      <c r="E1077" s="34">
        <v>10</v>
      </c>
      <c r="F1077" s="38">
        <f t="shared" si="167"/>
        <v>18709.842579371147</v>
      </c>
      <c r="G1077" s="34">
        <f t="shared" si="168"/>
        <v>9</v>
      </c>
      <c r="H1077" s="34">
        <f t="shared" si="169"/>
        <v>3</v>
      </c>
      <c r="I1077" s="34" t="str">
        <f t="shared" si="176"/>
        <v/>
      </c>
      <c r="J1077" s="34" t="str">
        <f t="shared" si="176"/>
        <v/>
      </c>
      <c r="K1077" s="34" t="str">
        <f t="shared" si="176"/>
        <v/>
      </c>
      <c r="L1077" s="34" t="str">
        <f t="shared" si="176"/>
        <v/>
      </c>
      <c r="M1077" s="34" t="str">
        <f t="shared" si="176"/>
        <v/>
      </c>
      <c r="N1077" s="34">
        <f t="shared" si="176"/>
        <v>60</v>
      </c>
      <c r="O1077" s="34">
        <f t="shared" si="176"/>
        <v>63</v>
      </c>
      <c r="P1077" s="34">
        <f t="shared" si="176"/>
        <v>75</v>
      </c>
      <c r="Q1077" s="34">
        <f t="shared" si="176"/>
        <v>87</v>
      </c>
      <c r="R1077" s="34">
        <f t="shared" si="176"/>
        <v>99</v>
      </c>
      <c r="S1077" s="35">
        <f t="shared" si="170"/>
        <v>60</v>
      </c>
    </row>
    <row r="1078" spans="2:19" hidden="1" outlineLevel="1">
      <c r="B1078" s="14" t="s">
        <v>116</v>
      </c>
      <c r="C1078" s="15" t="s">
        <v>65</v>
      </c>
      <c r="D1078" s="52">
        <v>2038</v>
      </c>
      <c r="E1078" s="34">
        <v>11</v>
      </c>
      <c r="F1078" s="38">
        <f t="shared" si="167"/>
        <v>18709.842579371147</v>
      </c>
      <c r="G1078" s="34">
        <f t="shared" si="168"/>
        <v>9</v>
      </c>
      <c r="H1078" s="34">
        <f t="shared" si="169"/>
        <v>3</v>
      </c>
      <c r="I1078" s="34" t="str">
        <f t="shared" si="176"/>
        <v/>
      </c>
      <c r="J1078" s="34" t="str">
        <f t="shared" si="176"/>
        <v/>
      </c>
      <c r="K1078" s="34" t="str">
        <f t="shared" si="176"/>
        <v/>
      </c>
      <c r="L1078" s="34" t="str">
        <f t="shared" si="176"/>
        <v/>
      </c>
      <c r="M1078" s="34" t="str">
        <f t="shared" si="176"/>
        <v/>
      </c>
      <c r="N1078" s="34">
        <f t="shared" si="176"/>
        <v>60</v>
      </c>
      <c r="O1078" s="34">
        <f t="shared" si="176"/>
        <v>62</v>
      </c>
      <c r="P1078" s="34">
        <f t="shared" si="176"/>
        <v>74</v>
      </c>
      <c r="Q1078" s="34">
        <f t="shared" si="176"/>
        <v>86</v>
      </c>
      <c r="R1078" s="34">
        <f t="shared" si="176"/>
        <v>98</v>
      </c>
      <c r="S1078" s="35">
        <f t="shared" si="170"/>
        <v>60</v>
      </c>
    </row>
    <row r="1079" spans="2:19" hidden="1" outlineLevel="1">
      <c r="B1079" s="14" t="s">
        <v>116</v>
      </c>
      <c r="C1079" s="15" t="s">
        <v>65</v>
      </c>
      <c r="D1079" s="52">
        <v>2038</v>
      </c>
      <c r="E1079" s="34">
        <v>12</v>
      </c>
      <c r="F1079" s="38">
        <f t="shared" si="167"/>
        <v>18709.842579371147</v>
      </c>
      <c r="G1079" s="34">
        <f t="shared" si="168"/>
        <v>9</v>
      </c>
      <c r="H1079" s="34">
        <f t="shared" si="169"/>
        <v>3</v>
      </c>
      <c r="I1079" s="34" t="str">
        <f t="shared" si="176"/>
        <v/>
      </c>
      <c r="J1079" s="34" t="str">
        <f t="shared" si="176"/>
        <v/>
      </c>
      <c r="K1079" s="34" t="str">
        <f t="shared" si="176"/>
        <v/>
      </c>
      <c r="L1079" s="34" t="str">
        <f t="shared" si="176"/>
        <v/>
      </c>
      <c r="M1079" s="34" t="str">
        <f t="shared" si="176"/>
        <v/>
      </c>
      <c r="N1079" s="34">
        <f t="shared" si="176"/>
        <v>60</v>
      </c>
      <c r="O1079" s="34">
        <f t="shared" si="176"/>
        <v>61</v>
      </c>
      <c r="P1079" s="34">
        <f t="shared" si="176"/>
        <v>73</v>
      </c>
      <c r="Q1079" s="34">
        <f t="shared" si="176"/>
        <v>85</v>
      </c>
      <c r="R1079" s="34">
        <f t="shared" si="176"/>
        <v>97</v>
      </c>
      <c r="S1079" s="35">
        <f t="shared" si="170"/>
        <v>60</v>
      </c>
    </row>
    <row r="1080" spans="2:19" hidden="1" outlineLevel="1">
      <c r="B1080" s="14" t="s">
        <v>116</v>
      </c>
      <c r="C1080" s="15" t="s">
        <v>65</v>
      </c>
      <c r="D1080" s="52">
        <v>2039</v>
      </c>
      <c r="E1080" s="34">
        <v>1</v>
      </c>
      <c r="F1080" s="38">
        <f t="shared" ref="F1080:F1143" si="177">IF($C1080="Homens",INDEX($C$5:$C$55,MATCH($D1080,$B$5:$B$55,0)),INDEX($F$5:$F$55,MATCH($D1080,$B$5:$B$55,0)))/12</f>
        <v>19285.266848060925</v>
      </c>
      <c r="G1080" s="34">
        <f t="shared" ref="G1080:G1143" si="178">IF($C1080="Homens",$Z$17,$AA$17)</f>
        <v>9</v>
      </c>
      <c r="H1080" s="34">
        <f t="shared" ref="H1080:H1143" si="179">1+2*($B1080="Com Transição")+($C1080="Mulheres")</f>
        <v>3</v>
      </c>
      <c r="I1080" s="34" t="str">
        <f t="shared" ref="I1080:R1089" si="180">IF($D1080&lt;$Z$18,"",IF(MAX($G1080,INDEX($C$65:$F$108,$D1080+I$119-2026,$H1080))&lt;=12*I$119-$E1080+12,MAX($G1080,12*I$119-$E1080+1,INDEX($C$65:$F$108,$D1080+I$119-2026,$H1080)),""))</f>
        <v/>
      </c>
      <c r="J1080" s="34" t="str">
        <f t="shared" si="180"/>
        <v/>
      </c>
      <c r="K1080" s="34" t="str">
        <f t="shared" si="180"/>
        <v/>
      </c>
      <c r="L1080" s="34" t="str">
        <f t="shared" si="180"/>
        <v/>
      </c>
      <c r="M1080" s="34" t="str">
        <f t="shared" si="180"/>
        <v/>
      </c>
      <c r="N1080" s="34">
        <f t="shared" si="180"/>
        <v>60</v>
      </c>
      <c r="O1080" s="34">
        <f t="shared" si="180"/>
        <v>72</v>
      </c>
      <c r="P1080" s="34">
        <f t="shared" si="180"/>
        <v>84</v>
      </c>
      <c r="Q1080" s="34">
        <f t="shared" si="180"/>
        <v>96</v>
      </c>
      <c r="R1080" s="34">
        <f t="shared" si="180"/>
        <v>108</v>
      </c>
      <c r="S1080" s="35">
        <f t="shared" ref="S1080:S1143" si="181">IF($D1080&lt;$Z$18,$G1080,MIN(I1080:R1080))</f>
        <v>60</v>
      </c>
    </row>
    <row r="1081" spans="2:19" hidden="1" outlineLevel="1">
      <c r="B1081" s="14" t="s">
        <v>116</v>
      </c>
      <c r="C1081" s="15" t="s">
        <v>65</v>
      </c>
      <c r="D1081" s="52">
        <v>2039</v>
      </c>
      <c r="E1081" s="34">
        <v>2</v>
      </c>
      <c r="F1081" s="38">
        <f t="shared" si="177"/>
        <v>19285.266848060925</v>
      </c>
      <c r="G1081" s="34">
        <f t="shared" si="178"/>
        <v>9</v>
      </c>
      <c r="H1081" s="34">
        <f t="shared" si="179"/>
        <v>3</v>
      </c>
      <c r="I1081" s="34" t="str">
        <f t="shared" si="180"/>
        <v/>
      </c>
      <c r="J1081" s="34" t="str">
        <f t="shared" si="180"/>
        <v/>
      </c>
      <c r="K1081" s="34" t="str">
        <f t="shared" si="180"/>
        <v/>
      </c>
      <c r="L1081" s="34" t="str">
        <f t="shared" si="180"/>
        <v/>
      </c>
      <c r="M1081" s="34" t="str">
        <f t="shared" si="180"/>
        <v/>
      </c>
      <c r="N1081" s="34">
        <f t="shared" si="180"/>
        <v>60</v>
      </c>
      <c r="O1081" s="34">
        <f t="shared" si="180"/>
        <v>71</v>
      </c>
      <c r="P1081" s="34">
        <f t="shared" si="180"/>
        <v>83</v>
      </c>
      <c r="Q1081" s="34">
        <f t="shared" si="180"/>
        <v>95</v>
      </c>
      <c r="R1081" s="34">
        <f t="shared" si="180"/>
        <v>107</v>
      </c>
      <c r="S1081" s="35">
        <f t="shared" si="181"/>
        <v>60</v>
      </c>
    </row>
    <row r="1082" spans="2:19" hidden="1" outlineLevel="1">
      <c r="B1082" s="14" t="s">
        <v>116</v>
      </c>
      <c r="C1082" s="15" t="s">
        <v>65</v>
      </c>
      <c r="D1082" s="52">
        <v>2039</v>
      </c>
      <c r="E1082" s="34">
        <v>3</v>
      </c>
      <c r="F1082" s="38">
        <f t="shared" si="177"/>
        <v>19285.266848060925</v>
      </c>
      <c r="G1082" s="34">
        <f t="shared" si="178"/>
        <v>9</v>
      </c>
      <c r="H1082" s="34">
        <f t="shared" si="179"/>
        <v>3</v>
      </c>
      <c r="I1082" s="34" t="str">
        <f t="shared" si="180"/>
        <v/>
      </c>
      <c r="J1082" s="34" t="str">
        <f t="shared" si="180"/>
        <v/>
      </c>
      <c r="K1082" s="34" t="str">
        <f t="shared" si="180"/>
        <v/>
      </c>
      <c r="L1082" s="34" t="str">
        <f t="shared" si="180"/>
        <v/>
      </c>
      <c r="M1082" s="34" t="str">
        <f t="shared" si="180"/>
        <v/>
      </c>
      <c r="N1082" s="34">
        <f t="shared" si="180"/>
        <v>60</v>
      </c>
      <c r="O1082" s="34">
        <f t="shared" si="180"/>
        <v>70</v>
      </c>
      <c r="P1082" s="34">
        <f t="shared" si="180"/>
        <v>82</v>
      </c>
      <c r="Q1082" s="34">
        <f t="shared" si="180"/>
        <v>94</v>
      </c>
      <c r="R1082" s="34">
        <f t="shared" si="180"/>
        <v>106</v>
      </c>
      <c r="S1082" s="35">
        <f t="shared" si="181"/>
        <v>60</v>
      </c>
    </row>
    <row r="1083" spans="2:19" hidden="1" outlineLevel="1">
      <c r="B1083" s="14" t="s">
        <v>116</v>
      </c>
      <c r="C1083" s="15" t="s">
        <v>65</v>
      </c>
      <c r="D1083" s="52">
        <v>2039</v>
      </c>
      <c r="E1083" s="34">
        <v>4</v>
      </c>
      <c r="F1083" s="38">
        <f t="shared" si="177"/>
        <v>19285.266848060925</v>
      </c>
      <c r="G1083" s="34">
        <f t="shared" si="178"/>
        <v>9</v>
      </c>
      <c r="H1083" s="34">
        <f t="shared" si="179"/>
        <v>3</v>
      </c>
      <c r="I1083" s="34" t="str">
        <f t="shared" si="180"/>
        <v/>
      </c>
      <c r="J1083" s="34" t="str">
        <f t="shared" si="180"/>
        <v/>
      </c>
      <c r="K1083" s="34" t="str">
        <f t="shared" si="180"/>
        <v/>
      </c>
      <c r="L1083" s="34" t="str">
        <f t="shared" si="180"/>
        <v/>
      </c>
      <c r="M1083" s="34" t="str">
        <f t="shared" si="180"/>
        <v/>
      </c>
      <c r="N1083" s="34">
        <f t="shared" si="180"/>
        <v>60</v>
      </c>
      <c r="O1083" s="34">
        <f t="shared" si="180"/>
        <v>69</v>
      </c>
      <c r="P1083" s="34">
        <f t="shared" si="180"/>
        <v>81</v>
      </c>
      <c r="Q1083" s="34">
        <f t="shared" si="180"/>
        <v>93</v>
      </c>
      <c r="R1083" s="34">
        <f t="shared" si="180"/>
        <v>105</v>
      </c>
      <c r="S1083" s="35">
        <f t="shared" si="181"/>
        <v>60</v>
      </c>
    </row>
    <row r="1084" spans="2:19" hidden="1" outlineLevel="1">
      <c r="B1084" s="14" t="s">
        <v>116</v>
      </c>
      <c r="C1084" s="15" t="s">
        <v>65</v>
      </c>
      <c r="D1084" s="52">
        <v>2039</v>
      </c>
      <c r="E1084" s="34">
        <v>5</v>
      </c>
      <c r="F1084" s="38">
        <f t="shared" si="177"/>
        <v>19285.266848060925</v>
      </c>
      <c r="G1084" s="34">
        <f t="shared" si="178"/>
        <v>9</v>
      </c>
      <c r="H1084" s="34">
        <f t="shared" si="179"/>
        <v>3</v>
      </c>
      <c r="I1084" s="34" t="str">
        <f t="shared" si="180"/>
        <v/>
      </c>
      <c r="J1084" s="34" t="str">
        <f t="shared" si="180"/>
        <v/>
      </c>
      <c r="K1084" s="34" t="str">
        <f t="shared" si="180"/>
        <v/>
      </c>
      <c r="L1084" s="34" t="str">
        <f t="shared" si="180"/>
        <v/>
      </c>
      <c r="M1084" s="34" t="str">
        <f t="shared" si="180"/>
        <v/>
      </c>
      <c r="N1084" s="34">
        <f t="shared" si="180"/>
        <v>60</v>
      </c>
      <c r="O1084" s="34">
        <f t="shared" si="180"/>
        <v>68</v>
      </c>
      <c r="P1084" s="34">
        <f t="shared" si="180"/>
        <v>80</v>
      </c>
      <c r="Q1084" s="34">
        <f t="shared" si="180"/>
        <v>92</v>
      </c>
      <c r="R1084" s="34">
        <f t="shared" si="180"/>
        <v>104</v>
      </c>
      <c r="S1084" s="35">
        <f t="shared" si="181"/>
        <v>60</v>
      </c>
    </row>
    <row r="1085" spans="2:19" hidden="1" outlineLevel="1">
      <c r="B1085" s="14" t="s">
        <v>116</v>
      </c>
      <c r="C1085" s="15" t="s">
        <v>65</v>
      </c>
      <c r="D1085" s="52">
        <v>2039</v>
      </c>
      <c r="E1085" s="34">
        <v>6</v>
      </c>
      <c r="F1085" s="38">
        <f t="shared" si="177"/>
        <v>19285.266848060925</v>
      </c>
      <c r="G1085" s="34">
        <f t="shared" si="178"/>
        <v>9</v>
      </c>
      <c r="H1085" s="34">
     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   <f t="shared" si="180"/>
        <v/>
      </c>
      <c r="L1085" s="34" t="str">
        <f t="shared" si="180"/>
        <v/>
      </c>
      <c r="M1085" s="34" t="str">
        <f t="shared" si="180"/>
        <v/>
      </c>
      <c r="N1085" s="34">
        <f t="shared" si="180"/>
        <v>60</v>
      </c>
      <c r="O1085" s="34">
        <f t="shared" si="180"/>
        <v>67</v>
      </c>
      <c r="P1085" s="34">
        <f t="shared" si="180"/>
        <v>79</v>
      </c>
      <c r="Q1085" s="34">
        <f t="shared" si="180"/>
        <v>91</v>
      </c>
      <c r="R1085" s="34">
        <f t="shared" si="180"/>
        <v>103</v>
      </c>
      <c r="S1085" s="35">
        <f t="shared" si="181"/>
        <v>60</v>
      </c>
    </row>
    <row r="1086" spans="2:19" hidden="1" outlineLevel="1">
      <c r="B1086" s="14" t="s">
        <v>116</v>
      </c>
      <c r="C1086" s="15" t="s">
        <v>65</v>
      </c>
      <c r="D1086" s="52">
        <v>2039</v>
      </c>
      <c r="E1086" s="34">
        <v>7</v>
      </c>
      <c r="F1086" s="38">
        <f t="shared" si="177"/>
        <v>19285.266848060925</v>
      </c>
      <c r="G1086" s="34">
        <f t="shared" si="178"/>
        <v>9</v>
      </c>
      <c r="H1086" s="34">
        <f t="shared" si="179"/>
        <v>3</v>
      </c>
      <c r="I1086" s="34" t="str">
        <f t="shared" si="180"/>
        <v/>
      </c>
      <c r="J1086" s="34" t="str">
        <f t="shared" si="180"/>
        <v/>
      </c>
      <c r="K1086" s="34" t="str">
        <f t="shared" si="180"/>
        <v/>
      </c>
      <c r="L1086" s="34" t="str">
        <f t="shared" si="180"/>
        <v/>
      </c>
      <c r="M1086" s="34" t="str">
        <f t="shared" si="180"/>
        <v/>
      </c>
      <c r="N1086" s="34">
        <f t="shared" si="180"/>
        <v>60</v>
      </c>
      <c r="O1086" s="34">
        <f t="shared" si="180"/>
        <v>66</v>
      </c>
      <c r="P1086" s="34">
        <f t="shared" si="180"/>
        <v>78</v>
      </c>
      <c r="Q1086" s="34">
        <f t="shared" si="180"/>
        <v>90</v>
      </c>
      <c r="R1086" s="34">
        <f t="shared" si="180"/>
        <v>102</v>
      </c>
      <c r="S1086" s="35">
        <f t="shared" si="181"/>
        <v>60</v>
      </c>
    </row>
    <row r="1087" spans="2:19" hidden="1" outlineLevel="1">
      <c r="B1087" s="14" t="s">
        <v>116</v>
      </c>
      <c r="C1087" s="15" t="s">
        <v>65</v>
      </c>
      <c r="D1087" s="52">
        <v>2039</v>
      </c>
      <c r="E1087" s="34">
        <v>8</v>
      </c>
      <c r="F1087" s="38">
        <f t="shared" si="177"/>
        <v>19285.266848060925</v>
      </c>
      <c r="G1087" s="34">
        <f t="shared" si="178"/>
        <v>9</v>
      </c>
      <c r="H1087" s="34">
        <f t="shared" si="179"/>
        <v>3</v>
      </c>
      <c r="I1087" s="34" t="str">
        <f t="shared" si="180"/>
        <v/>
      </c>
      <c r="J1087" s="34" t="str">
        <f t="shared" si="180"/>
        <v/>
      </c>
      <c r="K1087" s="34" t="str">
        <f t="shared" si="180"/>
        <v/>
      </c>
      <c r="L1087" s="34" t="str">
        <f t="shared" si="180"/>
        <v/>
      </c>
      <c r="M1087" s="34" t="str">
        <f t="shared" si="180"/>
        <v/>
      </c>
      <c r="N1087" s="34">
        <f t="shared" si="180"/>
        <v>60</v>
      </c>
      <c r="O1087" s="34">
        <f t="shared" si="180"/>
        <v>65</v>
      </c>
      <c r="P1087" s="34">
        <f t="shared" si="180"/>
        <v>77</v>
      </c>
      <c r="Q1087" s="34">
        <f t="shared" si="180"/>
        <v>89</v>
      </c>
      <c r="R1087" s="34">
        <f t="shared" si="180"/>
        <v>101</v>
      </c>
      <c r="S1087" s="35">
        <f t="shared" si="181"/>
        <v>60</v>
      </c>
    </row>
    <row r="1088" spans="2:19" hidden="1" outlineLevel="1">
      <c r="B1088" s="14" t="s">
        <v>116</v>
      </c>
      <c r="C1088" s="15" t="s">
        <v>65</v>
      </c>
      <c r="D1088" s="52">
        <v>2039</v>
      </c>
      <c r="E1088" s="34">
        <v>9</v>
      </c>
      <c r="F1088" s="38">
        <f t="shared" si="177"/>
        <v>19285.266848060925</v>
      </c>
      <c r="G1088" s="34">
        <f t="shared" si="178"/>
        <v>9</v>
      </c>
      <c r="H1088" s="34">
        <f t="shared" si="179"/>
        <v>3</v>
      </c>
      <c r="I1088" s="34" t="str">
        <f t="shared" si="180"/>
        <v/>
      </c>
      <c r="J1088" s="34" t="str">
        <f t="shared" si="180"/>
        <v/>
      </c>
      <c r="K1088" s="34" t="str">
        <f t="shared" si="180"/>
        <v/>
      </c>
      <c r="L1088" s="34" t="str">
        <f t="shared" si="180"/>
        <v/>
      </c>
      <c r="M1088" s="34" t="str">
        <f t="shared" si="180"/>
        <v/>
      </c>
      <c r="N1088" s="34">
        <f t="shared" si="180"/>
        <v>60</v>
      </c>
      <c r="O1088" s="34">
        <f t="shared" si="180"/>
        <v>64</v>
      </c>
      <c r="P1088" s="34">
        <f t="shared" si="180"/>
        <v>76</v>
      </c>
      <c r="Q1088" s="34">
        <f t="shared" si="180"/>
        <v>88</v>
      </c>
      <c r="R1088" s="34">
        <f t="shared" si="180"/>
        <v>100</v>
      </c>
      <c r="S1088" s="35">
        <f t="shared" si="181"/>
        <v>60</v>
      </c>
    </row>
    <row r="1089" spans="2:19" hidden="1" outlineLevel="1">
      <c r="B1089" s="14" t="s">
        <v>116</v>
      </c>
      <c r="C1089" s="15" t="s">
        <v>65</v>
      </c>
      <c r="D1089" s="52">
        <v>2039</v>
      </c>
      <c r="E1089" s="34">
        <v>10</v>
      </c>
      <c r="F1089" s="38">
        <f t="shared" si="177"/>
        <v>19285.266848060925</v>
      </c>
      <c r="G1089" s="34">
        <f t="shared" si="178"/>
        <v>9</v>
      </c>
      <c r="H1089" s="34">
        <f t="shared" si="179"/>
        <v>3</v>
      </c>
      <c r="I1089" s="34" t="str">
        <f t="shared" si="180"/>
        <v/>
      </c>
      <c r="J1089" s="34" t="str">
        <f t="shared" si="180"/>
        <v/>
      </c>
      <c r="K1089" s="34" t="str">
        <f t="shared" si="180"/>
        <v/>
      </c>
      <c r="L1089" s="34" t="str">
        <f t="shared" si="180"/>
        <v/>
      </c>
      <c r="M1089" s="34" t="str">
        <f t="shared" si="180"/>
        <v/>
      </c>
      <c r="N1089" s="34">
        <f t="shared" si="180"/>
        <v>60</v>
      </c>
      <c r="O1089" s="34">
        <f t="shared" si="180"/>
        <v>63</v>
      </c>
      <c r="P1089" s="34">
        <f t="shared" si="180"/>
        <v>75</v>
      </c>
      <c r="Q1089" s="34">
        <f t="shared" si="180"/>
        <v>87</v>
      </c>
      <c r="R1089" s="34">
        <f t="shared" si="180"/>
        <v>99</v>
      </c>
      <c r="S1089" s="35">
        <f t="shared" si="181"/>
        <v>60</v>
      </c>
    </row>
    <row r="1090" spans="2:19" hidden="1" outlineLevel="1">
      <c r="B1090" s="14" t="s">
        <v>116</v>
      </c>
      <c r="C1090" s="15" t="s">
        <v>65</v>
      </c>
      <c r="D1090" s="52">
        <v>2039</v>
      </c>
      <c r="E1090" s="34">
        <v>11</v>
      </c>
      <c r="F1090" s="38">
        <f t="shared" si="177"/>
        <v>19285.266848060925</v>
      </c>
      <c r="G1090" s="34">
        <f t="shared" si="178"/>
        <v>9</v>
      </c>
      <c r="H1090" s="34">
        <f t="shared" si="179"/>
        <v>3</v>
      </c>
      <c r="I1090" s="34" t="str">
        <f t="shared" ref="I1090:R1099" si="182">IF($D1090&lt;$Z$18,"",IF(MAX($G1090,INDEX($C$65:$F$108,$D1090+I$119-2026,$H1090))&lt;=12*I$119-$E1090+12,MAX($G1090,12*I$119-$E1090+1,INDEX($C$65:$F$108,$D1090+I$119-2026,$H1090)),""))</f>
        <v/>
      </c>
      <c r="J1090" s="34" t="str">
        <f t="shared" si="182"/>
        <v/>
      </c>
      <c r="K1090" s="34" t="str">
        <f t="shared" si="182"/>
        <v/>
      </c>
      <c r="L1090" s="34" t="str">
        <f t="shared" si="182"/>
        <v/>
      </c>
      <c r="M1090" s="34" t="str">
        <f t="shared" si="182"/>
        <v/>
      </c>
      <c r="N1090" s="34">
        <f t="shared" si="182"/>
        <v>60</v>
      </c>
      <c r="O1090" s="34">
        <f t="shared" si="182"/>
        <v>62</v>
      </c>
      <c r="P1090" s="34">
        <f t="shared" si="182"/>
        <v>74</v>
      </c>
      <c r="Q1090" s="34">
        <f t="shared" si="182"/>
        <v>86</v>
      </c>
      <c r="R1090" s="34">
        <f t="shared" si="182"/>
        <v>98</v>
      </c>
      <c r="S1090" s="35">
        <f t="shared" si="181"/>
        <v>60</v>
      </c>
    </row>
    <row r="1091" spans="2:19" hidden="1" outlineLevel="1">
      <c r="B1091" s="14" t="s">
        <v>116</v>
      </c>
      <c r="C1091" s="15" t="s">
        <v>65</v>
      </c>
      <c r="D1091" s="52">
        <v>2039</v>
      </c>
      <c r="E1091" s="34">
        <v>12</v>
      </c>
      <c r="F1091" s="38">
        <f t="shared" si="177"/>
        <v>19285.266848060925</v>
      </c>
      <c r="G1091" s="34">
        <f t="shared" si="178"/>
        <v>9</v>
      </c>
      <c r="H1091" s="34">
        <f t="shared" si="179"/>
        <v>3</v>
      </c>
      <c r="I1091" s="34" t="str">
        <f t="shared" si="182"/>
        <v/>
      </c>
      <c r="J1091" s="34" t="str">
        <f t="shared" si="182"/>
        <v/>
      </c>
      <c r="K1091" s="34" t="str">
        <f t="shared" si="182"/>
        <v/>
      </c>
      <c r="L1091" s="34" t="str">
        <f t="shared" si="182"/>
        <v/>
      </c>
      <c r="M1091" s="34" t="str">
        <f t="shared" si="182"/>
        <v/>
      </c>
      <c r="N1091" s="34">
        <f t="shared" si="182"/>
        <v>60</v>
      </c>
      <c r="O1091" s="34">
        <f t="shared" si="182"/>
        <v>61</v>
      </c>
      <c r="P1091" s="34">
        <f t="shared" si="182"/>
        <v>73</v>
      </c>
      <c r="Q1091" s="34">
        <f t="shared" si="182"/>
        <v>85</v>
      </c>
      <c r="R1091" s="34">
        <f t="shared" si="182"/>
        <v>97</v>
      </c>
      <c r="S1091" s="35">
        <f t="shared" si="181"/>
        <v>60</v>
      </c>
    </row>
    <row r="1092" spans="2:19" hidden="1" outlineLevel="1">
      <c r="B1092" s="14" t="s">
        <v>116</v>
      </c>
      <c r="C1092" s="15" t="s">
        <v>65</v>
      </c>
      <c r="D1092" s="52">
        <v>2040</v>
      </c>
      <c r="E1092" s="34">
        <v>1</v>
      </c>
      <c r="F1092" s="38">
        <f t="shared" si="177"/>
        <v>19747.713953030016</v>
      </c>
      <c r="G1092" s="34">
        <f t="shared" si="178"/>
        <v>9</v>
      </c>
      <c r="H1092" s="34">
        <f t="shared" si="179"/>
        <v>3</v>
      </c>
      <c r="I1092" s="34" t="str">
        <f t="shared" si="182"/>
        <v/>
      </c>
      <c r="J1092" s="34" t="str">
        <f t="shared" si="182"/>
        <v/>
      </c>
      <c r="K1092" s="34" t="str">
        <f t="shared" si="182"/>
        <v/>
      </c>
      <c r="L1092" s="34" t="str">
        <f t="shared" si="182"/>
        <v/>
      </c>
      <c r="M1092" s="34" t="str">
        <f t="shared" si="182"/>
        <v/>
      </c>
      <c r="N1092" s="34">
        <f t="shared" si="182"/>
        <v>60</v>
      </c>
      <c r="O1092" s="34">
        <f t="shared" si="182"/>
        <v>72</v>
      </c>
      <c r="P1092" s="34">
        <f t="shared" si="182"/>
        <v>84</v>
      </c>
      <c r="Q1092" s="34">
        <f t="shared" si="182"/>
        <v>96</v>
      </c>
      <c r="R1092" s="34">
        <f t="shared" si="182"/>
        <v>108</v>
      </c>
      <c r="S1092" s="35">
        <f t="shared" si="181"/>
        <v>60</v>
      </c>
    </row>
    <row r="1093" spans="2:19" hidden="1" outlineLevel="1">
      <c r="B1093" s="14" t="s">
        <v>116</v>
      </c>
      <c r="C1093" s="15" t="s">
        <v>65</v>
      </c>
      <c r="D1093" s="52">
        <v>2040</v>
      </c>
      <c r="E1093" s="34">
        <v>2</v>
      </c>
      <c r="F1093" s="38">
        <f t="shared" si="177"/>
        <v>19747.713953030016</v>
      </c>
      <c r="G1093" s="34">
        <f t="shared" si="178"/>
        <v>9</v>
      </c>
      <c r="H1093" s="34">
        <f t="shared" si="179"/>
        <v>3</v>
      </c>
      <c r="I1093" s="34" t="str">
        <f t="shared" si="182"/>
        <v/>
      </c>
      <c r="J1093" s="34" t="str">
        <f t="shared" si="182"/>
        <v/>
      </c>
      <c r="K1093" s="34" t="str">
        <f t="shared" si="182"/>
        <v/>
      </c>
      <c r="L1093" s="34" t="str">
        <f t="shared" si="182"/>
        <v/>
      </c>
      <c r="M1093" s="34" t="str">
        <f t="shared" si="182"/>
        <v/>
      </c>
      <c r="N1093" s="34">
        <f t="shared" si="182"/>
        <v>60</v>
      </c>
      <c r="O1093" s="34">
        <f t="shared" si="182"/>
        <v>71</v>
      </c>
      <c r="P1093" s="34">
        <f t="shared" si="182"/>
        <v>83</v>
      </c>
      <c r="Q1093" s="34">
        <f t="shared" si="182"/>
        <v>95</v>
      </c>
      <c r="R1093" s="34">
        <f t="shared" si="182"/>
        <v>107</v>
      </c>
      <c r="S1093" s="35">
        <f t="shared" si="181"/>
        <v>60</v>
      </c>
    </row>
    <row r="1094" spans="2:19" hidden="1" outlineLevel="1">
      <c r="B1094" s="14" t="s">
        <v>116</v>
      </c>
      <c r="C1094" s="15" t="s">
        <v>65</v>
      </c>
      <c r="D1094" s="52">
        <v>2040</v>
      </c>
      <c r="E1094" s="34">
        <v>3</v>
      </c>
      <c r="F1094" s="38">
        <f t="shared" si="177"/>
        <v>19747.713953030016</v>
      </c>
      <c r="G1094" s="34">
        <f t="shared" si="178"/>
        <v>9</v>
      </c>
      <c r="H1094" s="34">
        <f t="shared" si="179"/>
        <v>3</v>
      </c>
      <c r="I1094" s="34" t="str">
        <f t="shared" si="182"/>
        <v/>
      </c>
      <c r="J1094" s="34" t="str">
        <f t="shared" si="182"/>
        <v/>
      </c>
      <c r="K1094" s="34" t="str">
        <f t="shared" si="182"/>
        <v/>
      </c>
      <c r="L1094" s="34" t="str">
        <f t="shared" si="182"/>
        <v/>
      </c>
      <c r="M1094" s="34" t="str">
        <f t="shared" si="182"/>
        <v/>
      </c>
      <c r="N1094" s="34">
        <f t="shared" si="182"/>
        <v>60</v>
      </c>
      <c r="O1094" s="34">
        <f t="shared" si="182"/>
        <v>70</v>
      </c>
      <c r="P1094" s="34">
        <f t="shared" si="182"/>
        <v>82</v>
      </c>
      <c r="Q1094" s="34">
        <f t="shared" si="182"/>
        <v>94</v>
      </c>
      <c r="R1094" s="34">
        <f t="shared" si="182"/>
        <v>106</v>
      </c>
      <c r="S1094" s="35">
        <f t="shared" si="181"/>
        <v>60</v>
      </c>
    </row>
    <row r="1095" spans="2:19" hidden="1" outlineLevel="1">
      <c r="B1095" s="14" t="s">
        <v>116</v>
      </c>
      <c r="C1095" s="15" t="s">
        <v>65</v>
      </c>
      <c r="D1095" s="52">
        <v>2040</v>
      </c>
      <c r="E1095" s="34">
        <v>4</v>
      </c>
      <c r="F1095" s="38">
        <f t="shared" si="177"/>
        <v>19747.713953030016</v>
      </c>
      <c r="G1095" s="34">
        <f t="shared" si="178"/>
        <v>9</v>
      </c>
      <c r="H1095" s="34">
        <f t="shared" si="179"/>
        <v>3</v>
      </c>
      <c r="I1095" s="34" t="str">
        <f t="shared" si="182"/>
        <v/>
      </c>
      <c r="J1095" s="34" t="str">
        <f t="shared" si="182"/>
        <v/>
      </c>
      <c r="K1095" s="34" t="str">
        <f t="shared" si="182"/>
        <v/>
      </c>
      <c r="L1095" s="34" t="str">
        <f t="shared" si="182"/>
        <v/>
      </c>
      <c r="M1095" s="34" t="str">
        <f t="shared" si="182"/>
        <v/>
      </c>
      <c r="N1095" s="34">
        <f t="shared" si="182"/>
        <v>60</v>
      </c>
      <c r="O1095" s="34">
        <f t="shared" si="182"/>
        <v>69</v>
      </c>
      <c r="P1095" s="34">
        <f t="shared" si="182"/>
        <v>81</v>
      </c>
      <c r="Q1095" s="34">
        <f t="shared" si="182"/>
        <v>93</v>
      </c>
      <c r="R1095" s="34">
        <f t="shared" si="182"/>
        <v>105</v>
      </c>
      <c r="S1095" s="35">
        <f t="shared" si="181"/>
        <v>60</v>
      </c>
    </row>
    <row r="1096" spans="2:19" hidden="1" outlineLevel="1">
      <c r="B1096" s="14" t="s">
        <v>116</v>
      </c>
      <c r="C1096" s="15" t="s">
        <v>65</v>
      </c>
      <c r="D1096" s="52">
        <v>2040</v>
      </c>
      <c r="E1096" s="34">
        <v>5</v>
      </c>
      <c r="F1096" s="38">
        <f t="shared" si="177"/>
        <v>19747.713953030016</v>
      </c>
      <c r="G1096" s="34">
        <f t="shared" si="178"/>
        <v>9</v>
      </c>
      <c r="H1096" s="34">
        <f t="shared" si="179"/>
        <v>3</v>
      </c>
      <c r="I1096" s="34" t="str">
        <f t="shared" si="182"/>
        <v/>
      </c>
      <c r="J1096" s="34" t="str">
        <f t="shared" si="182"/>
        <v/>
      </c>
      <c r="K1096" s="34" t="str">
        <f t="shared" si="182"/>
        <v/>
      </c>
      <c r="L1096" s="34" t="str">
        <f t="shared" si="182"/>
        <v/>
      </c>
      <c r="M1096" s="34" t="str">
        <f t="shared" si="182"/>
        <v/>
      </c>
      <c r="N1096" s="34">
        <f t="shared" si="182"/>
        <v>60</v>
      </c>
      <c r="O1096" s="34">
        <f t="shared" si="182"/>
        <v>68</v>
      </c>
      <c r="P1096" s="34">
        <f t="shared" si="182"/>
        <v>80</v>
      </c>
      <c r="Q1096" s="34">
        <f t="shared" si="182"/>
        <v>92</v>
      </c>
      <c r="R1096" s="34">
        <f t="shared" si="182"/>
        <v>104</v>
      </c>
      <c r="S1096" s="35">
        <f t="shared" si="181"/>
        <v>60</v>
      </c>
    </row>
    <row r="1097" spans="2:19" hidden="1" outlineLevel="1">
      <c r="B1097" s="14" t="s">
        <v>116</v>
      </c>
      <c r="C1097" s="15" t="s">
        <v>65</v>
      </c>
      <c r="D1097" s="52">
        <v>2040</v>
      </c>
      <c r="E1097" s="34">
        <v>6</v>
      </c>
      <c r="F1097" s="38">
        <f t="shared" si="177"/>
        <v>19747.713953030016</v>
      </c>
      <c r="G1097" s="34">
        <f t="shared" si="178"/>
        <v>9</v>
      </c>
      <c r="H1097" s="34">
        <f t="shared" si="179"/>
        <v>3</v>
      </c>
      <c r="I1097" s="34" t="str">
        <f t="shared" si="182"/>
        <v/>
      </c>
      <c r="J1097" s="34" t="str">
        <f t="shared" si="182"/>
        <v/>
      </c>
      <c r="K1097" s="34" t="str">
        <f t="shared" si="182"/>
        <v/>
      </c>
      <c r="L1097" s="34" t="str">
        <f t="shared" si="182"/>
        <v/>
      </c>
      <c r="M1097" s="34" t="str">
        <f t="shared" si="182"/>
        <v/>
      </c>
      <c r="N1097" s="34">
        <f t="shared" si="182"/>
        <v>60</v>
      </c>
      <c r="O1097" s="34">
        <f t="shared" si="182"/>
        <v>67</v>
      </c>
      <c r="P1097" s="34">
        <f t="shared" si="182"/>
        <v>79</v>
      </c>
      <c r="Q1097" s="34">
        <f t="shared" si="182"/>
        <v>91</v>
      </c>
      <c r="R1097" s="34">
        <f t="shared" si="182"/>
        <v>103</v>
      </c>
      <c r="S1097" s="35">
        <f t="shared" si="181"/>
        <v>60</v>
      </c>
    </row>
    <row r="1098" spans="2:19" hidden="1" outlineLevel="1">
      <c r="B1098" s="14" t="s">
        <v>116</v>
      </c>
      <c r="C1098" s="15" t="s">
        <v>65</v>
      </c>
      <c r="D1098" s="52">
        <v>2040</v>
      </c>
      <c r="E1098" s="34">
        <v>7</v>
      </c>
      <c r="F1098" s="38">
        <f t="shared" si="177"/>
        <v>19747.713953030016</v>
      </c>
      <c r="G1098" s="34">
        <f t="shared" si="178"/>
        <v>9</v>
      </c>
      <c r="H1098" s="34">
        <f t="shared" si="179"/>
        <v>3</v>
      </c>
      <c r="I1098" s="34" t="str">
        <f t="shared" si="182"/>
        <v/>
      </c>
      <c r="J1098" s="34" t="str">
        <f t="shared" si="182"/>
        <v/>
      </c>
      <c r="K1098" s="34" t="str">
        <f t="shared" si="182"/>
        <v/>
      </c>
      <c r="L1098" s="34" t="str">
        <f t="shared" si="182"/>
        <v/>
      </c>
      <c r="M1098" s="34" t="str">
        <f t="shared" si="182"/>
        <v/>
      </c>
      <c r="N1098" s="34">
        <f t="shared" si="182"/>
        <v>60</v>
      </c>
      <c r="O1098" s="34">
        <f t="shared" si="182"/>
        <v>66</v>
      </c>
      <c r="P1098" s="34">
        <f t="shared" si="182"/>
        <v>78</v>
      </c>
      <c r="Q1098" s="34">
        <f t="shared" si="182"/>
        <v>90</v>
      </c>
      <c r="R1098" s="34">
        <f t="shared" si="182"/>
        <v>102</v>
      </c>
      <c r="S1098" s="35">
        <f t="shared" si="181"/>
        <v>60</v>
      </c>
    </row>
    <row r="1099" spans="2:19" hidden="1" outlineLevel="1">
      <c r="B1099" s="14" t="s">
        <v>116</v>
      </c>
      <c r="C1099" s="15" t="s">
        <v>65</v>
      </c>
      <c r="D1099" s="52">
        <v>2040</v>
      </c>
      <c r="E1099" s="34">
        <v>8</v>
      </c>
      <c r="F1099" s="38">
        <f t="shared" si="177"/>
        <v>19747.713953030016</v>
      </c>
      <c r="G1099" s="34">
        <f t="shared" si="178"/>
        <v>9</v>
      </c>
      <c r="H1099" s="34">
        <f t="shared" si="179"/>
        <v>3</v>
      </c>
      <c r="I1099" s="34" t="str">
        <f t="shared" si="182"/>
        <v/>
      </c>
      <c r="J1099" s="34" t="str">
        <f t="shared" si="182"/>
        <v/>
      </c>
      <c r="K1099" s="34" t="str">
        <f t="shared" si="182"/>
        <v/>
      </c>
      <c r="L1099" s="34" t="str">
        <f t="shared" si="182"/>
        <v/>
      </c>
      <c r="M1099" s="34" t="str">
        <f t="shared" si="182"/>
        <v/>
      </c>
      <c r="N1099" s="34">
        <f t="shared" si="182"/>
        <v>60</v>
      </c>
      <c r="O1099" s="34">
        <f t="shared" si="182"/>
        <v>65</v>
      </c>
      <c r="P1099" s="34">
        <f t="shared" si="182"/>
        <v>77</v>
      </c>
      <c r="Q1099" s="34">
        <f t="shared" si="182"/>
        <v>89</v>
      </c>
      <c r="R1099" s="34">
        <f t="shared" si="182"/>
        <v>101</v>
      </c>
      <c r="S1099" s="35">
        <f t="shared" si="181"/>
        <v>60</v>
      </c>
    </row>
    <row r="1100" spans="2:19" hidden="1" outlineLevel="1">
      <c r="B1100" s="14" t="s">
        <v>116</v>
      </c>
      <c r="C1100" s="15" t="s">
        <v>65</v>
      </c>
      <c r="D1100" s="52">
        <v>2040</v>
      </c>
      <c r="E1100" s="34">
        <v>9</v>
      </c>
      <c r="F1100" s="38">
        <f t="shared" si="177"/>
        <v>19747.713953030016</v>
      </c>
      <c r="G1100" s="34">
        <f t="shared" si="178"/>
        <v>9</v>
      </c>
      <c r="H1100" s="34">
        <f t="shared" si="179"/>
        <v>3</v>
      </c>
      <c r="I1100" s="34" t="str">
        <f t="shared" ref="I1100:R1109" si="183">IF($D1100&lt;$Z$18,"",IF(MAX($G1100,INDEX($C$65:$F$108,$D1100+I$119-2026,$H1100))&lt;=12*I$119-$E1100+12,MAX($G1100,12*I$119-$E1100+1,INDEX($C$65:$F$108,$D1100+I$119-2026,$H1100)),""))</f>
        <v/>
      </c>
      <c r="J1100" s="34" t="str">
        <f t="shared" si="183"/>
        <v/>
      </c>
      <c r="K1100" s="34" t="str">
        <f t="shared" si="183"/>
        <v/>
      </c>
      <c r="L1100" s="34" t="str">
        <f t="shared" si="183"/>
        <v/>
      </c>
      <c r="M1100" s="34" t="str">
        <f t="shared" si="183"/>
        <v/>
      </c>
      <c r="N1100" s="34">
        <f t="shared" si="183"/>
        <v>60</v>
      </c>
      <c r="O1100" s="34">
        <f t="shared" si="183"/>
        <v>64</v>
      </c>
      <c r="P1100" s="34">
        <f t="shared" si="183"/>
        <v>76</v>
      </c>
      <c r="Q1100" s="34">
        <f t="shared" si="183"/>
        <v>88</v>
      </c>
      <c r="R1100" s="34">
        <f t="shared" si="183"/>
        <v>100</v>
      </c>
      <c r="S1100" s="35">
        <f t="shared" si="181"/>
        <v>60</v>
      </c>
    </row>
    <row r="1101" spans="2:19" hidden="1" outlineLevel="1">
      <c r="B1101" s="14" t="s">
        <v>116</v>
      </c>
      <c r="C1101" s="15" t="s">
        <v>65</v>
      </c>
      <c r="D1101" s="52">
        <v>2040</v>
      </c>
      <c r="E1101" s="34">
        <v>10</v>
      </c>
      <c r="F1101" s="38">
        <f t="shared" si="177"/>
        <v>19747.713953030016</v>
      </c>
      <c r="G1101" s="34">
        <f t="shared" si="178"/>
        <v>9</v>
      </c>
      <c r="H1101" s="34">
        <f t="shared" si="179"/>
        <v>3</v>
      </c>
      <c r="I1101" s="34" t="str">
        <f t="shared" si="183"/>
        <v/>
      </c>
      <c r="J1101" s="34" t="str">
        <f t="shared" si="183"/>
        <v/>
      </c>
      <c r="K1101" s="34" t="str">
        <f t="shared" si="183"/>
        <v/>
      </c>
      <c r="L1101" s="34" t="str">
        <f t="shared" si="183"/>
        <v/>
      </c>
      <c r="M1101" s="34" t="str">
        <f t="shared" si="183"/>
        <v/>
      </c>
      <c r="N1101" s="34">
        <f t="shared" si="183"/>
        <v>60</v>
      </c>
      <c r="O1101" s="34">
        <f t="shared" si="183"/>
        <v>63</v>
      </c>
      <c r="P1101" s="34">
        <f t="shared" si="183"/>
        <v>75</v>
      </c>
      <c r="Q1101" s="34">
        <f t="shared" si="183"/>
        <v>87</v>
      </c>
      <c r="R1101" s="34">
        <f t="shared" si="183"/>
        <v>99</v>
      </c>
      <c r="S1101" s="35">
        <f t="shared" si="181"/>
        <v>60</v>
      </c>
    </row>
    <row r="1102" spans="2:19" hidden="1" outlineLevel="1">
      <c r="B1102" s="14" t="s">
        <v>116</v>
      </c>
      <c r="C1102" s="15" t="s">
        <v>65</v>
      </c>
      <c r="D1102" s="52">
        <v>2040</v>
      </c>
      <c r="E1102" s="34">
        <v>11</v>
      </c>
      <c r="F1102" s="38">
        <f t="shared" si="177"/>
        <v>19747.713953030016</v>
      </c>
      <c r="G1102" s="34">
        <f t="shared" si="178"/>
        <v>9</v>
      </c>
      <c r="H1102" s="34">
        <f t="shared" si="179"/>
        <v>3</v>
      </c>
      <c r="I1102" s="34" t="str">
        <f t="shared" si="183"/>
        <v/>
      </c>
      <c r="J1102" s="34" t="str">
        <f t="shared" si="183"/>
        <v/>
      </c>
      <c r="K1102" s="34" t="str">
        <f t="shared" si="183"/>
        <v/>
      </c>
      <c r="L1102" s="34" t="str">
        <f t="shared" si="183"/>
        <v/>
      </c>
      <c r="M1102" s="34" t="str">
        <f t="shared" si="183"/>
        <v/>
      </c>
      <c r="N1102" s="34">
        <f t="shared" si="183"/>
        <v>60</v>
      </c>
      <c r="O1102" s="34">
        <f t="shared" si="183"/>
        <v>62</v>
      </c>
      <c r="P1102" s="34">
        <f t="shared" si="183"/>
        <v>74</v>
      </c>
      <c r="Q1102" s="34">
        <f t="shared" si="183"/>
        <v>86</v>
      </c>
      <c r="R1102" s="34">
        <f t="shared" si="183"/>
        <v>98</v>
      </c>
      <c r="S1102" s="35">
        <f t="shared" si="181"/>
        <v>60</v>
      </c>
    </row>
    <row r="1103" spans="2:19" hidden="1" outlineLevel="1">
      <c r="B1103" s="14" t="s">
        <v>116</v>
      </c>
      <c r="C1103" s="15" t="s">
        <v>65</v>
      </c>
      <c r="D1103" s="52">
        <v>2040</v>
      </c>
      <c r="E1103" s="34">
        <v>12</v>
      </c>
      <c r="F1103" s="38">
        <f t="shared" si="177"/>
        <v>19747.713953030016</v>
      </c>
      <c r="G1103" s="34">
        <f t="shared" si="178"/>
        <v>9</v>
      </c>
      <c r="H1103" s="34">
        <f t="shared" si="179"/>
        <v>3</v>
      </c>
      <c r="I1103" s="34" t="str">
        <f t="shared" si="183"/>
        <v/>
      </c>
      <c r="J1103" s="34" t="str">
        <f t="shared" si="183"/>
        <v/>
      </c>
      <c r="K1103" s="34" t="str">
        <f t="shared" si="183"/>
        <v/>
      </c>
      <c r="L1103" s="34" t="str">
        <f t="shared" si="183"/>
        <v/>
      </c>
      <c r="M1103" s="34" t="str">
        <f t="shared" si="183"/>
        <v/>
      </c>
      <c r="N1103" s="34">
        <f t="shared" si="183"/>
        <v>60</v>
      </c>
      <c r="O1103" s="34">
        <f t="shared" si="183"/>
        <v>61</v>
      </c>
      <c r="P1103" s="34">
        <f t="shared" si="183"/>
        <v>73</v>
      </c>
      <c r="Q1103" s="34">
        <f t="shared" si="183"/>
        <v>85</v>
      </c>
      <c r="R1103" s="34">
        <f t="shared" si="183"/>
        <v>97</v>
      </c>
      <c r="S1103" s="35">
        <f t="shared" si="181"/>
        <v>60</v>
      </c>
    </row>
    <row r="1104" spans="2:19" hidden="1" outlineLevel="1">
      <c r="B1104" s="14" t="s">
        <v>116</v>
      </c>
      <c r="C1104" s="15" t="s">
        <v>65</v>
      </c>
      <c r="D1104" s="52">
        <v>2041</v>
      </c>
      <c r="E1104" s="34">
        <v>1</v>
      </c>
      <c r="F1104" s="38">
        <f t="shared" si="177"/>
        <v>20036.622381249534</v>
      </c>
      <c r="G1104" s="34">
        <f t="shared" si="178"/>
        <v>9</v>
      </c>
      <c r="H1104" s="34">
        <f t="shared" si="179"/>
        <v>3</v>
      </c>
      <c r="I1104" s="34" t="str">
        <f t="shared" si="183"/>
        <v/>
      </c>
      <c r="J1104" s="34" t="str">
        <f t="shared" si="183"/>
        <v/>
      </c>
      <c r="K1104" s="34" t="str">
        <f t="shared" si="183"/>
        <v/>
      </c>
      <c r="L1104" s="34" t="str">
        <f t="shared" si="183"/>
        <v/>
      </c>
      <c r="M1104" s="34" t="str">
        <f t="shared" si="183"/>
        <v/>
      </c>
      <c r="N1104" s="34">
        <f t="shared" si="183"/>
        <v>60</v>
      </c>
      <c r="O1104" s="34">
        <f t="shared" si="183"/>
        <v>72</v>
      </c>
      <c r="P1104" s="34">
        <f t="shared" si="183"/>
        <v>84</v>
      </c>
      <c r="Q1104" s="34">
        <f t="shared" si="183"/>
        <v>96</v>
      </c>
      <c r="R1104" s="34">
        <f t="shared" si="183"/>
        <v>108</v>
      </c>
      <c r="S1104" s="35">
        <f t="shared" si="181"/>
        <v>60</v>
      </c>
    </row>
    <row r="1105" spans="2:19" hidden="1" outlineLevel="1">
      <c r="B1105" s="14" t="s">
        <v>116</v>
      </c>
      <c r="C1105" s="15" t="s">
        <v>65</v>
      </c>
      <c r="D1105" s="52">
        <v>2041</v>
      </c>
      <c r="E1105" s="34">
        <v>2</v>
      </c>
      <c r="F1105" s="38">
        <f t="shared" si="177"/>
        <v>20036.622381249534</v>
      </c>
      <c r="G1105" s="34">
        <f t="shared" si="178"/>
        <v>9</v>
      </c>
      <c r="H1105" s="34">
        <f t="shared" si="179"/>
        <v>3</v>
      </c>
      <c r="I1105" s="34" t="str">
        <f t="shared" si="183"/>
        <v/>
      </c>
      <c r="J1105" s="34" t="str">
        <f t="shared" si="183"/>
        <v/>
      </c>
      <c r="K1105" s="34" t="str">
        <f t="shared" si="183"/>
        <v/>
      </c>
      <c r="L1105" s="34" t="str">
        <f t="shared" si="183"/>
        <v/>
      </c>
      <c r="M1105" s="34" t="str">
        <f t="shared" si="183"/>
        <v/>
      </c>
      <c r="N1105" s="34">
        <f t="shared" si="183"/>
        <v>60</v>
      </c>
      <c r="O1105" s="34">
        <f t="shared" si="183"/>
        <v>71</v>
      </c>
      <c r="P1105" s="34">
        <f t="shared" si="183"/>
        <v>83</v>
      </c>
      <c r="Q1105" s="34">
        <f t="shared" si="183"/>
        <v>95</v>
      </c>
      <c r="R1105" s="34">
        <f t="shared" si="183"/>
        <v>107</v>
      </c>
      <c r="S1105" s="35">
        <f t="shared" si="181"/>
        <v>60</v>
      </c>
    </row>
    <row r="1106" spans="2:19" hidden="1" outlineLevel="1">
      <c r="B1106" s="14" t="s">
        <v>116</v>
      </c>
      <c r="C1106" s="15" t="s">
        <v>65</v>
      </c>
      <c r="D1106" s="52">
        <v>2041</v>
      </c>
      <c r="E1106" s="34">
        <v>3</v>
      </c>
      <c r="F1106" s="38">
        <f t="shared" si="177"/>
        <v>20036.622381249534</v>
      </c>
      <c r="G1106" s="34">
        <f t="shared" si="178"/>
        <v>9</v>
      </c>
      <c r="H1106" s="34">
        <f t="shared" si="179"/>
        <v>3</v>
      </c>
      <c r="I1106" s="34" t="str">
        <f t="shared" si="183"/>
        <v/>
      </c>
      <c r="J1106" s="34" t="str">
        <f t="shared" si="183"/>
        <v/>
      </c>
      <c r="K1106" s="34" t="str">
        <f t="shared" si="183"/>
        <v/>
      </c>
      <c r="L1106" s="34" t="str">
        <f t="shared" si="183"/>
        <v/>
      </c>
      <c r="M1106" s="34" t="str">
        <f t="shared" si="183"/>
        <v/>
      </c>
      <c r="N1106" s="34">
        <f t="shared" si="183"/>
        <v>60</v>
      </c>
      <c r="O1106" s="34">
        <f t="shared" si="183"/>
        <v>70</v>
      </c>
      <c r="P1106" s="34">
        <f t="shared" si="183"/>
        <v>82</v>
      </c>
      <c r="Q1106" s="34">
        <f t="shared" si="183"/>
        <v>94</v>
      </c>
      <c r="R1106" s="34">
        <f t="shared" si="183"/>
        <v>106</v>
      </c>
      <c r="S1106" s="35">
        <f t="shared" si="181"/>
        <v>60</v>
      </c>
    </row>
    <row r="1107" spans="2:19" hidden="1" outlineLevel="1">
      <c r="B1107" s="14" t="s">
        <v>116</v>
      </c>
      <c r="C1107" s="15" t="s">
        <v>65</v>
      </c>
      <c r="D1107" s="52">
        <v>2041</v>
      </c>
      <c r="E1107" s="34">
        <v>4</v>
      </c>
      <c r="F1107" s="38">
        <f t="shared" si="177"/>
        <v>20036.622381249534</v>
      </c>
      <c r="G1107" s="34">
        <f t="shared" si="178"/>
        <v>9</v>
      </c>
      <c r="H1107" s="34">
        <f t="shared" si="179"/>
        <v>3</v>
      </c>
      <c r="I1107" s="34" t="str">
        <f t="shared" si="183"/>
        <v/>
      </c>
      <c r="J1107" s="34" t="str">
        <f t="shared" si="183"/>
        <v/>
      </c>
      <c r="K1107" s="34" t="str">
        <f t="shared" si="183"/>
        <v/>
      </c>
      <c r="L1107" s="34" t="str">
        <f t="shared" si="183"/>
        <v/>
      </c>
      <c r="M1107" s="34" t="str">
        <f t="shared" si="183"/>
        <v/>
      </c>
      <c r="N1107" s="34">
        <f t="shared" si="183"/>
        <v>60</v>
      </c>
      <c r="O1107" s="34">
        <f t="shared" si="183"/>
        <v>69</v>
      </c>
      <c r="P1107" s="34">
        <f t="shared" si="183"/>
        <v>81</v>
      </c>
      <c r="Q1107" s="34">
        <f t="shared" si="183"/>
        <v>93</v>
      </c>
      <c r="R1107" s="34">
        <f t="shared" si="183"/>
        <v>105</v>
      </c>
      <c r="S1107" s="35">
        <f t="shared" si="181"/>
        <v>60</v>
      </c>
    </row>
    <row r="1108" spans="2:19" hidden="1" outlineLevel="1">
      <c r="B1108" s="14" t="s">
        <v>116</v>
      </c>
      <c r="C1108" s="15" t="s">
        <v>65</v>
      </c>
      <c r="D1108" s="52">
        <v>2041</v>
      </c>
      <c r="E1108" s="34">
        <v>5</v>
      </c>
      <c r="F1108" s="38">
        <f t="shared" si="177"/>
        <v>20036.622381249534</v>
      </c>
      <c r="G1108" s="34">
        <f t="shared" si="178"/>
        <v>9</v>
      </c>
      <c r="H1108" s="34">
        <f t="shared" si="179"/>
        <v>3</v>
      </c>
      <c r="I1108" s="34" t="str">
        <f t="shared" si="183"/>
        <v/>
      </c>
      <c r="J1108" s="34" t="str">
        <f t="shared" si="183"/>
        <v/>
      </c>
      <c r="K1108" s="34" t="str">
        <f t="shared" si="183"/>
        <v/>
      </c>
      <c r="L1108" s="34" t="str">
        <f t="shared" si="183"/>
        <v/>
      </c>
      <c r="M1108" s="34" t="str">
        <f t="shared" si="183"/>
        <v/>
      </c>
      <c r="N1108" s="34">
        <f t="shared" si="183"/>
        <v>60</v>
      </c>
      <c r="O1108" s="34">
        <f t="shared" si="183"/>
        <v>68</v>
      </c>
      <c r="P1108" s="34">
        <f t="shared" si="183"/>
        <v>80</v>
      </c>
      <c r="Q1108" s="34">
        <f t="shared" si="183"/>
        <v>92</v>
      </c>
      <c r="R1108" s="34">
        <f t="shared" si="183"/>
        <v>104</v>
      </c>
      <c r="S1108" s="35">
        <f t="shared" si="181"/>
        <v>60</v>
      </c>
    </row>
    <row r="1109" spans="2:19" hidden="1" outlineLevel="1">
      <c r="B1109" s="14" t="s">
        <v>116</v>
      </c>
      <c r="C1109" s="15" t="s">
        <v>65</v>
      </c>
      <c r="D1109" s="52">
        <v>2041</v>
      </c>
      <c r="E1109" s="34">
        <v>6</v>
      </c>
      <c r="F1109" s="38">
        <f t="shared" si="177"/>
        <v>20036.622381249534</v>
      </c>
      <c r="G1109" s="34">
        <f t="shared" si="178"/>
        <v>9</v>
      </c>
      <c r="H1109" s="34">
        <f t="shared" si="179"/>
        <v>3</v>
      </c>
      <c r="I1109" s="34" t="str">
        <f t="shared" si="183"/>
        <v/>
      </c>
      <c r="J1109" s="34" t="str">
        <f t="shared" si="183"/>
        <v/>
      </c>
      <c r="K1109" s="34" t="str">
        <f t="shared" si="183"/>
        <v/>
      </c>
      <c r="L1109" s="34" t="str">
        <f t="shared" si="183"/>
        <v/>
      </c>
      <c r="M1109" s="34" t="str">
        <f t="shared" si="183"/>
        <v/>
      </c>
      <c r="N1109" s="34">
        <f t="shared" si="183"/>
        <v>60</v>
      </c>
      <c r="O1109" s="34">
        <f t="shared" si="183"/>
        <v>67</v>
      </c>
      <c r="P1109" s="34">
        <f t="shared" si="183"/>
        <v>79</v>
      </c>
      <c r="Q1109" s="34">
        <f t="shared" si="183"/>
        <v>91</v>
      </c>
      <c r="R1109" s="34">
        <f t="shared" si="183"/>
        <v>103</v>
      </c>
      <c r="S1109" s="35">
        <f t="shared" si="181"/>
        <v>60</v>
      </c>
    </row>
    <row r="1110" spans="2:19" hidden="1" outlineLevel="1">
      <c r="B1110" s="14" t="s">
        <v>116</v>
      </c>
      <c r="C1110" s="15" t="s">
        <v>65</v>
      </c>
      <c r="D1110" s="52">
        <v>2041</v>
      </c>
      <c r="E1110" s="34">
        <v>7</v>
      </c>
      <c r="F1110" s="38">
        <f t="shared" si="177"/>
        <v>20036.622381249534</v>
      </c>
      <c r="G1110" s="34">
        <f t="shared" si="178"/>
        <v>9</v>
      </c>
      <c r="H1110" s="34">
        <f t="shared" si="179"/>
        <v>3</v>
      </c>
      <c r="I1110" s="34" t="str">
        <f t="shared" ref="I1110:R1119" si="184">IF($D1110&lt;$Z$18,"",IF(MAX($G1110,INDEX($C$65:$F$108,$D1110+I$119-2026,$H1110))&lt;=12*I$119-$E1110+12,MAX($G1110,12*I$119-$E1110+1,INDEX($C$65:$F$108,$D1110+I$119-2026,$H1110)),""))</f>
        <v/>
      </c>
      <c r="J1110" s="34" t="str">
        <f t="shared" si="184"/>
        <v/>
      </c>
      <c r="K1110" s="34" t="str">
        <f t="shared" si="184"/>
        <v/>
      </c>
      <c r="L1110" s="34" t="str">
        <f t="shared" si="184"/>
        <v/>
      </c>
      <c r="M1110" s="34" t="str">
        <f t="shared" si="184"/>
        <v/>
      </c>
      <c r="N1110" s="34">
        <f t="shared" si="184"/>
        <v>60</v>
      </c>
      <c r="O1110" s="34">
        <f t="shared" si="184"/>
        <v>66</v>
      </c>
      <c r="P1110" s="34">
        <f t="shared" si="184"/>
        <v>78</v>
      </c>
      <c r="Q1110" s="34">
        <f t="shared" si="184"/>
        <v>90</v>
      </c>
      <c r="R1110" s="34">
        <f t="shared" si="184"/>
        <v>102</v>
      </c>
      <c r="S1110" s="35">
        <f t="shared" si="181"/>
        <v>60</v>
      </c>
    </row>
    <row r="1111" spans="2:19" hidden="1" outlineLevel="1">
      <c r="B1111" s="14" t="s">
        <v>116</v>
      </c>
      <c r="C1111" s="15" t="s">
        <v>65</v>
      </c>
      <c r="D1111" s="52">
        <v>2041</v>
      </c>
      <c r="E1111" s="34">
        <v>8</v>
      </c>
      <c r="F1111" s="38">
        <f t="shared" si="177"/>
        <v>20036.622381249534</v>
      </c>
      <c r="G1111" s="34">
        <f t="shared" si="178"/>
        <v>9</v>
      </c>
      <c r="H1111" s="34">
        <f t="shared" si="179"/>
        <v>3</v>
      </c>
      <c r="I1111" s="34" t="str">
        <f t="shared" si="184"/>
        <v/>
      </c>
      <c r="J1111" s="34" t="str">
        <f t="shared" si="184"/>
        <v/>
      </c>
      <c r="K1111" s="34" t="str">
        <f t="shared" si="184"/>
        <v/>
      </c>
      <c r="L1111" s="34" t="str">
        <f t="shared" si="184"/>
        <v/>
      </c>
      <c r="M1111" s="34" t="str">
        <f t="shared" si="184"/>
        <v/>
      </c>
      <c r="N1111" s="34">
        <f t="shared" si="184"/>
        <v>60</v>
      </c>
      <c r="O1111" s="34">
        <f t="shared" si="184"/>
        <v>65</v>
      </c>
      <c r="P1111" s="34">
        <f t="shared" si="184"/>
        <v>77</v>
      </c>
      <c r="Q1111" s="34">
        <f t="shared" si="184"/>
        <v>89</v>
      </c>
      <c r="R1111" s="34">
        <f t="shared" si="184"/>
        <v>101</v>
      </c>
      <c r="S1111" s="35">
        <f t="shared" si="181"/>
        <v>60</v>
      </c>
    </row>
    <row r="1112" spans="2:19" hidden="1" outlineLevel="1">
      <c r="B1112" s="14" t="s">
        <v>116</v>
      </c>
      <c r="C1112" s="15" t="s">
        <v>65</v>
      </c>
      <c r="D1112" s="52">
        <v>2041</v>
      </c>
      <c r="E1112" s="34">
        <v>9</v>
      </c>
      <c r="F1112" s="38">
        <f t="shared" si="177"/>
        <v>20036.622381249534</v>
      </c>
      <c r="G1112" s="34">
        <f t="shared" si="178"/>
        <v>9</v>
      </c>
      <c r="H1112" s="34">
        <f t="shared" si="179"/>
        <v>3</v>
      </c>
      <c r="I1112" s="34" t="str">
        <f t="shared" si="184"/>
        <v/>
      </c>
      <c r="J1112" s="34" t="str">
        <f t="shared" si="184"/>
        <v/>
      </c>
      <c r="K1112" s="34" t="str">
        <f t="shared" si="184"/>
        <v/>
      </c>
      <c r="L1112" s="34" t="str">
        <f t="shared" si="184"/>
        <v/>
      </c>
      <c r="M1112" s="34" t="str">
        <f t="shared" si="184"/>
        <v/>
      </c>
      <c r="N1112" s="34">
        <f t="shared" si="184"/>
        <v>60</v>
      </c>
      <c r="O1112" s="34">
        <f t="shared" si="184"/>
        <v>64</v>
      </c>
      <c r="P1112" s="34">
        <f t="shared" si="184"/>
        <v>76</v>
      </c>
      <c r="Q1112" s="34">
        <f t="shared" si="184"/>
        <v>88</v>
      </c>
      <c r="R1112" s="34">
        <f t="shared" si="184"/>
        <v>100</v>
      </c>
      <c r="S1112" s="35">
        <f t="shared" si="181"/>
        <v>60</v>
      </c>
    </row>
    <row r="1113" spans="2:19" hidden="1" outlineLevel="1">
      <c r="B1113" s="14" t="s">
        <v>116</v>
      </c>
      <c r="C1113" s="15" t="s">
        <v>65</v>
      </c>
      <c r="D1113" s="52">
        <v>2041</v>
      </c>
      <c r="E1113" s="34">
        <v>10</v>
      </c>
      <c r="F1113" s="38">
        <f t="shared" si="177"/>
        <v>20036.622381249534</v>
      </c>
      <c r="G1113" s="34">
        <f t="shared" si="178"/>
        <v>9</v>
      </c>
      <c r="H1113" s="34">
        <f t="shared" si="179"/>
        <v>3</v>
      </c>
      <c r="I1113" s="34" t="str">
        <f t="shared" si="184"/>
        <v/>
      </c>
      <c r="J1113" s="34" t="str">
        <f t="shared" si="184"/>
        <v/>
      </c>
      <c r="K1113" s="34" t="str">
        <f t="shared" si="184"/>
        <v/>
      </c>
      <c r="L1113" s="34" t="str">
        <f t="shared" si="184"/>
        <v/>
      </c>
      <c r="M1113" s="34" t="str">
        <f t="shared" si="184"/>
        <v/>
      </c>
      <c r="N1113" s="34">
        <f t="shared" si="184"/>
        <v>60</v>
      </c>
      <c r="O1113" s="34">
        <f t="shared" si="184"/>
        <v>63</v>
      </c>
      <c r="P1113" s="34">
        <f t="shared" si="184"/>
        <v>75</v>
      </c>
      <c r="Q1113" s="34">
        <f t="shared" si="184"/>
        <v>87</v>
      </c>
      <c r="R1113" s="34">
        <f t="shared" si="184"/>
        <v>99</v>
      </c>
      <c r="S1113" s="35">
        <f t="shared" si="181"/>
        <v>60</v>
      </c>
    </row>
    <row r="1114" spans="2:19" hidden="1" outlineLevel="1">
      <c r="B1114" s="14" t="s">
        <v>116</v>
      </c>
      <c r="C1114" s="15" t="s">
        <v>65</v>
      </c>
      <c r="D1114" s="52">
        <v>2041</v>
      </c>
      <c r="E1114" s="34">
        <v>11</v>
      </c>
      <c r="F1114" s="38">
        <f t="shared" si="177"/>
        <v>20036.622381249534</v>
      </c>
      <c r="G1114" s="34">
        <f t="shared" si="178"/>
        <v>9</v>
      </c>
      <c r="H1114" s="34">
        <f t="shared" si="179"/>
        <v>3</v>
      </c>
      <c r="I1114" s="34" t="str">
        <f t="shared" si="184"/>
        <v/>
      </c>
      <c r="J1114" s="34" t="str">
        <f t="shared" si="184"/>
        <v/>
      </c>
      <c r="K1114" s="34" t="str">
        <f t="shared" si="184"/>
        <v/>
      </c>
      <c r="L1114" s="34" t="str">
        <f t="shared" si="184"/>
        <v/>
      </c>
      <c r="M1114" s="34" t="str">
        <f t="shared" si="184"/>
        <v/>
      </c>
      <c r="N1114" s="34">
        <f t="shared" si="184"/>
        <v>60</v>
      </c>
      <c r="O1114" s="34">
        <f t="shared" si="184"/>
        <v>62</v>
      </c>
      <c r="P1114" s="34">
        <f t="shared" si="184"/>
        <v>74</v>
      </c>
      <c r="Q1114" s="34">
        <f t="shared" si="184"/>
        <v>86</v>
      </c>
      <c r="R1114" s="34">
        <f t="shared" si="184"/>
        <v>98</v>
      </c>
      <c r="S1114" s="35">
        <f t="shared" si="181"/>
        <v>60</v>
      </c>
    </row>
    <row r="1115" spans="2:19" hidden="1" outlineLevel="1">
      <c r="B1115" s="14" t="s">
        <v>116</v>
      </c>
      <c r="C1115" s="15" t="s">
        <v>65</v>
      </c>
      <c r="D1115" s="52">
        <v>2041</v>
      </c>
      <c r="E1115" s="34">
        <v>12</v>
      </c>
      <c r="F1115" s="38">
        <f t="shared" si="177"/>
        <v>20036.622381249534</v>
      </c>
      <c r="G1115" s="34">
        <f t="shared" si="178"/>
        <v>9</v>
      </c>
      <c r="H1115" s="34">
        <f t="shared" si="179"/>
        <v>3</v>
      </c>
      <c r="I1115" s="34" t="str">
        <f t="shared" si="184"/>
        <v/>
      </c>
      <c r="J1115" s="34" t="str">
        <f t="shared" si="184"/>
        <v/>
      </c>
      <c r="K1115" s="34" t="str">
        <f t="shared" si="184"/>
        <v/>
      </c>
      <c r="L1115" s="34" t="str">
        <f t="shared" si="184"/>
        <v/>
      </c>
      <c r="M1115" s="34" t="str">
        <f t="shared" si="184"/>
        <v/>
      </c>
      <c r="N1115" s="34">
        <f t="shared" si="184"/>
        <v>60</v>
      </c>
      <c r="O1115" s="34">
        <f t="shared" si="184"/>
        <v>61</v>
      </c>
      <c r="P1115" s="34">
        <f t="shared" si="184"/>
        <v>73</v>
      </c>
      <c r="Q1115" s="34">
        <f t="shared" si="184"/>
        <v>85</v>
      </c>
      <c r="R1115" s="34">
        <f t="shared" si="184"/>
        <v>97</v>
      </c>
      <c r="S1115" s="35">
        <f t="shared" si="181"/>
        <v>60</v>
      </c>
    </row>
    <row r="1116" spans="2:19" hidden="1" outlineLevel="1">
      <c r="B1116" s="14" t="s">
        <v>116</v>
      </c>
      <c r="C1116" s="15" t="s">
        <v>65</v>
      </c>
      <c r="D1116" s="52">
        <v>2042</v>
      </c>
      <c r="E1116" s="34">
        <v>1</v>
      </c>
      <c r="F1116" s="38">
        <f t="shared" si="177"/>
        <v>20183.87025273126</v>
      </c>
      <c r="G1116" s="34">
        <f t="shared" si="178"/>
        <v>9</v>
      </c>
      <c r="H1116" s="34">
        <f t="shared" si="179"/>
        <v>3</v>
      </c>
      <c r="I1116" s="34" t="str">
        <f t="shared" si="184"/>
        <v/>
      </c>
      <c r="J1116" s="34" t="str">
        <f t="shared" si="184"/>
        <v/>
      </c>
      <c r="K1116" s="34" t="str">
        <f t="shared" si="184"/>
        <v/>
      </c>
      <c r="L1116" s="34" t="str">
        <f t="shared" si="184"/>
        <v/>
      </c>
      <c r="M1116" s="34" t="str">
        <f t="shared" si="184"/>
        <v/>
      </c>
      <c r="N1116" s="34">
        <f t="shared" si="184"/>
        <v>60</v>
      </c>
      <c r="O1116" s="34">
        <f t="shared" si="184"/>
        <v>72</v>
      </c>
      <c r="P1116" s="34">
        <f t="shared" si="184"/>
        <v>84</v>
      </c>
      <c r="Q1116" s="34">
        <f t="shared" si="184"/>
        <v>96</v>
      </c>
      <c r="R1116" s="34">
        <f t="shared" si="184"/>
        <v>108</v>
      </c>
      <c r="S1116" s="35">
        <f t="shared" si="181"/>
        <v>60</v>
      </c>
    </row>
    <row r="1117" spans="2:19" hidden="1" outlineLevel="1">
      <c r="B1117" s="14" t="s">
        <v>116</v>
      </c>
      <c r="C1117" s="15" t="s">
        <v>65</v>
      </c>
      <c r="D1117" s="52">
        <v>2042</v>
      </c>
      <c r="E1117" s="34">
        <v>2</v>
      </c>
      <c r="F1117" s="38">
        <f t="shared" si="177"/>
        <v>20183.87025273126</v>
      </c>
      <c r="G1117" s="34">
        <f t="shared" si="178"/>
        <v>9</v>
      </c>
      <c r="H1117" s="34">
        <f t="shared" si="179"/>
        <v>3</v>
      </c>
      <c r="I1117" s="34" t="str">
        <f t="shared" si="184"/>
        <v/>
      </c>
      <c r="J1117" s="34" t="str">
        <f t="shared" si="184"/>
        <v/>
      </c>
      <c r="K1117" s="34" t="str">
        <f t="shared" si="184"/>
        <v/>
      </c>
      <c r="L1117" s="34" t="str">
        <f t="shared" si="184"/>
        <v/>
      </c>
      <c r="M1117" s="34" t="str">
        <f t="shared" si="184"/>
        <v/>
      </c>
      <c r="N1117" s="34">
        <f t="shared" si="184"/>
        <v>60</v>
      </c>
      <c r="O1117" s="34">
        <f t="shared" si="184"/>
        <v>71</v>
      </c>
      <c r="P1117" s="34">
        <f t="shared" si="184"/>
        <v>83</v>
      </c>
      <c r="Q1117" s="34">
        <f t="shared" si="184"/>
        <v>95</v>
      </c>
      <c r="R1117" s="34">
        <f t="shared" si="184"/>
        <v>107</v>
      </c>
      <c r="S1117" s="35">
        <f t="shared" si="181"/>
        <v>60</v>
      </c>
    </row>
    <row r="1118" spans="2:19" hidden="1" outlineLevel="1">
      <c r="B1118" s="14" t="s">
        <v>116</v>
      </c>
      <c r="C1118" s="15" t="s">
        <v>65</v>
      </c>
      <c r="D1118" s="52">
        <v>2042</v>
      </c>
      <c r="E1118" s="34">
        <v>3</v>
      </c>
      <c r="F1118" s="38">
        <f t="shared" si="177"/>
        <v>20183.87025273126</v>
      </c>
      <c r="G1118" s="34">
        <f t="shared" si="178"/>
        <v>9</v>
      </c>
      <c r="H1118" s="34">
        <f t="shared" si="179"/>
        <v>3</v>
      </c>
      <c r="I1118" s="34" t="str">
        <f t="shared" si="184"/>
        <v/>
      </c>
      <c r="J1118" s="34" t="str">
        <f t="shared" si="184"/>
        <v/>
      </c>
      <c r="K1118" s="34" t="str">
        <f t="shared" si="184"/>
        <v/>
      </c>
      <c r="L1118" s="34" t="str">
        <f t="shared" si="184"/>
        <v/>
      </c>
      <c r="M1118" s="34" t="str">
        <f t="shared" si="184"/>
        <v/>
      </c>
      <c r="N1118" s="34">
        <f t="shared" si="184"/>
        <v>60</v>
      </c>
      <c r="O1118" s="34">
        <f t="shared" si="184"/>
        <v>70</v>
      </c>
      <c r="P1118" s="34">
        <f t="shared" si="184"/>
        <v>82</v>
      </c>
      <c r="Q1118" s="34">
        <f t="shared" si="184"/>
        <v>94</v>
      </c>
      <c r="R1118" s="34">
        <f t="shared" si="184"/>
        <v>106</v>
      </c>
      <c r="S1118" s="35">
        <f t="shared" si="181"/>
        <v>60</v>
      </c>
    </row>
    <row r="1119" spans="2:19" hidden="1" outlineLevel="1">
      <c r="B1119" s="14" t="s">
        <v>116</v>
      </c>
      <c r="C1119" s="15" t="s">
        <v>65</v>
      </c>
      <c r="D1119" s="52">
        <v>2042</v>
      </c>
      <c r="E1119" s="34">
        <v>4</v>
      </c>
      <c r="F1119" s="38">
        <f t="shared" si="177"/>
        <v>20183.87025273126</v>
      </c>
      <c r="G1119" s="34">
        <f t="shared" si="178"/>
        <v>9</v>
      </c>
      <c r="H1119" s="34">
        <f t="shared" si="179"/>
        <v>3</v>
      </c>
      <c r="I1119" s="34" t="str">
        <f t="shared" si="184"/>
        <v/>
      </c>
      <c r="J1119" s="34" t="str">
        <f t="shared" si="184"/>
        <v/>
      </c>
      <c r="K1119" s="34" t="str">
        <f t="shared" si="184"/>
        <v/>
      </c>
      <c r="L1119" s="34" t="str">
        <f t="shared" si="184"/>
        <v/>
      </c>
      <c r="M1119" s="34" t="str">
        <f t="shared" si="184"/>
        <v/>
      </c>
      <c r="N1119" s="34">
        <f t="shared" si="184"/>
        <v>60</v>
      </c>
      <c r="O1119" s="34">
        <f t="shared" si="184"/>
        <v>69</v>
      </c>
      <c r="P1119" s="34">
        <f t="shared" si="184"/>
        <v>81</v>
      </c>
      <c r="Q1119" s="34">
        <f t="shared" si="184"/>
        <v>93</v>
      </c>
      <c r="R1119" s="34">
        <f t="shared" si="184"/>
        <v>105</v>
      </c>
      <c r="S1119" s="35">
        <f t="shared" si="181"/>
        <v>60</v>
      </c>
    </row>
    <row r="1120" spans="2:19" hidden="1" outlineLevel="1">
      <c r="B1120" s="14" t="s">
        <v>116</v>
      </c>
      <c r="C1120" s="15" t="s">
        <v>65</v>
      </c>
      <c r="D1120" s="52">
        <v>2042</v>
      </c>
      <c r="E1120" s="34">
        <v>5</v>
      </c>
      <c r="F1120" s="38">
        <f t="shared" si="177"/>
        <v>20183.87025273126</v>
      </c>
      <c r="G1120" s="34">
        <f t="shared" si="178"/>
        <v>9</v>
      </c>
      <c r="H1120" s="34">
        <f t="shared" si="179"/>
        <v>3</v>
      </c>
      <c r="I1120" s="34" t="str">
        <f t="shared" ref="I1120:R1129" si="185">IF($D1120&lt;$Z$18,"",IF(MAX($G1120,INDEX($C$65:$F$108,$D1120+I$119-2026,$H1120))&lt;=12*I$119-$E1120+12,MAX($G1120,12*I$119-$E1120+1,INDEX($C$65:$F$108,$D1120+I$119-2026,$H1120)),""))</f>
        <v/>
      </c>
      <c r="J1120" s="34" t="str">
        <f t="shared" si="185"/>
        <v/>
      </c>
      <c r="K1120" s="34" t="str">
        <f t="shared" si="185"/>
        <v/>
      </c>
      <c r="L1120" s="34" t="str">
        <f t="shared" si="185"/>
        <v/>
      </c>
      <c r="M1120" s="34" t="str">
        <f t="shared" si="185"/>
        <v/>
      </c>
      <c r="N1120" s="34">
        <f t="shared" si="185"/>
        <v>60</v>
      </c>
      <c r="O1120" s="34">
        <f t="shared" si="185"/>
        <v>68</v>
      </c>
      <c r="P1120" s="34">
        <f t="shared" si="185"/>
        <v>80</v>
      </c>
      <c r="Q1120" s="34">
        <f t="shared" si="185"/>
        <v>92</v>
      </c>
      <c r="R1120" s="34">
        <f t="shared" si="185"/>
        <v>104</v>
      </c>
      <c r="S1120" s="35">
        <f t="shared" si="181"/>
        <v>60</v>
      </c>
    </row>
    <row r="1121" spans="2:19" hidden="1" outlineLevel="1">
      <c r="B1121" s="14" t="s">
        <v>116</v>
      </c>
      <c r="C1121" s="15" t="s">
        <v>65</v>
      </c>
      <c r="D1121" s="52">
        <v>2042</v>
      </c>
      <c r="E1121" s="34">
        <v>6</v>
      </c>
      <c r="F1121" s="38">
        <f t="shared" si="177"/>
        <v>20183.87025273126</v>
      </c>
      <c r="G1121" s="34">
        <f t="shared" si="178"/>
        <v>9</v>
      </c>
      <c r="H1121" s="34">
        <f t="shared" si="179"/>
        <v>3</v>
      </c>
      <c r="I1121" s="34" t="str">
        <f t="shared" si="185"/>
        <v/>
      </c>
      <c r="J1121" s="34" t="str">
        <f t="shared" si="185"/>
        <v/>
      </c>
      <c r="K1121" s="34" t="str">
        <f t="shared" si="185"/>
        <v/>
      </c>
      <c r="L1121" s="34" t="str">
        <f t="shared" si="185"/>
        <v/>
      </c>
      <c r="M1121" s="34" t="str">
        <f t="shared" si="185"/>
        <v/>
      </c>
      <c r="N1121" s="34">
        <f t="shared" si="185"/>
        <v>60</v>
      </c>
      <c r="O1121" s="34">
        <f t="shared" si="185"/>
        <v>67</v>
      </c>
      <c r="P1121" s="34">
        <f t="shared" si="185"/>
        <v>79</v>
      </c>
      <c r="Q1121" s="34">
        <f t="shared" si="185"/>
        <v>91</v>
      </c>
      <c r="R1121" s="34">
        <f t="shared" si="185"/>
        <v>103</v>
      </c>
      <c r="S1121" s="35">
        <f t="shared" si="181"/>
        <v>60</v>
      </c>
    </row>
    <row r="1122" spans="2:19" hidden="1" outlineLevel="1">
      <c r="B1122" s="14" t="s">
        <v>116</v>
      </c>
      <c r="C1122" s="15" t="s">
        <v>65</v>
      </c>
      <c r="D1122" s="52">
        <v>2042</v>
      </c>
      <c r="E1122" s="34">
        <v>7</v>
      </c>
      <c r="F1122" s="38">
        <f t="shared" si="177"/>
        <v>20183.87025273126</v>
      </c>
      <c r="G1122" s="34">
        <f t="shared" si="178"/>
        <v>9</v>
      </c>
      <c r="H1122" s="34">
        <f t="shared" si="179"/>
        <v>3</v>
      </c>
      <c r="I1122" s="34" t="str">
        <f t="shared" si="185"/>
        <v/>
      </c>
      <c r="J1122" s="34" t="str">
        <f t="shared" si="185"/>
        <v/>
      </c>
      <c r="K1122" s="34" t="str">
        <f t="shared" si="185"/>
        <v/>
      </c>
      <c r="L1122" s="34" t="str">
        <f t="shared" si="185"/>
        <v/>
      </c>
      <c r="M1122" s="34" t="str">
        <f t="shared" si="185"/>
        <v/>
      </c>
      <c r="N1122" s="34">
        <f t="shared" si="185"/>
        <v>60</v>
      </c>
      <c r="O1122" s="34">
        <f t="shared" si="185"/>
        <v>66</v>
      </c>
      <c r="P1122" s="34">
        <f t="shared" si="185"/>
        <v>78</v>
      </c>
      <c r="Q1122" s="34">
        <f t="shared" si="185"/>
        <v>90</v>
      </c>
      <c r="R1122" s="34">
        <f t="shared" si="185"/>
        <v>102</v>
      </c>
      <c r="S1122" s="35">
        <f t="shared" si="181"/>
        <v>60</v>
      </c>
    </row>
    <row r="1123" spans="2:19" hidden="1" outlineLevel="1">
      <c r="B1123" s="14" t="s">
        <v>116</v>
      </c>
      <c r="C1123" s="15" t="s">
        <v>65</v>
      </c>
      <c r="D1123" s="52">
        <v>2042</v>
      </c>
      <c r="E1123" s="34">
        <v>8</v>
      </c>
      <c r="F1123" s="38">
        <f t="shared" si="177"/>
        <v>20183.87025273126</v>
      </c>
      <c r="G1123" s="34">
        <f t="shared" si="178"/>
        <v>9</v>
      </c>
      <c r="H1123" s="34">
        <f t="shared" si="179"/>
        <v>3</v>
      </c>
      <c r="I1123" s="34" t="str">
        <f t="shared" si="185"/>
        <v/>
      </c>
      <c r="J1123" s="34" t="str">
        <f t="shared" si="185"/>
        <v/>
      </c>
      <c r="K1123" s="34" t="str">
        <f t="shared" si="185"/>
        <v/>
      </c>
      <c r="L1123" s="34" t="str">
        <f t="shared" si="185"/>
        <v/>
      </c>
      <c r="M1123" s="34" t="str">
        <f t="shared" si="185"/>
        <v/>
      </c>
      <c r="N1123" s="34">
        <f t="shared" si="185"/>
        <v>60</v>
      </c>
      <c r="O1123" s="34">
        <f t="shared" si="185"/>
        <v>65</v>
      </c>
      <c r="P1123" s="34">
        <f t="shared" si="185"/>
        <v>77</v>
      </c>
      <c r="Q1123" s="34">
        <f t="shared" si="185"/>
        <v>89</v>
      </c>
      <c r="R1123" s="34">
        <f t="shared" si="185"/>
        <v>101</v>
      </c>
      <c r="S1123" s="35">
        <f t="shared" si="181"/>
        <v>60</v>
      </c>
    </row>
    <row r="1124" spans="2:19" hidden="1" outlineLevel="1">
      <c r="B1124" s="14" t="s">
        <v>116</v>
      </c>
      <c r="C1124" s="15" t="s">
        <v>65</v>
      </c>
      <c r="D1124" s="52">
        <v>2042</v>
      </c>
      <c r="E1124" s="34">
        <v>9</v>
      </c>
      <c r="F1124" s="38">
        <f t="shared" si="177"/>
        <v>20183.87025273126</v>
      </c>
      <c r="G1124" s="34">
        <f t="shared" si="178"/>
        <v>9</v>
      </c>
      <c r="H1124" s="34">
        <f t="shared" si="179"/>
        <v>3</v>
      </c>
      <c r="I1124" s="34" t="str">
        <f t="shared" si="185"/>
        <v/>
      </c>
      <c r="J1124" s="34" t="str">
        <f t="shared" si="185"/>
        <v/>
      </c>
      <c r="K1124" s="34" t="str">
        <f t="shared" si="185"/>
        <v/>
      </c>
      <c r="L1124" s="34" t="str">
        <f t="shared" si="185"/>
        <v/>
      </c>
      <c r="M1124" s="34" t="str">
        <f t="shared" si="185"/>
        <v/>
      </c>
      <c r="N1124" s="34">
        <f t="shared" si="185"/>
        <v>60</v>
      </c>
      <c r="O1124" s="34">
        <f t="shared" si="185"/>
        <v>64</v>
      </c>
      <c r="P1124" s="34">
        <f t="shared" si="185"/>
        <v>76</v>
      </c>
      <c r="Q1124" s="34">
        <f t="shared" si="185"/>
        <v>88</v>
      </c>
      <c r="R1124" s="34">
        <f t="shared" si="185"/>
        <v>100</v>
      </c>
      <c r="S1124" s="35">
        <f t="shared" si="181"/>
        <v>60</v>
      </c>
    </row>
    <row r="1125" spans="2:19" hidden="1" outlineLevel="1">
      <c r="B1125" s="14" t="s">
        <v>116</v>
      </c>
      <c r="C1125" s="15" t="s">
        <v>65</v>
      </c>
      <c r="D1125" s="52">
        <v>2042</v>
      </c>
      <c r="E1125" s="34">
        <v>10</v>
      </c>
      <c r="F1125" s="38">
        <f t="shared" si="177"/>
        <v>20183.87025273126</v>
      </c>
      <c r="G1125" s="34">
        <f t="shared" si="178"/>
        <v>9</v>
      </c>
      <c r="H1125" s="34">
        <f t="shared" si="179"/>
        <v>3</v>
      </c>
      <c r="I1125" s="34" t="str">
        <f t="shared" si="185"/>
        <v/>
      </c>
      <c r="J1125" s="34" t="str">
        <f t="shared" si="185"/>
        <v/>
      </c>
      <c r="K1125" s="34" t="str">
        <f t="shared" si="185"/>
        <v/>
      </c>
      <c r="L1125" s="34" t="str">
        <f t="shared" si="185"/>
        <v/>
      </c>
      <c r="M1125" s="34" t="str">
        <f t="shared" si="185"/>
        <v/>
      </c>
      <c r="N1125" s="34">
        <f t="shared" si="185"/>
        <v>60</v>
      </c>
      <c r="O1125" s="34">
        <f t="shared" si="185"/>
        <v>63</v>
      </c>
      <c r="P1125" s="34">
        <f t="shared" si="185"/>
        <v>75</v>
      </c>
      <c r="Q1125" s="34">
        <f t="shared" si="185"/>
        <v>87</v>
      </c>
      <c r="R1125" s="34">
        <f t="shared" si="185"/>
        <v>99</v>
      </c>
      <c r="S1125" s="35">
        <f t="shared" si="181"/>
        <v>60</v>
      </c>
    </row>
    <row r="1126" spans="2:19" hidden="1" outlineLevel="1">
      <c r="B1126" s="14" t="s">
        <v>116</v>
      </c>
      <c r="C1126" s="15" t="s">
        <v>65</v>
      </c>
      <c r="D1126" s="52">
        <v>2042</v>
      </c>
      <c r="E1126" s="34">
        <v>11</v>
      </c>
      <c r="F1126" s="38">
        <f t="shared" si="177"/>
        <v>20183.87025273126</v>
      </c>
      <c r="G1126" s="34">
        <f t="shared" si="178"/>
        <v>9</v>
      </c>
      <c r="H1126" s="34">
        <f t="shared" si="179"/>
        <v>3</v>
      </c>
      <c r="I1126" s="34" t="str">
        <f t="shared" si="185"/>
        <v/>
      </c>
      <c r="J1126" s="34" t="str">
        <f t="shared" si="185"/>
        <v/>
      </c>
      <c r="K1126" s="34" t="str">
        <f t="shared" si="185"/>
        <v/>
      </c>
      <c r="L1126" s="34" t="str">
        <f t="shared" si="185"/>
        <v/>
      </c>
      <c r="M1126" s="34" t="str">
        <f t="shared" si="185"/>
        <v/>
      </c>
      <c r="N1126" s="34">
        <f t="shared" si="185"/>
        <v>60</v>
      </c>
      <c r="O1126" s="34">
        <f t="shared" si="185"/>
        <v>62</v>
      </c>
      <c r="P1126" s="34">
        <f t="shared" si="185"/>
        <v>74</v>
      </c>
      <c r="Q1126" s="34">
        <f t="shared" si="185"/>
        <v>86</v>
      </c>
      <c r="R1126" s="34">
        <f t="shared" si="185"/>
        <v>98</v>
      </c>
      <c r="S1126" s="35">
        <f t="shared" si="181"/>
        <v>60</v>
      </c>
    </row>
    <row r="1127" spans="2:19" hidden="1" outlineLevel="1">
      <c r="B1127" s="14" t="s">
        <v>116</v>
      </c>
      <c r="C1127" s="15" t="s">
        <v>65</v>
      </c>
      <c r="D1127" s="52">
        <v>2042</v>
      </c>
      <c r="E1127" s="34">
        <v>12</v>
      </c>
      <c r="F1127" s="38">
        <f t="shared" si="177"/>
        <v>20183.87025273126</v>
      </c>
      <c r="G1127" s="34">
        <f t="shared" si="178"/>
        <v>9</v>
      </c>
      <c r="H1127" s="34">
        <f t="shared" si="179"/>
        <v>3</v>
      </c>
      <c r="I1127" s="34" t="str">
        <f t="shared" si="185"/>
        <v/>
      </c>
      <c r="J1127" s="34" t="str">
        <f t="shared" si="185"/>
        <v/>
      </c>
      <c r="K1127" s="34" t="str">
        <f t="shared" si="185"/>
        <v/>
      </c>
      <c r="L1127" s="34" t="str">
        <f t="shared" si="185"/>
        <v/>
      </c>
      <c r="M1127" s="34" t="str">
        <f t="shared" si="185"/>
        <v/>
      </c>
      <c r="N1127" s="34">
        <f t="shared" si="185"/>
        <v>60</v>
      </c>
      <c r="O1127" s="34">
        <f t="shared" si="185"/>
        <v>61</v>
      </c>
      <c r="P1127" s="34">
        <f t="shared" si="185"/>
        <v>73</v>
      </c>
      <c r="Q1127" s="34">
        <f t="shared" si="185"/>
        <v>85</v>
      </c>
      <c r="R1127" s="34">
        <f t="shared" si="185"/>
        <v>97</v>
      </c>
      <c r="S1127" s="35">
        <f t="shared" si="181"/>
        <v>60</v>
      </c>
    </row>
    <row r="1128" spans="2:19" hidden="1" outlineLevel="1">
      <c r="B1128" s="14" t="s">
        <v>116</v>
      </c>
      <c r="C1128" s="15" t="s">
        <v>65</v>
      </c>
      <c r="D1128" s="52">
        <v>2043</v>
      </c>
      <c r="E1128" s="34">
        <v>1</v>
      </c>
      <c r="F1128" s="38">
        <f t="shared" si="177"/>
        <v>20298.8389345785</v>
      </c>
      <c r="G1128" s="34">
        <f t="shared" si="178"/>
        <v>9</v>
      </c>
      <c r="H1128" s="34">
        <f t="shared" si="179"/>
        <v>3</v>
      </c>
      <c r="I1128" s="34" t="str">
        <f t="shared" si="185"/>
        <v/>
      </c>
      <c r="J1128" s="34" t="str">
        <f t="shared" si="185"/>
        <v/>
      </c>
      <c r="K1128" s="34" t="str">
        <f t="shared" si="185"/>
        <v/>
      </c>
      <c r="L1128" s="34" t="str">
        <f t="shared" si="185"/>
        <v/>
      </c>
      <c r="M1128" s="34" t="str">
        <f t="shared" si="185"/>
        <v/>
      </c>
      <c r="N1128" s="34">
        <f t="shared" si="185"/>
        <v>60</v>
      </c>
      <c r="O1128" s="34">
        <f t="shared" si="185"/>
        <v>72</v>
      </c>
      <c r="P1128" s="34">
        <f t="shared" si="185"/>
        <v>84</v>
      </c>
      <c r="Q1128" s="34">
        <f t="shared" si="185"/>
        <v>96</v>
      </c>
      <c r="R1128" s="34">
        <f t="shared" si="185"/>
        <v>108</v>
      </c>
      <c r="S1128" s="35">
        <f t="shared" si="181"/>
        <v>60</v>
      </c>
    </row>
    <row r="1129" spans="2:19" hidden="1" outlineLevel="1">
      <c r="B1129" s="14" t="s">
        <v>116</v>
      </c>
      <c r="C1129" s="15" t="s">
        <v>65</v>
      </c>
      <c r="D1129" s="52">
        <v>2043</v>
      </c>
      <c r="E1129" s="34">
        <v>2</v>
      </c>
      <c r="F1129" s="38">
        <f t="shared" si="177"/>
        <v>20298.8389345785</v>
      </c>
      <c r="G1129" s="34">
        <f t="shared" si="178"/>
        <v>9</v>
      </c>
      <c r="H1129" s="34">
        <f t="shared" si="179"/>
        <v>3</v>
      </c>
      <c r="I1129" s="34" t="str">
        <f t="shared" si="185"/>
        <v/>
      </c>
      <c r="J1129" s="34" t="str">
        <f t="shared" si="185"/>
        <v/>
      </c>
      <c r="K1129" s="34" t="str">
        <f t="shared" si="185"/>
        <v/>
      </c>
      <c r="L1129" s="34" t="str">
        <f t="shared" si="185"/>
        <v/>
      </c>
      <c r="M1129" s="34" t="str">
        <f t="shared" si="185"/>
        <v/>
      </c>
      <c r="N1129" s="34">
        <f t="shared" si="185"/>
        <v>60</v>
      </c>
      <c r="O1129" s="34">
        <f t="shared" si="185"/>
        <v>71</v>
      </c>
      <c r="P1129" s="34">
        <f t="shared" si="185"/>
        <v>83</v>
      </c>
      <c r="Q1129" s="34">
        <f t="shared" si="185"/>
        <v>95</v>
      </c>
      <c r="R1129" s="34">
        <f t="shared" si="185"/>
        <v>107</v>
      </c>
      <c r="S1129" s="35">
        <f t="shared" si="181"/>
        <v>60</v>
      </c>
    </row>
    <row r="1130" spans="2:19" hidden="1" outlineLevel="1">
      <c r="B1130" s="14" t="s">
        <v>116</v>
      </c>
      <c r="C1130" s="15" t="s">
        <v>65</v>
      </c>
      <c r="D1130" s="52">
        <v>2043</v>
      </c>
      <c r="E1130" s="34">
        <v>3</v>
      </c>
      <c r="F1130" s="38">
        <f t="shared" si="177"/>
        <v>20298.8389345785</v>
      </c>
      <c r="G1130" s="34">
        <f t="shared" si="178"/>
        <v>9</v>
      </c>
      <c r="H1130" s="34">
        <f t="shared" si="179"/>
        <v>3</v>
      </c>
      <c r="I1130" s="34" t="str">
        <f t="shared" ref="I1130:R1139" si="186">IF($D1130&lt;$Z$18,"",IF(MAX($G1130,INDEX($C$65:$F$108,$D1130+I$119-2026,$H1130))&lt;=12*I$119-$E1130+12,MAX($G1130,12*I$119-$E1130+1,INDEX($C$65:$F$108,$D1130+I$119-2026,$H1130)),""))</f>
        <v/>
      </c>
      <c r="J1130" s="34" t="str">
        <f t="shared" si="186"/>
        <v/>
      </c>
      <c r="K1130" s="34" t="str">
        <f t="shared" si="186"/>
        <v/>
      </c>
      <c r="L1130" s="34" t="str">
        <f t="shared" si="186"/>
        <v/>
      </c>
      <c r="M1130" s="34" t="str">
        <f t="shared" si="186"/>
        <v/>
      </c>
      <c r="N1130" s="34">
        <f t="shared" si="186"/>
        <v>60</v>
      </c>
      <c r="O1130" s="34">
        <f t="shared" si="186"/>
        <v>70</v>
      </c>
      <c r="P1130" s="34">
        <f t="shared" si="186"/>
        <v>82</v>
      </c>
      <c r="Q1130" s="34">
        <f t="shared" si="186"/>
        <v>94</v>
      </c>
      <c r="R1130" s="34">
        <f t="shared" si="186"/>
        <v>106</v>
      </c>
      <c r="S1130" s="35">
        <f t="shared" si="181"/>
        <v>60</v>
      </c>
    </row>
    <row r="1131" spans="2:19" hidden="1" outlineLevel="1">
      <c r="B1131" s="14" t="s">
        <v>116</v>
      </c>
      <c r="C1131" s="15" t="s">
        <v>65</v>
      </c>
      <c r="D1131" s="52">
        <v>2043</v>
      </c>
      <c r="E1131" s="34">
        <v>4</v>
      </c>
      <c r="F1131" s="38">
        <f t="shared" si="177"/>
        <v>20298.8389345785</v>
      </c>
      <c r="G1131" s="34">
        <f t="shared" si="178"/>
        <v>9</v>
      </c>
      <c r="H1131" s="34">
        <f t="shared" si="179"/>
        <v>3</v>
      </c>
      <c r="I1131" s="34" t="str">
        <f t="shared" si="186"/>
        <v/>
      </c>
      <c r="J1131" s="34" t="str">
        <f t="shared" si="186"/>
        <v/>
      </c>
      <c r="K1131" s="34" t="str">
        <f t="shared" si="186"/>
        <v/>
      </c>
      <c r="L1131" s="34" t="str">
        <f t="shared" si="186"/>
        <v/>
      </c>
      <c r="M1131" s="34" t="str">
        <f t="shared" si="186"/>
        <v/>
      </c>
      <c r="N1131" s="34">
        <f t="shared" si="186"/>
        <v>60</v>
      </c>
      <c r="O1131" s="34">
        <f t="shared" si="186"/>
        <v>69</v>
      </c>
      <c r="P1131" s="34">
        <f t="shared" si="186"/>
        <v>81</v>
      </c>
      <c r="Q1131" s="34">
        <f t="shared" si="186"/>
        <v>93</v>
      </c>
      <c r="R1131" s="34">
        <f t="shared" si="186"/>
        <v>105</v>
      </c>
      <c r="S1131" s="35">
        <f t="shared" si="181"/>
        <v>60</v>
      </c>
    </row>
    <row r="1132" spans="2:19" hidden="1" outlineLevel="1">
      <c r="B1132" s="14" t="s">
        <v>116</v>
      </c>
      <c r="C1132" s="15" t="s">
        <v>65</v>
      </c>
      <c r="D1132" s="52">
        <v>2043</v>
      </c>
      <c r="E1132" s="34">
        <v>5</v>
      </c>
      <c r="F1132" s="38">
        <f t="shared" si="177"/>
        <v>20298.8389345785</v>
      </c>
      <c r="G1132" s="34">
        <f t="shared" si="178"/>
        <v>9</v>
      </c>
      <c r="H1132" s="34">
        <f t="shared" si="179"/>
        <v>3</v>
      </c>
      <c r="I1132" s="34" t="str">
        <f t="shared" si="186"/>
        <v/>
      </c>
      <c r="J1132" s="34" t="str">
        <f t="shared" si="186"/>
        <v/>
      </c>
      <c r="K1132" s="34" t="str">
        <f t="shared" si="186"/>
        <v/>
      </c>
      <c r="L1132" s="34" t="str">
        <f t="shared" si="186"/>
        <v/>
      </c>
      <c r="M1132" s="34" t="str">
        <f t="shared" si="186"/>
        <v/>
      </c>
      <c r="N1132" s="34">
        <f t="shared" si="186"/>
        <v>60</v>
      </c>
      <c r="O1132" s="34">
        <f t="shared" si="186"/>
        <v>68</v>
      </c>
      <c r="P1132" s="34">
        <f t="shared" si="186"/>
        <v>80</v>
      </c>
      <c r="Q1132" s="34">
        <f t="shared" si="186"/>
        <v>92</v>
      </c>
      <c r="R1132" s="34">
        <f t="shared" si="186"/>
        <v>104</v>
      </c>
      <c r="S1132" s="35">
        <f t="shared" si="181"/>
        <v>60</v>
      </c>
    </row>
    <row r="1133" spans="2:19" hidden="1" outlineLevel="1">
      <c r="B1133" s="14" t="s">
        <v>116</v>
      </c>
      <c r="C1133" s="15" t="s">
        <v>65</v>
      </c>
      <c r="D1133" s="52">
        <v>2043</v>
      </c>
      <c r="E1133" s="34">
        <v>6</v>
      </c>
      <c r="F1133" s="38">
        <f t="shared" si="177"/>
        <v>20298.8389345785</v>
      </c>
      <c r="G1133" s="34">
        <f t="shared" si="178"/>
        <v>9</v>
      </c>
      <c r="H1133" s="34">
        <f t="shared" si="179"/>
        <v>3</v>
      </c>
      <c r="I1133" s="34" t="str">
        <f t="shared" si="186"/>
        <v/>
      </c>
      <c r="J1133" s="34" t="str">
        <f t="shared" si="186"/>
        <v/>
      </c>
      <c r="K1133" s="34" t="str">
        <f t="shared" si="186"/>
        <v/>
      </c>
      <c r="L1133" s="34" t="str">
        <f t="shared" si="186"/>
        <v/>
      </c>
      <c r="M1133" s="34" t="str">
        <f t="shared" si="186"/>
        <v/>
      </c>
      <c r="N1133" s="34">
        <f t="shared" si="186"/>
        <v>60</v>
      </c>
      <c r="O1133" s="34">
        <f t="shared" si="186"/>
        <v>67</v>
      </c>
      <c r="P1133" s="34">
        <f t="shared" si="186"/>
        <v>79</v>
      </c>
      <c r="Q1133" s="34">
        <f t="shared" si="186"/>
        <v>91</v>
      </c>
      <c r="R1133" s="34">
        <f t="shared" si="186"/>
        <v>103</v>
      </c>
      <c r="S1133" s="35">
        <f t="shared" si="181"/>
        <v>60</v>
      </c>
    </row>
    <row r="1134" spans="2:19" hidden="1" outlineLevel="1">
      <c r="B1134" s="14" t="s">
        <v>116</v>
      </c>
      <c r="C1134" s="15" t="s">
        <v>65</v>
      </c>
      <c r="D1134" s="52">
        <v>2043</v>
      </c>
      <c r="E1134" s="34">
        <v>7</v>
      </c>
      <c r="F1134" s="38">
        <f t="shared" si="177"/>
        <v>20298.8389345785</v>
      </c>
      <c r="G1134" s="34">
        <f t="shared" si="178"/>
        <v>9</v>
      </c>
      <c r="H1134" s="34">
        <f t="shared" si="179"/>
        <v>3</v>
      </c>
      <c r="I1134" s="34" t="str">
        <f t="shared" si="186"/>
        <v/>
      </c>
      <c r="J1134" s="34" t="str">
        <f t="shared" si="186"/>
        <v/>
      </c>
      <c r="K1134" s="34" t="str">
        <f t="shared" si="186"/>
        <v/>
      </c>
      <c r="L1134" s="34" t="str">
        <f t="shared" si="186"/>
        <v/>
      </c>
      <c r="M1134" s="34" t="str">
        <f t="shared" si="186"/>
        <v/>
      </c>
      <c r="N1134" s="34">
        <f t="shared" si="186"/>
        <v>60</v>
      </c>
      <c r="O1134" s="34">
        <f t="shared" si="186"/>
        <v>66</v>
      </c>
      <c r="P1134" s="34">
        <f t="shared" si="186"/>
        <v>78</v>
      </c>
      <c r="Q1134" s="34">
        <f t="shared" si="186"/>
        <v>90</v>
      </c>
      <c r="R1134" s="34">
        <f t="shared" si="186"/>
        <v>102</v>
      </c>
      <c r="S1134" s="35">
        <f t="shared" si="181"/>
        <v>60</v>
      </c>
    </row>
    <row r="1135" spans="2:19" hidden="1" outlineLevel="1">
      <c r="B1135" s="14" t="s">
        <v>116</v>
      </c>
      <c r="C1135" s="15" t="s">
        <v>65</v>
      </c>
      <c r="D1135" s="52">
        <v>2043</v>
      </c>
      <c r="E1135" s="34">
        <v>8</v>
      </c>
      <c r="F1135" s="38">
        <f t="shared" si="177"/>
        <v>20298.8389345785</v>
      </c>
      <c r="G1135" s="34">
        <f t="shared" si="178"/>
        <v>9</v>
      </c>
      <c r="H1135" s="34">
        <f t="shared" si="179"/>
        <v>3</v>
      </c>
      <c r="I1135" s="34" t="str">
        <f t="shared" si="186"/>
        <v/>
      </c>
      <c r="J1135" s="34" t="str">
        <f t="shared" si="186"/>
        <v/>
      </c>
      <c r="K1135" s="34" t="str">
        <f t="shared" si="186"/>
        <v/>
      </c>
      <c r="L1135" s="34" t="str">
        <f t="shared" si="186"/>
        <v/>
      </c>
      <c r="M1135" s="34" t="str">
        <f t="shared" si="186"/>
        <v/>
      </c>
      <c r="N1135" s="34">
        <f t="shared" si="186"/>
        <v>60</v>
      </c>
      <c r="O1135" s="34">
        <f t="shared" si="186"/>
        <v>65</v>
      </c>
      <c r="P1135" s="34">
        <f t="shared" si="186"/>
        <v>77</v>
      </c>
      <c r="Q1135" s="34">
        <f t="shared" si="186"/>
        <v>89</v>
      </c>
      <c r="R1135" s="34">
        <f t="shared" si="186"/>
        <v>101</v>
      </c>
      <c r="S1135" s="35">
        <f t="shared" si="181"/>
        <v>60</v>
      </c>
    </row>
    <row r="1136" spans="2:19" hidden="1" outlineLevel="1">
      <c r="B1136" s="14" t="s">
        <v>116</v>
      </c>
      <c r="C1136" s="15" t="s">
        <v>65</v>
      </c>
      <c r="D1136" s="52">
        <v>2043</v>
      </c>
      <c r="E1136" s="34">
        <v>9</v>
      </c>
      <c r="F1136" s="38">
        <f t="shared" si="177"/>
        <v>20298.8389345785</v>
      </c>
      <c r="G1136" s="34">
        <f t="shared" si="178"/>
        <v>9</v>
      </c>
      <c r="H1136" s="34">
        <f t="shared" si="179"/>
        <v>3</v>
      </c>
      <c r="I1136" s="34" t="str">
        <f t="shared" si="186"/>
        <v/>
      </c>
      <c r="J1136" s="34" t="str">
        <f t="shared" si="186"/>
        <v/>
      </c>
      <c r="K1136" s="34" t="str">
        <f t="shared" si="186"/>
        <v/>
      </c>
      <c r="L1136" s="34" t="str">
        <f t="shared" si="186"/>
        <v/>
      </c>
      <c r="M1136" s="34" t="str">
        <f t="shared" si="186"/>
        <v/>
      </c>
      <c r="N1136" s="34">
        <f t="shared" si="186"/>
        <v>60</v>
      </c>
      <c r="O1136" s="34">
        <f t="shared" si="186"/>
        <v>64</v>
      </c>
      <c r="P1136" s="34">
        <f t="shared" si="186"/>
        <v>76</v>
      </c>
      <c r="Q1136" s="34">
        <f t="shared" si="186"/>
        <v>88</v>
      </c>
      <c r="R1136" s="34">
        <f t="shared" si="186"/>
        <v>100</v>
      </c>
      <c r="S1136" s="35">
        <f t="shared" si="181"/>
        <v>60</v>
      </c>
    </row>
    <row r="1137" spans="2:19" hidden="1" outlineLevel="1">
      <c r="B1137" s="14" t="s">
        <v>116</v>
      </c>
      <c r="C1137" s="15" t="s">
        <v>65</v>
      </c>
      <c r="D1137" s="52">
        <v>2043</v>
      </c>
      <c r="E1137" s="34">
        <v>10</v>
      </c>
      <c r="F1137" s="38">
        <f t="shared" si="177"/>
        <v>20298.8389345785</v>
      </c>
      <c r="G1137" s="34">
        <f t="shared" si="178"/>
        <v>9</v>
      </c>
      <c r="H1137" s="34">
        <f t="shared" si="179"/>
        <v>3</v>
      </c>
      <c r="I1137" s="34" t="str">
        <f t="shared" si="186"/>
        <v/>
      </c>
      <c r="J1137" s="34" t="str">
        <f t="shared" si="186"/>
        <v/>
      </c>
      <c r="K1137" s="34" t="str">
        <f t="shared" si="186"/>
        <v/>
      </c>
      <c r="L1137" s="34" t="str">
        <f t="shared" si="186"/>
        <v/>
      </c>
      <c r="M1137" s="34" t="str">
        <f t="shared" si="186"/>
        <v/>
      </c>
      <c r="N1137" s="34">
        <f t="shared" si="186"/>
        <v>60</v>
      </c>
      <c r="O1137" s="34">
        <f t="shared" si="186"/>
        <v>63</v>
      </c>
      <c r="P1137" s="34">
        <f t="shared" si="186"/>
        <v>75</v>
      </c>
      <c r="Q1137" s="34">
        <f t="shared" si="186"/>
        <v>87</v>
      </c>
      <c r="R1137" s="34">
        <f t="shared" si="186"/>
        <v>99</v>
      </c>
      <c r="S1137" s="35">
        <f t="shared" si="181"/>
        <v>60</v>
      </c>
    </row>
    <row r="1138" spans="2:19" hidden="1" outlineLevel="1">
      <c r="B1138" s="14" t="s">
        <v>116</v>
      </c>
      <c r="C1138" s="15" t="s">
        <v>65</v>
      </c>
      <c r="D1138" s="52">
        <v>2043</v>
      </c>
      <c r="E1138" s="34">
        <v>11</v>
      </c>
      <c r="F1138" s="38">
        <f t="shared" si="177"/>
        <v>20298.8389345785</v>
      </c>
      <c r="G1138" s="34">
        <f t="shared" si="178"/>
        <v>9</v>
      </c>
      <c r="H1138" s="34">
        <f t="shared" si="179"/>
        <v>3</v>
      </c>
      <c r="I1138" s="34" t="str">
        <f t="shared" si="186"/>
        <v/>
      </c>
      <c r="J1138" s="34" t="str">
        <f t="shared" si="186"/>
        <v/>
      </c>
      <c r="K1138" s="34" t="str">
        <f t="shared" si="186"/>
        <v/>
      </c>
      <c r="L1138" s="34" t="str">
        <f t="shared" si="186"/>
        <v/>
      </c>
      <c r="M1138" s="34" t="str">
        <f t="shared" si="186"/>
        <v/>
      </c>
      <c r="N1138" s="34">
        <f t="shared" si="186"/>
        <v>60</v>
      </c>
      <c r="O1138" s="34">
        <f t="shared" si="186"/>
        <v>62</v>
      </c>
      <c r="P1138" s="34">
        <f t="shared" si="186"/>
        <v>74</v>
      </c>
      <c r="Q1138" s="34">
        <f t="shared" si="186"/>
        <v>86</v>
      </c>
      <c r="R1138" s="34">
        <f t="shared" si="186"/>
        <v>98</v>
      </c>
      <c r="S1138" s="35">
        <f t="shared" si="181"/>
        <v>60</v>
      </c>
    </row>
    <row r="1139" spans="2:19" hidden="1" outlineLevel="1">
      <c r="B1139" s="14" t="s">
        <v>116</v>
      </c>
      <c r="C1139" s="15" t="s">
        <v>65</v>
      </c>
      <c r="D1139" s="52">
        <v>2043</v>
      </c>
      <c r="E1139" s="34">
        <v>12</v>
      </c>
      <c r="F1139" s="38">
        <f t="shared" si="177"/>
        <v>20298.8389345785</v>
      </c>
      <c r="G1139" s="34">
        <f t="shared" si="178"/>
        <v>9</v>
      </c>
      <c r="H1139" s="34">
        <f t="shared" si="179"/>
        <v>3</v>
      </c>
      <c r="I1139" s="34" t="str">
        <f t="shared" si="186"/>
        <v/>
      </c>
      <c r="J1139" s="34" t="str">
        <f t="shared" si="186"/>
        <v/>
      </c>
      <c r="K1139" s="34" t="str">
        <f t="shared" si="186"/>
        <v/>
      </c>
      <c r="L1139" s="34" t="str">
        <f t="shared" si="186"/>
        <v/>
      </c>
      <c r="M1139" s="34" t="str">
        <f t="shared" si="186"/>
        <v/>
      </c>
      <c r="N1139" s="34">
        <f t="shared" si="186"/>
        <v>60</v>
      </c>
      <c r="O1139" s="34">
        <f t="shared" si="186"/>
        <v>61</v>
      </c>
      <c r="P1139" s="34">
        <f t="shared" si="186"/>
        <v>73</v>
      </c>
      <c r="Q1139" s="34">
        <f t="shared" si="186"/>
        <v>85</v>
      </c>
      <c r="R1139" s="34">
        <f t="shared" si="186"/>
        <v>97</v>
      </c>
      <c r="S1139" s="35">
        <f t="shared" si="181"/>
        <v>60</v>
      </c>
    </row>
    <row r="1140" spans="2:19" hidden="1" outlineLevel="1">
      <c r="B1140" s="14" t="s">
        <v>116</v>
      </c>
      <c r="C1140" s="15" t="s">
        <v>65</v>
      </c>
      <c r="D1140" s="52">
        <v>2044</v>
      </c>
      <c r="E1140" s="34">
        <v>1</v>
      </c>
      <c r="F1140" s="38">
        <f t="shared" si="177"/>
        <v>20407.736252137165</v>
      </c>
      <c r="G1140" s="34">
        <f t="shared" si="178"/>
        <v>9</v>
      </c>
      <c r="H1140" s="34">
        <f t="shared" si="179"/>
        <v>3</v>
      </c>
      <c r="I1140" s="34" t="str">
        <f t="shared" ref="I1140:R1149" si="187">IF($D1140&lt;$Z$18,"",IF(MAX($G1140,INDEX($C$65:$F$108,$D1140+I$119-2026,$H1140))&lt;=12*I$119-$E1140+12,MAX($G1140,12*I$119-$E1140+1,INDEX($C$65:$F$108,$D1140+I$119-2026,$H1140)),""))</f>
        <v/>
      </c>
      <c r="J1140" s="34" t="str">
        <f t="shared" si="187"/>
        <v/>
      </c>
      <c r="K1140" s="34" t="str">
        <f t="shared" si="187"/>
        <v/>
      </c>
      <c r="L1140" s="34" t="str">
        <f t="shared" si="187"/>
        <v/>
      </c>
      <c r="M1140" s="34" t="str">
        <f t="shared" si="187"/>
        <v/>
      </c>
      <c r="N1140" s="34">
        <f t="shared" si="187"/>
        <v>60</v>
      </c>
      <c r="O1140" s="34">
        <f t="shared" si="187"/>
        <v>72</v>
      </c>
      <c r="P1140" s="34">
        <f t="shared" si="187"/>
        <v>84</v>
      </c>
      <c r="Q1140" s="34">
        <f t="shared" si="187"/>
        <v>96</v>
      </c>
      <c r="R1140" s="34">
        <f t="shared" si="187"/>
        <v>108</v>
      </c>
      <c r="S1140" s="35">
        <f t="shared" si="181"/>
        <v>60</v>
      </c>
    </row>
    <row r="1141" spans="2:19" hidden="1" outlineLevel="1">
      <c r="B1141" s="14" t="s">
        <v>116</v>
      </c>
      <c r="C1141" s="15" t="s">
        <v>65</v>
      </c>
      <c r="D1141" s="52">
        <v>2044</v>
      </c>
      <c r="E1141" s="34">
        <v>2</v>
      </c>
      <c r="F1141" s="38">
        <f t="shared" si="177"/>
        <v>20407.736252137165</v>
      </c>
      <c r="G1141" s="34">
        <f t="shared" si="178"/>
        <v>9</v>
      </c>
      <c r="H1141" s="34">
        <f t="shared" si="179"/>
        <v>3</v>
      </c>
      <c r="I1141" s="34" t="str">
        <f t="shared" si="187"/>
        <v/>
      </c>
      <c r="J1141" s="34" t="str">
        <f t="shared" si="187"/>
        <v/>
      </c>
      <c r="K1141" s="34" t="str">
        <f t="shared" si="187"/>
        <v/>
      </c>
      <c r="L1141" s="34" t="str">
        <f t="shared" si="187"/>
        <v/>
      </c>
      <c r="M1141" s="34" t="str">
        <f t="shared" si="187"/>
        <v/>
      </c>
      <c r="N1141" s="34">
        <f t="shared" si="187"/>
        <v>60</v>
      </c>
      <c r="O1141" s="34">
        <f t="shared" si="187"/>
        <v>71</v>
      </c>
      <c r="P1141" s="34">
        <f t="shared" si="187"/>
        <v>83</v>
      </c>
      <c r="Q1141" s="34">
        <f t="shared" si="187"/>
        <v>95</v>
      </c>
      <c r="R1141" s="34">
        <f t="shared" si="187"/>
        <v>107</v>
      </c>
      <c r="S1141" s="35">
        <f t="shared" si="181"/>
        <v>60</v>
      </c>
    </row>
    <row r="1142" spans="2:19" hidden="1" outlineLevel="1">
      <c r="B1142" s="14" t="s">
        <v>116</v>
      </c>
      <c r="C1142" s="15" t="s">
        <v>65</v>
      </c>
      <c r="D1142" s="52">
        <v>2044</v>
      </c>
      <c r="E1142" s="34">
        <v>3</v>
      </c>
      <c r="F1142" s="38">
        <f t="shared" si="177"/>
        <v>20407.736252137165</v>
      </c>
      <c r="G1142" s="34">
        <f t="shared" si="178"/>
        <v>9</v>
      </c>
      <c r="H1142" s="34">
        <f t="shared" si="179"/>
        <v>3</v>
      </c>
      <c r="I1142" s="34" t="str">
        <f t="shared" si="187"/>
        <v/>
      </c>
      <c r="J1142" s="34" t="str">
        <f t="shared" si="187"/>
        <v/>
      </c>
      <c r="K1142" s="34" t="str">
        <f t="shared" si="187"/>
        <v/>
      </c>
      <c r="L1142" s="34" t="str">
        <f t="shared" si="187"/>
        <v/>
      </c>
      <c r="M1142" s="34" t="str">
        <f t="shared" si="187"/>
        <v/>
      </c>
      <c r="N1142" s="34">
        <f t="shared" si="187"/>
        <v>60</v>
      </c>
      <c r="O1142" s="34">
        <f t="shared" si="187"/>
        <v>70</v>
      </c>
      <c r="P1142" s="34">
        <f t="shared" si="187"/>
        <v>82</v>
      </c>
      <c r="Q1142" s="34">
        <f t="shared" si="187"/>
        <v>94</v>
      </c>
      <c r="R1142" s="34">
        <f t="shared" si="187"/>
        <v>106</v>
      </c>
      <c r="S1142" s="35">
        <f t="shared" si="181"/>
        <v>60</v>
      </c>
    </row>
    <row r="1143" spans="2:19" hidden="1" outlineLevel="1">
      <c r="B1143" s="14" t="s">
        <v>116</v>
      </c>
      <c r="C1143" s="15" t="s">
        <v>65</v>
      </c>
      <c r="D1143" s="52">
        <v>2044</v>
      </c>
      <c r="E1143" s="34">
        <v>4</v>
      </c>
      <c r="F1143" s="38">
        <f t="shared" si="177"/>
        <v>20407.736252137165</v>
      </c>
      <c r="G1143" s="34">
        <f t="shared" si="178"/>
        <v>9</v>
      </c>
      <c r="H1143" s="34">
        <f t="shared" si="179"/>
        <v>3</v>
      </c>
      <c r="I1143" s="34" t="str">
        <f t="shared" si="187"/>
        <v/>
      </c>
      <c r="J1143" s="34" t="str">
        <f t="shared" si="187"/>
        <v/>
      </c>
      <c r="K1143" s="34" t="str">
        <f t="shared" si="187"/>
        <v/>
      </c>
      <c r="L1143" s="34" t="str">
        <f t="shared" si="187"/>
        <v/>
      </c>
      <c r="M1143" s="34" t="str">
        <f t="shared" si="187"/>
        <v/>
      </c>
      <c r="N1143" s="34">
        <f t="shared" si="187"/>
        <v>60</v>
      </c>
      <c r="O1143" s="34">
        <f t="shared" si="187"/>
        <v>69</v>
      </c>
      <c r="P1143" s="34">
        <f t="shared" si="187"/>
        <v>81</v>
      </c>
      <c r="Q1143" s="34">
        <f t="shared" si="187"/>
        <v>93</v>
      </c>
      <c r="R1143" s="34">
        <f t="shared" si="187"/>
        <v>105</v>
      </c>
      <c r="S1143" s="35">
        <f t="shared" si="181"/>
        <v>60</v>
      </c>
    </row>
    <row r="1144" spans="2:19" hidden="1" outlineLevel="1">
      <c r="B1144" s="14" t="s">
        <v>116</v>
      </c>
      <c r="C1144" s="15" t="s">
        <v>65</v>
      </c>
      <c r="D1144" s="52">
        <v>2044</v>
      </c>
      <c r="E1144" s="34">
        <v>5</v>
      </c>
      <c r="F1144" s="38">
        <f t="shared" ref="F1144:F1207" si="188">IF($C1144="Homens",INDEX($C$5:$C$55,MATCH($D1144,$B$5:$B$55,0)),INDEX($F$5:$F$55,MATCH($D1144,$B$5:$B$55,0)))/12</f>
        <v>20407.736252137165</v>
      </c>
      <c r="G1144" s="34">
        <f t="shared" ref="G1144:G1207" si="189">IF($C1144="Homens",$Z$17,$AA$17)</f>
        <v>9</v>
      </c>
      <c r="H1144" s="34">
        <f t="shared" ref="H1144:H1207" si="190">1+2*($B1144="Com Transição")+($C1144="Mulheres")</f>
        <v>3</v>
      </c>
      <c r="I1144" s="34" t="str">
        <f t="shared" si="187"/>
        <v/>
      </c>
      <c r="J1144" s="34" t="str">
        <f t="shared" si="187"/>
        <v/>
      </c>
      <c r="K1144" s="34" t="str">
        <f t="shared" si="187"/>
        <v/>
      </c>
      <c r="L1144" s="34" t="str">
        <f t="shared" si="187"/>
        <v/>
      </c>
      <c r="M1144" s="34" t="str">
        <f t="shared" si="187"/>
        <v/>
      </c>
      <c r="N1144" s="34">
        <f t="shared" si="187"/>
        <v>60</v>
      </c>
      <c r="O1144" s="34">
        <f t="shared" si="187"/>
        <v>68</v>
      </c>
      <c r="P1144" s="34">
        <f t="shared" si="187"/>
        <v>80</v>
      </c>
      <c r="Q1144" s="34">
        <f t="shared" si="187"/>
        <v>92</v>
      </c>
      <c r="R1144" s="34">
        <f t="shared" si="187"/>
        <v>104</v>
      </c>
      <c r="S1144" s="35">
        <f t="shared" ref="S1144:S1207" si="191">IF($D1144&lt;$Z$18,$G1144,MIN(I1144:R1144))</f>
        <v>60</v>
      </c>
    </row>
    <row r="1145" spans="2:19" hidden="1" outlineLevel="1">
      <c r="B1145" s="14" t="s">
        <v>116</v>
      </c>
      <c r="C1145" s="15" t="s">
        <v>65</v>
      </c>
      <c r="D1145" s="52">
        <v>2044</v>
      </c>
      <c r="E1145" s="34">
        <v>6</v>
      </c>
      <c r="F1145" s="38">
        <f t="shared" si="188"/>
        <v>20407.736252137165</v>
      </c>
      <c r="G1145" s="34">
        <f t="shared" si="189"/>
        <v>9</v>
      </c>
      <c r="H1145" s="34">
        <f t="shared" si="190"/>
        <v>3</v>
      </c>
      <c r="I1145" s="34" t="str">
        <f t="shared" si="187"/>
        <v/>
      </c>
      <c r="J1145" s="34" t="str">
        <f t="shared" si="187"/>
        <v/>
      </c>
      <c r="K1145" s="34" t="str">
        <f t="shared" si="187"/>
        <v/>
      </c>
      <c r="L1145" s="34" t="str">
        <f t="shared" si="187"/>
        <v/>
      </c>
      <c r="M1145" s="34" t="str">
        <f t="shared" si="187"/>
        <v/>
      </c>
      <c r="N1145" s="34">
        <f t="shared" si="187"/>
        <v>60</v>
      </c>
      <c r="O1145" s="34">
        <f t="shared" si="187"/>
        <v>67</v>
      </c>
      <c r="P1145" s="34">
        <f t="shared" si="187"/>
        <v>79</v>
      </c>
      <c r="Q1145" s="34">
        <f t="shared" si="187"/>
        <v>91</v>
      </c>
      <c r="R1145" s="34">
        <f t="shared" si="187"/>
        <v>103</v>
      </c>
      <c r="S1145" s="35">
        <f t="shared" si="191"/>
        <v>60</v>
      </c>
    </row>
    <row r="1146" spans="2:19" hidden="1" outlineLevel="1">
      <c r="B1146" s="14" t="s">
        <v>116</v>
      </c>
      <c r="C1146" s="15" t="s">
        <v>65</v>
      </c>
      <c r="D1146" s="52">
        <v>2044</v>
      </c>
      <c r="E1146" s="34">
        <v>7</v>
      </c>
      <c r="F1146" s="38">
        <f t="shared" si="188"/>
        <v>20407.736252137165</v>
      </c>
      <c r="G1146" s="34">
        <f t="shared" si="189"/>
        <v>9</v>
      </c>
      <c r="H1146" s="34">
        <f t="shared" si="190"/>
        <v>3</v>
      </c>
      <c r="I1146" s="34" t="str">
        <f t="shared" si="187"/>
        <v/>
      </c>
      <c r="J1146" s="34" t="str">
        <f t="shared" si="187"/>
        <v/>
      </c>
      <c r="K1146" s="34" t="str">
        <f t="shared" si="187"/>
        <v/>
      </c>
      <c r="L1146" s="34" t="str">
        <f t="shared" si="187"/>
        <v/>
      </c>
      <c r="M1146" s="34" t="str">
        <f t="shared" si="187"/>
        <v/>
      </c>
      <c r="N1146" s="34">
        <f t="shared" si="187"/>
        <v>60</v>
      </c>
      <c r="O1146" s="34">
        <f t="shared" si="187"/>
        <v>66</v>
      </c>
      <c r="P1146" s="34">
        <f t="shared" si="187"/>
        <v>78</v>
      </c>
      <c r="Q1146" s="34">
        <f t="shared" si="187"/>
        <v>90</v>
      </c>
      <c r="R1146" s="34">
        <f t="shared" si="187"/>
        <v>102</v>
      </c>
      <c r="S1146" s="35">
        <f t="shared" si="191"/>
        <v>60</v>
      </c>
    </row>
    <row r="1147" spans="2:19" hidden="1" outlineLevel="1">
      <c r="B1147" s="14" t="s">
        <v>116</v>
      </c>
      <c r="C1147" s="15" t="s">
        <v>65</v>
      </c>
      <c r="D1147" s="52">
        <v>2044</v>
      </c>
      <c r="E1147" s="34">
        <v>8</v>
      </c>
      <c r="F1147" s="38">
        <f t="shared" si="188"/>
        <v>20407.736252137165</v>
      </c>
      <c r="G1147" s="34">
        <f t="shared" si="189"/>
        <v>9</v>
      </c>
      <c r="H1147" s="34">
        <f t="shared" si="190"/>
        <v>3</v>
      </c>
      <c r="I1147" s="34" t="str">
        <f t="shared" si="187"/>
        <v/>
      </c>
      <c r="J1147" s="34" t="str">
        <f t="shared" si="187"/>
        <v/>
      </c>
      <c r="K1147" s="34" t="str">
        <f t="shared" si="187"/>
        <v/>
      </c>
      <c r="L1147" s="34" t="str">
        <f t="shared" si="187"/>
        <v/>
      </c>
      <c r="M1147" s="34" t="str">
        <f t="shared" si="187"/>
        <v/>
      </c>
      <c r="N1147" s="34">
        <f t="shared" si="187"/>
        <v>60</v>
      </c>
      <c r="O1147" s="34">
        <f t="shared" si="187"/>
        <v>65</v>
      </c>
      <c r="P1147" s="34">
        <f t="shared" si="187"/>
        <v>77</v>
      </c>
      <c r="Q1147" s="34">
        <f t="shared" si="187"/>
        <v>89</v>
      </c>
      <c r="R1147" s="34">
        <f t="shared" si="187"/>
        <v>101</v>
      </c>
      <c r="S1147" s="35">
        <f t="shared" si="191"/>
        <v>60</v>
      </c>
    </row>
    <row r="1148" spans="2:19" hidden="1" outlineLevel="1">
      <c r="B1148" s="14" t="s">
        <v>116</v>
      </c>
      <c r="C1148" s="15" t="s">
        <v>65</v>
      </c>
      <c r="D1148" s="52">
        <v>2044</v>
      </c>
      <c r="E1148" s="34">
        <v>9</v>
      </c>
      <c r="F1148" s="38">
        <f t="shared" si="188"/>
        <v>20407.736252137165</v>
      </c>
      <c r="G1148" s="34">
        <f t="shared" si="189"/>
        <v>9</v>
      </c>
      <c r="H1148" s="34">
        <f t="shared" si="190"/>
        <v>3</v>
      </c>
      <c r="I1148" s="34" t="str">
        <f t="shared" si="187"/>
        <v/>
      </c>
      <c r="J1148" s="34" t="str">
        <f t="shared" si="187"/>
        <v/>
      </c>
      <c r="K1148" s="34" t="str">
        <f t="shared" si="187"/>
        <v/>
      </c>
      <c r="L1148" s="34" t="str">
        <f t="shared" si="187"/>
        <v/>
      </c>
      <c r="M1148" s="34" t="str">
        <f t="shared" si="187"/>
        <v/>
      </c>
      <c r="N1148" s="34">
        <f t="shared" si="187"/>
        <v>60</v>
      </c>
      <c r="O1148" s="34">
        <f t="shared" si="187"/>
        <v>64</v>
      </c>
      <c r="P1148" s="34">
        <f t="shared" si="187"/>
        <v>76</v>
      </c>
      <c r="Q1148" s="34">
        <f t="shared" si="187"/>
        <v>88</v>
      </c>
      <c r="R1148" s="34">
        <f t="shared" si="187"/>
        <v>100</v>
      </c>
      <c r="S1148" s="35">
        <f t="shared" si="191"/>
        <v>60</v>
      </c>
    </row>
    <row r="1149" spans="2:19" hidden="1" outlineLevel="1">
      <c r="B1149" s="14" t="s">
        <v>116</v>
      </c>
      <c r="C1149" s="15" t="s">
        <v>65</v>
      </c>
      <c r="D1149" s="52">
        <v>2044</v>
      </c>
      <c r="E1149" s="34">
        <v>10</v>
      </c>
      <c r="F1149" s="38">
        <f t="shared" si="188"/>
        <v>20407.736252137165</v>
      </c>
      <c r="G1149" s="34">
        <f t="shared" si="189"/>
        <v>9</v>
      </c>
      <c r="H1149" s="34">
        <f t="shared" si="190"/>
        <v>3</v>
      </c>
      <c r="I1149" s="34" t="str">
        <f t="shared" si="187"/>
        <v/>
      </c>
      <c r="J1149" s="34" t="str">
        <f t="shared" si="187"/>
        <v/>
      </c>
      <c r="K1149" s="34" t="str">
        <f t="shared" si="187"/>
        <v/>
      </c>
      <c r="L1149" s="34" t="str">
        <f t="shared" si="187"/>
        <v/>
      </c>
      <c r="M1149" s="34" t="str">
        <f t="shared" si="187"/>
        <v/>
      </c>
      <c r="N1149" s="34">
        <f t="shared" si="187"/>
        <v>60</v>
      </c>
      <c r="O1149" s="34">
        <f t="shared" si="187"/>
        <v>63</v>
      </c>
      <c r="P1149" s="34">
        <f t="shared" si="187"/>
        <v>75</v>
      </c>
      <c r="Q1149" s="34">
        <f t="shared" si="187"/>
        <v>87</v>
      </c>
      <c r="R1149" s="34">
        <f t="shared" si="187"/>
        <v>99</v>
      </c>
      <c r="S1149" s="35">
        <f t="shared" si="191"/>
        <v>60</v>
      </c>
    </row>
    <row r="1150" spans="2:19" hidden="1" outlineLevel="1">
      <c r="B1150" s="14" t="s">
        <v>116</v>
      </c>
      <c r="C1150" s="15" t="s">
        <v>65</v>
      </c>
      <c r="D1150" s="52">
        <v>2044</v>
      </c>
      <c r="E1150" s="34">
        <v>11</v>
      </c>
      <c r="F1150" s="38">
        <f t="shared" si="188"/>
        <v>20407.736252137165</v>
      </c>
      <c r="G1150" s="34">
        <f t="shared" si="189"/>
        <v>9</v>
      </c>
      <c r="H1150" s="34">
        <f t="shared" si="190"/>
        <v>3</v>
      </c>
      <c r="I1150" s="34" t="str">
        <f t="shared" ref="I1150:R1159" si="192">IF($D1150&lt;$Z$18,"",IF(MAX($G1150,INDEX($C$65:$F$108,$D1150+I$119-2026,$H1150))&lt;=12*I$119-$E1150+12,MAX($G1150,12*I$119-$E1150+1,INDEX($C$65:$F$108,$D1150+I$119-2026,$H1150)),""))</f>
        <v/>
      </c>
      <c r="J1150" s="34" t="str">
        <f t="shared" si="192"/>
        <v/>
      </c>
      <c r="K1150" s="34" t="str">
        <f t="shared" si="192"/>
        <v/>
      </c>
      <c r="L1150" s="34" t="str">
        <f t="shared" si="192"/>
        <v/>
      </c>
      <c r="M1150" s="34" t="str">
        <f t="shared" si="192"/>
        <v/>
      </c>
      <c r="N1150" s="34">
        <f t="shared" si="192"/>
        <v>60</v>
      </c>
      <c r="O1150" s="34">
        <f t="shared" si="192"/>
        <v>62</v>
      </c>
      <c r="P1150" s="34">
        <f t="shared" si="192"/>
        <v>74</v>
      </c>
      <c r="Q1150" s="34">
        <f t="shared" si="192"/>
        <v>86</v>
      </c>
      <c r="R1150" s="34">
        <f t="shared" si="192"/>
        <v>98</v>
      </c>
      <c r="S1150" s="35">
        <f t="shared" si="191"/>
        <v>60</v>
      </c>
    </row>
    <row r="1151" spans="2:19" hidden="1" outlineLevel="1">
      <c r="B1151" s="14" t="s">
        <v>116</v>
      </c>
      <c r="C1151" s="15" t="s">
        <v>65</v>
      </c>
      <c r="D1151" s="52">
        <v>2044</v>
      </c>
      <c r="E1151" s="34">
        <v>12</v>
      </c>
      <c r="F1151" s="38">
        <f t="shared" si="188"/>
        <v>20407.736252137165</v>
      </c>
      <c r="G1151" s="34">
        <f t="shared" si="189"/>
        <v>9</v>
      </c>
      <c r="H1151" s="34">
        <f t="shared" si="190"/>
        <v>3</v>
      </c>
      <c r="I1151" s="34" t="str">
        <f t="shared" si="192"/>
        <v/>
      </c>
      <c r="J1151" s="34" t="str">
        <f t="shared" si="192"/>
        <v/>
      </c>
      <c r="K1151" s="34" t="str">
        <f t="shared" si="192"/>
        <v/>
      </c>
      <c r="L1151" s="34" t="str">
        <f t="shared" si="192"/>
        <v/>
      </c>
      <c r="M1151" s="34" t="str">
        <f t="shared" si="192"/>
        <v/>
      </c>
      <c r="N1151" s="34">
        <f t="shared" si="192"/>
        <v>60</v>
      </c>
      <c r="O1151" s="34">
        <f t="shared" si="192"/>
        <v>61</v>
      </c>
      <c r="P1151" s="34">
        <f t="shared" si="192"/>
        <v>73</v>
      </c>
      <c r="Q1151" s="34">
        <f t="shared" si="192"/>
        <v>85</v>
      </c>
      <c r="R1151" s="34">
        <f t="shared" si="192"/>
        <v>97</v>
      </c>
      <c r="S1151" s="35">
        <f t="shared" si="191"/>
        <v>60</v>
      </c>
    </row>
    <row r="1152" spans="2:19" hidden="1" outlineLevel="1">
      <c r="B1152" s="14" t="s">
        <v>116</v>
      </c>
      <c r="C1152" s="15" t="s">
        <v>65</v>
      </c>
      <c r="D1152" s="52">
        <v>2045</v>
      </c>
      <c r="E1152" s="34">
        <v>1</v>
      </c>
      <c r="F1152" s="38">
        <f t="shared" si="188"/>
        <v>20426.420564560551</v>
      </c>
      <c r="G1152" s="34">
        <f t="shared" si="189"/>
        <v>9</v>
      </c>
      <c r="H1152" s="34">
        <f t="shared" si="190"/>
        <v>3</v>
      </c>
      <c r="I1152" s="34" t="str">
        <f t="shared" si="192"/>
        <v/>
      </c>
      <c r="J1152" s="34" t="str">
        <f t="shared" si="192"/>
        <v/>
      </c>
      <c r="K1152" s="34" t="str">
        <f t="shared" si="192"/>
        <v/>
      </c>
      <c r="L1152" s="34" t="str">
        <f t="shared" si="192"/>
        <v/>
      </c>
      <c r="M1152" s="34" t="str">
        <f t="shared" si="192"/>
        <v/>
      </c>
      <c r="N1152" s="34">
        <f t="shared" si="192"/>
        <v>60</v>
      </c>
      <c r="O1152" s="34">
        <f t="shared" si="192"/>
        <v>72</v>
      </c>
      <c r="P1152" s="34">
        <f t="shared" si="192"/>
        <v>84</v>
      </c>
      <c r="Q1152" s="34">
        <f t="shared" si="192"/>
        <v>96</v>
      </c>
      <c r="R1152" s="34">
        <f t="shared" si="192"/>
        <v>108</v>
      </c>
      <c r="S1152" s="35">
        <f t="shared" si="191"/>
        <v>60</v>
      </c>
    </row>
    <row r="1153" spans="2:19" hidden="1" outlineLevel="1">
      <c r="B1153" s="14" t="s">
        <v>116</v>
      </c>
      <c r="C1153" s="15" t="s">
        <v>65</v>
      </c>
      <c r="D1153" s="52">
        <v>2045</v>
      </c>
      <c r="E1153" s="34">
        <v>2</v>
      </c>
      <c r="F1153" s="38">
        <f t="shared" si="188"/>
        <v>20426.420564560551</v>
      </c>
      <c r="G1153" s="34">
        <f t="shared" si="189"/>
        <v>9</v>
      </c>
      <c r="H1153" s="34">
        <f t="shared" si="190"/>
        <v>3</v>
      </c>
      <c r="I1153" s="34" t="str">
        <f t="shared" si="192"/>
        <v/>
      </c>
      <c r="J1153" s="34" t="str">
        <f t="shared" si="192"/>
        <v/>
      </c>
      <c r="K1153" s="34" t="str">
        <f t="shared" si="192"/>
        <v/>
      </c>
      <c r="L1153" s="34" t="str">
        <f t="shared" si="192"/>
        <v/>
      </c>
      <c r="M1153" s="34" t="str">
        <f t="shared" si="192"/>
        <v/>
      </c>
      <c r="N1153" s="34">
        <f t="shared" si="192"/>
        <v>60</v>
      </c>
      <c r="O1153" s="34">
        <f t="shared" si="192"/>
        <v>71</v>
      </c>
      <c r="P1153" s="34">
        <f t="shared" si="192"/>
        <v>83</v>
      </c>
      <c r="Q1153" s="34">
        <f t="shared" si="192"/>
        <v>95</v>
      </c>
      <c r="R1153" s="34">
        <f t="shared" si="192"/>
        <v>107</v>
      </c>
      <c r="S1153" s="35">
        <f t="shared" si="191"/>
        <v>60</v>
      </c>
    </row>
    <row r="1154" spans="2:19" hidden="1" outlineLevel="1">
      <c r="B1154" s="14" t="s">
        <v>116</v>
      </c>
      <c r="C1154" s="15" t="s">
        <v>65</v>
      </c>
      <c r="D1154" s="52">
        <v>2045</v>
      </c>
      <c r="E1154" s="34">
        <v>3</v>
      </c>
      <c r="F1154" s="38">
        <f t="shared" si="188"/>
        <v>20426.420564560551</v>
      </c>
      <c r="G1154" s="34">
        <f t="shared" si="189"/>
        <v>9</v>
      </c>
      <c r="H1154" s="34">
        <f t="shared" si="190"/>
        <v>3</v>
      </c>
      <c r="I1154" s="34" t="str">
        <f t="shared" si="192"/>
        <v/>
      </c>
      <c r="J1154" s="34" t="str">
        <f t="shared" si="192"/>
        <v/>
      </c>
      <c r="K1154" s="34" t="str">
        <f t="shared" si="192"/>
        <v/>
      </c>
      <c r="L1154" s="34" t="str">
        <f t="shared" si="192"/>
        <v/>
      </c>
      <c r="M1154" s="34" t="str">
        <f t="shared" si="192"/>
        <v/>
      </c>
      <c r="N1154" s="34">
        <f t="shared" si="192"/>
        <v>60</v>
      </c>
      <c r="O1154" s="34">
        <f t="shared" si="192"/>
        <v>70</v>
      </c>
      <c r="P1154" s="34">
        <f t="shared" si="192"/>
        <v>82</v>
      </c>
      <c r="Q1154" s="34">
        <f t="shared" si="192"/>
        <v>94</v>
      </c>
      <c r="R1154" s="34">
        <f t="shared" si="192"/>
        <v>106</v>
      </c>
      <c r="S1154" s="35">
        <f t="shared" si="191"/>
        <v>60</v>
      </c>
    </row>
    <row r="1155" spans="2:19" hidden="1" outlineLevel="1">
      <c r="B1155" s="14" t="s">
        <v>116</v>
      </c>
      <c r="C1155" s="15" t="s">
        <v>65</v>
      </c>
      <c r="D1155" s="52">
        <v>2045</v>
      </c>
      <c r="E1155" s="34">
        <v>4</v>
      </c>
      <c r="F1155" s="38">
        <f t="shared" si="188"/>
        <v>20426.420564560551</v>
      </c>
      <c r="G1155" s="34">
        <f t="shared" si="189"/>
        <v>9</v>
      </c>
      <c r="H1155" s="34">
        <f t="shared" si="190"/>
        <v>3</v>
      </c>
      <c r="I1155" s="34" t="str">
        <f t="shared" si="192"/>
        <v/>
      </c>
      <c r="J1155" s="34" t="str">
        <f t="shared" si="192"/>
        <v/>
      </c>
      <c r="K1155" s="34" t="str">
        <f t="shared" si="192"/>
        <v/>
      </c>
      <c r="L1155" s="34" t="str">
        <f t="shared" si="192"/>
        <v/>
      </c>
      <c r="M1155" s="34" t="str">
        <f t="shared" si="192"/>
        <v/>
      </c>
      <c r="N1155" s="34">
        <f t="shared" si="192"/>
        <v>60</v>
      </c>
      <c r="O1155" s="34">
        <f t="shared" si="192"/>
        <v>69</v>
      </c>
      <c r="P1155" s="34">
        <f t="shared" si="192"/>
        <v>81</v>
      </c>
      <c r="Q1155" s="34">
        <f t="shared" si="192"/>
        <v>93</v>
      </c>
      <c r="R1155" s="34">
        <f t="shared" si="192"/>
        <v>105</v>
      </c>
      <c r="S1155" s="35">
        <f t="shared" si="191"/>
        <v>60</v>
      </c>
    </row>
    <row r="1156" spans="2:19" hidden="1" outlineLevel="1">
      <c r="B1156" s="14" t="s">
        <v>116</v>
      </c>
      <c r="C1156" s="15" t="s">
        <v>65</v>
      </c>
      <c r="D1156" s="52">
        <v>2045</v>
      </c>
      <c r="E1156" s="34">
        <v>5</v>
      </c>
      <c r="F1156" s="38">
        <f t="shared" si="188"/>
        <v>20426.420564560551</v>
      </c>
      <c r="G1156" s="34">
        <f t="shared" si="189"/>
        <v>9</v>
      </c>
      <c r="H1156" s="34">
        <f t="shared" si="190"/>
        <v>3</v>
      </c>
      <c r="I1156" s="34" t="str">
        <f t="shared" si="192"/>
        <v/>
      </c>
      <c r="J1156" s="34" t="str">
        <f t="shared" si="192"/>
        <v/>
      </c>
      <c r="K1156" s="34" t="str">
        <f t="shared" si="192"/>
        <v/>
      </c>
      <c r="L1156" s="34" t="str">
        <f t="shared" si="192"/>
        <v/>
      </c>
      <c r="M1156" s="34" t="str">
        <f t="shared" si="192"/>
        <v/>
      </c>
      <c r="N1156" s="34">
        <f t="shared" si="192"/>
        <v>60</v>
      </c>
      <c r="O1156" s="34">
        <f t="shared" si="192"/>
        <v>68</v>
      </c>
      <c r="P1156" s="34">
        <f t="shared" si="192"/>
        <v>80</v>
      </c>
      <c r="Q1156" s="34">
        <f t="shared" si="192"/>
        <v>92</v>
      </c>
      <c r="R1156" s="34">
        <f t="shared" si="192"/>
        <v>104</v>
      </c>
      <c r="S1156" s="35">
        <f t="shared" si="191"/>
        <v>60</v>
      </c>
    </row>
    <row r="1157" spans="2:19" hidden="1" outlineLevel="1">
      <c r="B1157" s="14" t="s">
        <v>116</v>
      </c>
      <c r="C1157" s="15" t="s">
        <v>65</v>
      </c>
      <c r="D1157" s="52">
        <v>2045</v>
      </c>
      <c r="E1157" s="34">
        <v>6</v>
      </c>
      <c r="F1157" s="38">
        <f t="shared" si="188"/>
        <v>20426.420564560551</v>
      </c>
      <c r="G1157" s="34">
        <f t="shared" si="189"/>
        <v>9</v>
      </c>
      <c r="H1157" s="34">
        <f t="shared" si="190"/>
        <v>3</v>
      </c>
      <c r="I1157" s="34" t="str">
        <f t="shared" si="192"/>
        <v/>
      </c>
      <c r="J1157" s="34" t="str">
        <f t="shared" si="192"/>
        <v/>
      </c>
      <c r="K1157" s="34" t="str">
        <f t="shared" si="192"/>
        <v/>
      </c>
      <c r="L1157" s="34" t="str">
        <f t="shared" si="192"/>
        <v/>
      </c>
      <c r="M1157" s="34" t="str">
        <f t="shared" si="192"/>
        <v/>
      </c>
      <c r="N1157" s="34">
        <f t="shared" si="192"/>
        <v>60</v>
      </c>
      <c r="O1157" s="34">
        <f t="shared" si="192"/>
        <v>67</v>
      </c>
      <c r="P1157" s="34">
        <f t="shared" si="192"/>
        <v>79</v>
      </c>
      <c r="Q1157" s="34">
        <f t="shared" si="192"/>
        <v>91</v>
      </c>
      <c r="R1157" s="34">
        <f t="shared" si="192"/>
        <v>103</v>
      </c>
      <c r="S1157" s="35">
        <f t="shared" si="191"/>
        <v>60</v>
      </c>
    </row>
    <row r="1158" spans="2:19" hidden="1" outlineLevel="1">
      <c r="B1158" s="14" t="s">
        <v>116</v>
      </c>
      <c r="C1158" s="15" t="s">
        <v>65</v>
      </c>
      <c r="D1158" s="52">
        <v>2045</v>
      </c>
      <c r="E1158" s="34">
        <v>7</v>
      </c>
      <c r="F1158" s="38">
        <f t="shared" si="188"/>
        <v>20426.420564560551</v>
      </c>
      <c r="G1158" s="34">
        <f t="shared" si="189"/>
        <v>9</v>
      </c>
      <c r="H1158" s="34">
        <f t="shared" si="190"/>
        <v>3</v>
      </c>
      <c r="I1158" s="34" t="str">
        <f t="shared" si="192"/>
        <v/>
      </c>
      <c r="J1158" s="34" t="str">
        <f t="shared" si="192"/>
        <v/>
      </c>
      <c r="K1158" s="34" t="str">
        <f t="shared" si="192"/>
        <v/>
      </c>
      <c r="L1158" s="34" t="str">
        <f t="shared" si="192"/>
        <v/>
      </c>
      <c r="M1158" s="34" t="str">
        <f t="shared" si="192"/>
        <v/>
      </c>
      <c r="N1158" s="34">
        <f t="shared" si="192"/>
        <v>60</v>
      </c>
      <c r="O1158" s="34">
        <f t="shared" si="192"/>
        <v>66</v>
      </c>
      <c r="P1158" s="34">
        <f t="shared" si="192"/>
        <v>78</v>
      </c>
      <c r="Q1158" s="34">
        <f t="shared" si="192"/>
        <v>90</v>
      </c>
      <c r="R1158" s="34">
        <f t="shared" si="192"/>
        <v>102</v>
      </c>
      <c r="S1158" s="35">
        <f t="shared" si="191"/>
        <v>60</v>
      </c>
    </row>
    <row r="1159" spans="2:19" hidden="1" outlineLevel="1">
      <c r="B1159" s="14" t="s">
        <v>116</v>
      </c>
      <c r="C1159" s="15" t="s">
        <v>65</v>
      </c>
      <c r="D1159" s="52">
        <v>2045</v>
      </c>
      <c r="E1159" s="34">
        <v>8</v>
      </c>
      <c r="F1159" s="38">
        <f t="shared" si="188"/>
        <v>20426.420564560551</v>
      </c>
      <c r="G1159" s="34">
        <f t="shared" si="189"/>
        <v>9</v>
      </c>
      <c r="H1159" s="34">
        <f t="shared" si="190"/>
        <v>3</v>
      </c>
      <c r="I1159" s="34" t="str">
        <f t="shared" si="192"/>
        <v/>
      </c>
      <c r="J1159" s="34" t="str">
        <f t="shared" si="192"/>
        <v/>
      </c>
      <c r="K1159" s="34" t="str">
        <f t="shared" si="192"/>
        <v/>
      </c>
      <c r="L1159" s="34" t="str">
        <f t="shared" si="192"/>
        <v/>
      </c>
      <c r="M1159" s="34" t="str">
        <f t="shared" si="192"/>
        <v/>
      </c>
      <c r="N1159" s="34">
        <f t="shared" si="192"/>
        <v>60</v>
      </c>
      <c r="O1159" s="34">
        <f t="shared" si="192"/>
        <v>65</v>
      </c>
      <c r="P1159" s="34">
        <f t="shared" si="192"/>
        <v>77</v>
      </c>
      <c r="Q1159" s="34">
        <f t="shared" si="192"/>
        <v>89</v>
      </c>
      <c r="R1159" s="34">
        <f t="shared" si="192"/>
        <v>101</v>
      </c>
      <c r="S1159" s="35">
        <f t="shared" si="191"/>
        <v>60</v>
      </c>
    </row>
    <row r="1160" spans="2:19" hidden="1" outlineLevel="1">
      <c r="B1160" s="14" t="s">
        <v>116</v>
      </c>
      <c r="C1160" s="15" t="s">
        <v>65</v>
      </c>
      <c r="D1160" s="52">
        <v>2045</v>
      </c>
      <c r="E1160" s="34">
        <v>9</v>
      </c>
      <c r="F1160" s="38">
        <f t="shared" si="188"/>
        <v>20426.420564560551</v>
      </c>
      <c r="G1160" s="34">
        <f t="shared" si="189"/>
        <v>9</v>
      </c>
      <c r="H1160" s="34">
        <f t="shared" si="190"/>
        <v>3</v>
      </c>
      <c r="I1160" s="34" t="str">
        <f t="shared" ref="I1160:R1169" si="193">IF($D1160&lt;$Z$18,"",IF(MAX($G1160,INDEX($C$65:$F$108,$D1160+I$119-2026,$H1160))&lt;=12*I$119-$E1160+12,MAX($G1160,12*I$119-$E1160+1,INDEX($C$65:$F$108,$D1160+I$119-2026,$H1160)),""))</f>
        <v/>
      </c>
      <c r="J1160" s="34" t="str">
        <f t="shared" si="193"/>
        <v/>
      </c>
      <c r="K1160" s="34" t="str">
        <f t="shared" si="193"/>
        <v/>
      </c>
      <c r="L1160" s="34" t="str">
        <f t="shared" si="193"/>
        <v/>
      </c>
      <c r="M1160" s="34" t="str">
        <f t="shared" si="193"/>
        <v/>
      </c>
      <c r="N1160" s="34">
        <f t="shared" si="193"/>
        <v>60</v>
      </c>
      <c r="O1160" s="34">
        <f t="shared" si="193"/>
        <v>64</v>
      </c>
      <c r="P1160" s="34">
        <f t="shared" si="193"/>
        <v>76</v>
      </c>
      <c r="Q1160" s="34">
        <f t="shared" si="193"/>
        <v>88</v>
      </c>
      <c r="R1160" s="34">
        <f t="shared" si="193"/>
        <v>100</v>
      </c>
      <c r="S1160" s="35">
        <f t="shared" si="191"/>
        <v>60</v>
      </c>
    </row>
    <row r="1161" spans="2:19" hidden="1" outlineLevel="1">
      <c r="B1161" s="14" t="s">
        <v>116</v>
      </c>
      <c r="C1161" s="15" t="s">
        <v>65</v>
      </c>
      <c r="D1161" s="52">
        <v>2045</v>
      </c>
      <c r="E1161" s="34">
        <v>10</v>
      </c>
      <c r="F1161" s="38">
        <f t="shared" si="188"/>
        <v>20426.420564560551</v>
      </c>
      <c r="G1161" s="34">
        <f t="shared" si="189"/>
        <v>9</v>
      </c>
      <c r="H1161" s="34">
        <f t="shared" si="190"/>
        <v>3</v>
      </c>
      <c r="I1161" s="34" t="str">
        <f t="shared" si="193"/>
        <v/>
      </c>
      <c r="J1161" s="34" t="str">
        <f t="shared" si="193"/>
        <v/>
      </c>
      <c r="K1161" s="34" t="str">
        <f t="shared" si="193"/>
        <v/>
      </c>
      <c r="L1161" s="34" t="str">
        <f t="shared" si="193"/>
        <v/>
      </c>
      <c r="M1161" s="34" t="str">
        <f t="shared" si="193"/>
        <v/>
      </c>
      <c r="N1161" s="34">
        <f t="shared" si="193"/>
        <v>60</v>
      </c>
      <c r="O1161" s="34">
        <f t="shared" si="193"/>
        <v>63</v>
      </c>
      <c r="P1161" s="34">
        <f t="shared" si="193"/>
        <v>75</v>
      </c>
      <c r="Q1161" s="34">
        <f t="shared" si="193"/>
        <v>87</v>
      </c>
      <c r="R1161" s="34">
        <f t="shared" si="193"/>
        <v>99</v>
      </c>
      <c r="S1161" s="35">
        <f t="shared" si="191"/>
        <v>60</v>
      </c>
    </row>
    <row r="1162" spans="2:19" hidden="1" outlineLevel="1">
      <c r="B1162" s="14" t="s">
        <v>116</v>
      </c>
      <c r="C1162" s="15" t="s">
        <v>65</v>
      </c>
      <c r="D1162" s="52">
        <v>2045</v>
      </c>
      <c r="E1162" s="34">
        <v>11</v>
      </c>
      <c r="F1162" s="38">
        <f t="shared" si="188"/>
        <v>20426.420564560551</v>
      </c>
      <c r="G1162" s="34">
        <f t="shared" si="189"/>
        <v>9</v>
      </c>
      <c r="H1162" s="34">
        <f t="shared" si="190"/>
        <v>3</v>
      </c>
      <c r="I1162" s="34" t="str">
        <f t="shared" si="193"/>
        <v/>
      </c>
      <c r="J1162" s="34" t="str">
        <f t="shared" si="193"/>
        <v/>
      </c>
      <c r="K1162" s="34" t="str">
        <f t="shared" si="193"/>
        <v/>
      </c>
      <c r="L1162" s="34" t="str">
        <f t="shared" si="193"/>
        <v/>
      </c>
      <c r="M1162" s="34" t="str">
        <f t="shared" si="193"/>
        <v/>
      </c>
      <c r="N1162" s="34">
        <f t="shared" si="193"/>
        <v>60</v>
      </c>
      <c r="O1162" s="34">
        <f t="shared" si="193"/>
        <v>62</v>
      </c>
      <c r="P1162" s="34">
        <f t="shared" si="193"/>
        <v>74</v>
      </c>
      <c r="Q1162" s="34">
        <f t="shared" si="193"/>
        <v>86</v>
      </c>
      <c r="R1162" s="34">
        <f t="shared" si="193"/>
        <v>98</v>
      </c>
      <c r="S1162" s="35">
        <f t="shared" si="191"/>
        <v>60</v>
      </c>
    </row>
    <row r="1163" spans="2:19" hidden="1" outlineLevel="1">
      <c r="B1163" s="14" t="s">
        <v>116</v>
      </c>
      <c r="C1163" s="15" t="s">
        <v>65</v>
      </c>
      <c r="D1163" s="52">
        <v>2045</v>
      </c>
      <c r="E1163" s="34">
        <v>12</v>
      </c>
      <c r="F1163" s="38">
        <f t="shared" si="188"/>
        <v>20426.420564560551</v>
      </c>
      <c r="G1163" s="34">
        <f t="shared" si="189"/>
        <v>9</v>
      </c>
      <c r="H1163" s="34">
        <f t="shared" si="190"/>
        <v>3</v>
      </c>
      <c r="I1163" s="34" t="str">
        <f t="shared" si="193"/>
        <v/>
      </c>
      <c r="J1163" s="34" t="str">
        <f t="shared" si="193"/>
        <v/>
      </c>
      <c r="K1163" s="34" t="str">
        <f t="shared" si="193"/>
        <v/>
      </c>
      <c r="L1163" s="34" t="str">
        <f t="shared" si="193"/>
        <v/>
      </c>
      <c r="M1163" s="34" t="str">
        <f t="shared" si="193"/>
        <v/>
      </c>
      <c r="N1163" s="34">
        <f t="shared" si="193"/>
        <v>60</v>
      </c>
      <c r="O1163" s="34">
        <f t="shared" si="193"/>
        <v>61</v>
      </c>
      <c r="P1163" s="34">
        <f t="shared" si="193"/>
        <v>73</v>
      </c>
      <c r="Q1163" s="34">
        <f t="shared" si="193"/>
        <v>85</v>
      </c>
      <c r="R1163" s="34">
        <f t="shared" si="193"/>
        <v>97</v>
      </c>
      <c r="S1163" s="35">
        <f t="shared" si="191"/>
        <v>60</v>
      </c>
    </row>
    <row r="1164" spans="2:19" hidden="1" outlineLevel="1">
      <c r="B1164" s="14" t="s">
        <v>116</v>
      </c>
      <c r="C1164" s="15" t="s">
        <v>65</v>
      </c>
      <c r="D1164" s="52">
        <v>2046</v>
      </c>
      <c r="E1164" s="34">
        <v>1</v>
      </c>
      <c r="F1164" s="38">
        <f t="shared" si="188"/>
        <v>20335.05967050511</v>
      </c>
      <c r="G1164" s="34">
        <f t="shared" si="189"/>
        <v>9</v>
      </c>
      <c r="H1164" s="34">
        <f t="shared" si="190"/>
        <v>3</v>
      </c>
      <c r="I1164" s="34" t="str">
        <f t="shared" si="193"/>
        <v/>
      </c>
      <c r="J1164" s="34" t="str">
        <f t="shared" si="193"/>
        <v/>
      </c>
      <c r="K1164" s="34" t="str">
        <f t="shared" si="193"/>
        <v/>
      </c>
      <c r="L1164" s="34" t="str">
        <f t="shared" si="193"/>
        <v/>
      </c>
      <c r="M1164" s="34" t="str">
        <f t="shared" si="193"/>
        <v/>
      </c>
      <c r="N1164" s="34">
        <f t="shared" si="193"/>
        <v>60</v>
      </c>
      <c r="O1164" s="34">
        <f t="shared" si="193"/>
        <v>72</v>
      </c>
      <c r="P1164" s="34">
        <f t="shared" si="193"/>
        <v>84</v>
      </c>
      <c r="Q1164" s="34">
        <f t="shared" si="193"/>
        <v>96</v>
      </c>
      <c r="R1164" s="34">
        <f t="shared" si="193"/>
        <v>108</v>
      </c>
      <c r="S1164" s="35">
        <f t="shared" si="191"/>
        <v>60</v>
      </c>
    </row>
    <row r="1165" spans="2:19" hidden="1" outlineLevel="1">
      <c r="B1165" s="14" t="s">
        <v>116</v>
      </c>
      <c r="C1165" s="15" t="s">
        <v>65</v>
      </c>
      <c r="D1165" s="52">
        <v>2046</v>
      </c>
      <c r="E1165" s="34">
        <v>2</v>
      </c>
      <c r="F1165" s="38">
        <f t="shared" si="188"/>
        <v>20335.05967050511</v>
      </c>
      <c r="G1165" s="34">
        <f t="shared" si="189"/>
        <v>9</v>
      </c>
      <c r="H1165" s="34">
        <f t="shared" si="190"/>
        <v>3</v>
      </c>
      <c r="I1165" s="34" t="str">
        <f t="shared" si="193"/>
        <v/>
      </c>
      <c r="J1165" s="34" t="str">
        <f t="shared" si="193"/>
        <v/>
      </c>
      <c r="K1165" s="34" t="str">
        <f t="shared" si="193"/>
        <v/>
      </c>
      <c r="L1165" s="34" t="str">
        <f t="shared" si="193"/>
        <v/>
      </c>
      <c r="M1165" s="34" t="str">
        <f t="shared" si="193"/>
        <v/>
      </c>
      <c r="N1165" s="34">
        <f t="shared" si="193"/>
        <v>60</v>
      </c>
      <c r="O1165" s="34">
        <f t="shared" si="193"/>
        <v>71</v>
      </c>
      <c r="P1165" s="34">
        <f t="shared" si="193"/>
        <v>83</v>
      </c>
      <c r="Q1165" s="34">
        <f t="shared" si="193"/>
        <v>95</v>
      </c>
      <c r="R1165" s="34">
        <f t="shared" si="193"/>
        <v>107</v>
      </c>
      <c r="S1165" s="35">
        <f t="shared" si="191"/>
        <v>60</v>
      </c>
    </row>
    <row r="1166" spans="2:19" hidden="1" outlineLevel="1">
      <c r="B1166" s="14" t="s">
        <v>116</v>
      </c>
      <c r="C1166" s="15" t="s">
        <v>65</v>
      </c>
      <c r="D1166" s="52">
        <v>2046</v>
      </c>
      <c r="E1166" s="34">
        <v>3</v>
      </c>
      <c r="F1166" s="38">
        <f t="shared" si="188"/>
        <v>20335.05967050511</v>
      </c>
      <c r="G1166" s="34">
        <f t="shared" si="189"/>
        <v>9</v>
      </c>
      <c r="H1166" s="34">
        <f t="shared" si="190"/>
        <v>3</v>
      </c>
      <c r="I1166" s="34" t="str">
        <f t="shared" si="193"/>
        <v/>
      </c>
      <c r="J1166" s="34" t="str">
        <f t="shared" si="193"/>
        <v/>
      </c>
      <c r="K1166" s="34" t="str">
        <f t="shared" si="193"/>
        <v/>
      </c>
      <c r="L1166" s="34" t="str">
        <f t="shared" si="193"/>
        <v/>
      </c>
      <c r="M1166" s="34" t="str">
        <f t="shared" si="193"/>
        <v/>
      </c>
      <c r="N1166" s="34">
        <f t="shared" si="193"/>
        <v>60</v>
      </c>
      <c r="O1166" s="34">
        <f t="shared" si="193"/>
        <v>70</v>
      </c>
      <c r="P1166" s="34">
        <f t="shared" si="193"/>
        <v>82</v>
      </c>
      <c r="Q1166" s="34">
        <f t="shared" si="193"/>
        <v>94</v>
      </c>
      <c r="R1166" s="34">
        <f t="shared" si="193"/>
        <v>106</v>
      </c>
      <c r="S1166" s="35">
        <f t="shared" si="191"/>
        <v>60</v>
      </c>
    </row>
    <row r="1167" spans="2:19" hidden="1" outlineLevel="1">
      <c r="B1167" s="14" t="s">
        <v>116</v>
      </c>
      <c r="C1167" s="15" t="s">
        <v>65</v>
      </c>
      <c r="D1167" s="52">
        <v>2046</v>
      </c>
      <c r="E1167" s="34">
        <v>4</v>
      </c>
      <c r="F1167" s="38">
        <f t="shared" si="188"/>
        <v>20335.05967050511</v>
      </c>
      <c r="G1167" s="34">
        <f t="shared" si="189"/>
        <v>9</v>
      </c>
      <c r="H1167" s="34">
        <f t="shared" si="190"/>
        <v>3</v>
      </c>
      <c r="I1167" s="34" t="str">
        <f t="shared" si="193"/>
        <v/>
      </c>
      <c r="J1167" s="34" t="str">
        <f t="shared" si="193"/>
        <v/>
      </c>
      <c r="K1167" s="34" t="str">
        <f t="shared" si="193"/>
        <v/>
      </c>
      <c r="L1167" s="34" t="str">
        <f t="shared" si="193"/>
        <v/>
      </c>
      <c r="M1167" s="34" t="str">
        <f t="shared" si="193"/>
        <v/>
      </c>
      <c r="N1167" s="34">
        <f t="shared" si="193"/>
        <v>60</v>
      </c>
      <c r="O1167" s="34">
        <f t="shared" si="193"/>
        <v>69</v>
      </c>
      <c r="P1167" s="34">
        <f t="shared" si="193"/>
        <v>81</v>
      </c>
      <c r="Q1167" s="34">
        <f t="shared" si="193"/>
        <v>93</v>
      </c>
      <c r="R1167" s="34">
        <f t="shared" si="193"/>
        <v>105</v>
      </c>
      <c r="S1167" s="35">
        <f t="shared" si="191"/>
        <v>60</v>
      </c>
    </row>
    <row r="1168" spans="2:19" hidden="1" outlineLevel="1">
      <c r="B1168" s="14" t="s">
        <v>116</v>
      </c>
      <c r="C1168" s="15" t="s">
        <v>65</v>
      </c>
      <c r="D1168" s="52">
        <v>2046</v>
      </c>
      <c r="E1168" s="34">
        <v>5</v>
      </c>
      <c r="F1168" s="38">
        <f t="shared" si="188"/>
        <v>20335.05967050511</v>
      </c>
      <c r="G1168" s="34">
        <f t="shared" si="189"/>
        <v>9</v>
      </c>
      <c r="H1168" s="34">
        <f t="shared" si="190"/>
        <v>3</v>
      </c>
      <c r="I1168" s="34" t="str">
        <f t="shared" si="193"/>
        <v/>
      </c>
      <c r="J1168" s="34" t="str">
        <f t="shared" si="193"/>
        <v/>
      </c>
      <c r="K1168" s="34" t="str">
        <f t="shared" si="193"/>
        <v/>
      </c>
      <c r="L1168" s="34" t="str">
        <f t="shared" si="193"/>
        <v/>
      </c>
      <c r="M1168" s="34" t="str">
        <f t="shared" si="193"/>
        <v/>
      </c>
      <c r="N1168" s="34">
        <f t="shared" si="193"/>
        <v>60</v>
      </c>
      <c r="O1168" s="34">
        <f t="shared" si="193"/>
        <v>68</v>
      </c>
      <c r="P1168" s="34">
        <f t="shared" si="193"/>
        <v>80</v>
      </c>
      <c r="Q1168" s="34">
        <f t="shared" si="193"/>
        <v>92</v>
      </c>
      <c r="R1168" s="34">
        <f t="shared" si="193"/>
        <v>104</v>
      </c>
      <c r="S1168" s="35">
        <f t="shared" si="191"/>
        <v>60</v>
      </c>
    </row>
    <row r="1169" spans="2:19" hidden="1" outlineLevel="1">
      <c r="B1169" s="14" t="s">
        <v>116</v>
      </c>
      <c r="C1169" s="15" t="s">
        <v>65</v>
      </c>
      <c r="D1169" s="52">
        <v>2046</v>
      </c>
      <c r="E1169" s="34">
        <v>6</v>
      </c>
      <c r="F1169" s="38">
        <f t="shared" si="188"/>
        <v>20335.05967050511</v>
      </c>
      <c r="G1169" s="34">
        <f t="shared" si="189"/>
        <v>9</v>
      </c>
      <c r="H1169" s="34">
        <f t="shared" si="190"/>
        <v>3</v>
      </c>
      <c r="I1169" s="34" t="str">
        <f t="shared" si="193"/>
        <v/>
      </c>
      <c r="J1169" s="34" t="str">
        <f t="shared" si="193"/>
        <v/>
      </c>
      <c r="K1169" s="34" t="str">
        <f t="shared" si="193"/>
        <v/>
      </c>
      <c r="L1169" s="34" t="str">
        <f t="shared" si="193"/>
        <v/>
      </c>
      <c r="M1169" s="34" t="str">
        <f t="shared" si="193"/>
        <v/>
      </c>
      <c r="N1169" s="34">
        <f t="shared" si="193"/>
        <v>60</v>
      </c>
      <c r="O1169" s="34">
        <f t="shared" si="193"/>
        <v>67</v>
      </c>
      <c r="P1169" s="34">
        <f t="shared" si="193"/>
        <v>79</v>
      </c>
      <c r="Q1169" s="34">
        <f t="shared" si="193"/>
        <v>91</v>
      </c>
      <c r="R1169" s="34">
        <f t="shared" si="193"/>
        <v>103</v>
      </c>
      <c r="S1169" s="35">
        <f t="shared" si="191"/>
        <v>60</v>
      </c>
    </row>
    <row r="1170" spans="2:19" hidden="1" outlineLevel="1">
      <c r="B1170" s="14" t="s">
        <v>116</v>
      </c>
      <c r="C1170" s="15" t="s">
        <v>65</v>
      </c>
      <c r="D1170" s="52">
        <v>2046</v>
      </c>
      <c r="E1170" s="34">
        <v>7</v>
      </c>
      <c r="F1170" s="38">
        <f t="shared" si="188"/>
        <v>20335.05967050511</v>
      </c>
      <c r="G1170" s="34">
        <f t="shared" si="189"/>
        <v>9</v>
      </c>
      <c r="H1170" s="34">
        <f t="shared" si="190"/>
        <v>3</v>
      </c>
      <c r="I1170" s="34" t="str">
        <f t="shared" ref="I1170:R1179" si="194">IF($D1170&lt;$Z$18,"",IF(MAX($G1170,INDEX($C$65:$F$108,$D1170+I$119-2026,$H1170))&lt;=12*I$119-$E1170+12,MAX($G1170,12*I$119-$E1170+1,INDEX($C$65:$F$108,$D1170+I$119-2026,$H1170)),""))</f>
        <v/>
      </c>
      <c r="J1170" s="34" t="str">
        <f t="shared" si="194"/>
        <v/>
      </c>
      <c r="K1170" s="34" t="str">
        <f t="shared" si="194"/>
        <v/>
      </c>
      <c r="L1170" s="34" t="str">
        <f t="shared" si="194"/>
        <v/>
      </c>
      <c r="M1170" s="34" t="str">
        <f t="shared" si="194"/>
        <v/>
      </c>
      <c r="N1170" s="34">
        <f t="shared" si="194"/>
        <v>60</v>
      </c>
      <c r="O1170" s="34">
        <f t="shared" si="194"/>
        <v>66</v>
      </c>
      <c r="P1170" s="34">
        <f t="shared" si="194"/>
        <v>78</v>
      </c>
      <c r="Q1170" s="34">
        <f t="shared" si="194"/>
        <v>90</v>
      </c>
      <c r="R1170" s="34">
        <f t="shared" si="194"/>
        <v>102</v>
      </c>
      <c r="S1170" s="35">
        <f t="shared" si="191"/>
        <v>60</v>
      </c>
    </row>
    <row r="1171" spans="2:19" hidden="1" outlineLevel="1">
      <c r="B1171" s="14" t="s">
        <v>116</v>
      </c>
      <c r="C1171" s="15" t="s">
        <v>65</v>
      </c>
      <c r="D1171" s="52">
        <v>2046</v>
      </c>
      <c r="E1171" s="34">
        <v>8</v>
      </c>
      <c r="F1171" s="38">
        <f t="shared" si="188"/>
        <v>20335.05967050511</v>
      </c>
      <c r="G1171" s="34">
        <f t="shared" si="189"/>
        <v>9</v>
      </c>
      <c r="H1171" s="34">
        <f t="shared" si="190"/>
        <v>3</v>
      </c>
      <c r="I1171" s="34" t="str">
        <f t="shared" si="194"/>
        <v/>
      </c>
      <c r="J1171" s="34" t="str">
        <f t="shared" si="194"/>
        <v/>
      </c>
      <c r="K1171" s="34" t="str">
        <f t="shared" si="194"/>
        <v/>
      </c>
      <c r="L1171" s="34" t="str">
        <f t="shared" si="194"/>
        <v/>
      </c>
      <c r="M1171" s="34" t="str">
        <f t="shared" si="194"/>
        <v/>
      </c>
      <c r="N1171" s="34">
        <f t="shared" si="194"/>
        <v>60</v>
      </c>
      <c r="O1171" s="34">
        <f t="shared" si="194"/>
        <v>65</v>
      </c>
      <c r="P1171" s="34">
        <f t="shared" si="194"/>
        <v>77</v>
      </c>
      <c r="Q1171" s="34">
        <f t="shared" si="194"/>
        <v>89</v>
      </c>
      <c r="R1171" s="34">
        <f t="shared" si="194"/>
        <v>101</v>
      </c>
      <c r="S1171" s="35">
        <f t="shared" si="191"/>
        <v>60</v>
      </c>
    </row>
    <row r="1172" spans="2:19" hidden="1" outlineLevel="1">
      <c r="B1172" s="14" t="s">
        <v>116</v>
      </c>
      <c r="C1172" s="15" t="s">
        <v>65</v>
      </c>
      <c r="D1172" s="52">
        <v>2046</v>
      </c>
      <c r="E1172" s="34">
        <v>9</v>
      </c>
      <c r="F1172" s="38">
        <f t="shared" si="188"/>
        <v>20335.05967050511</v>
      </c>
      <c r="G1172" s="34">
        <f t="shared" si="189"/>
        <v>9</v>
      </c>
      <c r="H1172" s="34">
        <f t="shared" si="190"/>
        <v>3</v>
      </c>
      <c r="I1172" s="34" t="str">
        <f t="shared" si="194"/>
        <v/>
      </c>
      <c r="J1172" s="34" t="str">
        <f t="shared" si="194"/>
        <v/>
      </c>
      <c r="K1172" s="34" t="str">
        <f t="shared" si="194"/>
        <v/>
      </c>
      <c r="L1172" s="34" t="str">
        <f t="shared" si="194"/>
        <v/>
      </c>
      <c r="M1172" s="34" t="str">
        <f t="shared" si="194"/>
        <v/>
      </c>
      <c r="N1172" s="34">
        <f t="shared" si="194"/>
        <v>60</v>
      </c>
      <c r="O1172" s="34">
        <f t="shared" si="194"/>
        <v>64</v>
      </c>
      <c r="P1172" s="34">
        <f t="shared" si="194"/>
        <v>76</v>
      </c>
      <c r="Q1172" s="34">
        <f t="shared" si="194"/>
        <v>88</v>
      </c>
      <c r="R1172" s="34">
        <f t="shared" si="194"/>
        <v>100</v>
      </c>
      <c r="S1172" s="35">
        <f t="shared" si="191"/>
        <v>60</v>
      </c>
    </row>
    <row r="1173" spans="2:19" hidden="1" outlineLevel="1">
      <c r="B1173" s="14" t="s">
        <v>116</v>
      </c>
      <c r="C1173" s="15" t="s">
        <v>65</v>
      </c>
      <c r="D1173" s="52">
        <v>2046</v>
      </c>
      <c r="E1173" s="34">
        <v>10</v>
      </c>
      <c r="F1173" s="38">
        <f t="shared" si="188"/>
        <v>20335.05967050511</v>
      </c>
      <c r="G1173" s="34">
        <f t="shared" si="189"/>
        <v>9</v>
      </c>
      <c r="H1173" s="34">
        <f t="shared" si="190"/>
        <v>3</v>
      </c>
      <c r="I1173" s="34" t="str">
        <f t="shared" si="194"/>
        <v/>
      </c>
      <c r="J1173" s="34" t="str">
        <f t="shared" si="194"/>
        <v/>
      </c>
      <c r="K1173" s="34" t="str">
        <f t="shared" si="194"/>
        <v/>
      </c>
      <c r="L1173" s="34" t="str">
        <f t="shared" si="194"/>
        <v/>
      </c>
      <c r="M1173" s="34" t="str">
        <f t="shared" si="194"/>
        <v/>
      </c>
      <c r="N1173" s="34">
        <f t="shared" si="194"/>
        <v>60</v>
      </c>
      <c r="O1173" s="34">
        <f t="shared" si="194"/>
        <v>63</v>
      </c>
      <c r="P1173" s="34">
        <f t="shared" si="194"/>
        <v>75</v>
      </c>
      <c r="Q1173" s="34">
        <f t="shared" si="194"/>
        <v>87</v>
      </c>
      <c r="R1173" s="34">
        <f t="shared" si="194"/>
        <v>99</v>
      </c>
      <c r="S1173" s="35">
        <f t="shared" si="191"/>
        <v>60</v>
      </c>
    </row>
    <row r="1174" spans="2:19" hidden="1" outlineLevel="1">
      <c r="B1174" s="14" t="s">
        <v>116</v>
      </c>
      <c r="C1174" s="15" t="s">
        <v>65</v>
      </c>
      <c r="D1174" s="52">
        <v>2046</v>
      </c>
      <c r="E1174" s="34">
        <v>11</v>
      </c>
      <c r="F1174" s="38">
        <f t="shared" si="188"/>
        <v>20335.05967050511</v>
      </c>
      <c r="G1174" s="34">
        <f t="shared" si="189"/>
        <v>9</v>
      </c>
      <c r="H1174" s="34">
        <f t="shared" si="190"/>
        <v>3</v>
      </c>
      <c r="I1174" s="34" t="str">
        <f t="shared" si="194"/>
        <v/>
      </c>
      <c r="J1174" s="34" t="str">
        <f t="shared" si="194"/>
        <v/>
      </c>
      <c r="K1174" s="34" t="str">
        <f t="shared" si="194"/>
        <v/>
      </c>
      <c r="L1174" s="34" t="str">
        <f t="shared" si="194"/>
        <v/>
      </c>
      <c r="M1174" s="34" t="str">
        <f t="shared" si="194"/>
        <v/>
      </c>
      <c r="N1174" s="34">
        <f t="shared" si="194"/>
        <v>60</v>
      </c>
      <c r="O1174" s="34">
        <f t="shared" si="194"/>
        <v>62</v>
      </c>
      <c r="P1174" s="34">
        <f t="shared" si="194"/>
        <v>74</v>
      </c>
      <c r="Q1174" s="34">
        <f t="shared" si="194"/>
        <v>86</v>
      </c>
      <c r="R1174" s="34">
        <f t="shared" si="194"/>
        <v>98</v>
      </c>
      <c r="S1174" s="35">
        <f t="shared" si="191"/>
        <v>60</v>
      </c>
    </row>
    <row r="1175" spans="2:19" hidden="1" outlineLevel="1">
      <c r="B1175" s="14" t="s">
        <v>116</v>
      </c>
      <c r="C1175" s="15" t="s">
        <v>65</v>
      </c>
      <c r="D1175" s="52">
        <v>2046</v>
      </c>
      <c r="E1175" s="34">
        <v>12</v>
      </c>
      <c r="F1175" s="38">
        <f t="shared" si="188"/>
        <v>20335.05967050511</v>
      </c>
      <c r="G1175" s="34">
        <f t="shared" si="189"/>
        <v>9</v>
      </c>
      <c r="H1175" s="34">
        <f t="shared" si="190"/>
        <v>3</v>
      </c>
      <c r="I1175" s="34" t="str">
        <f t="shared" si="194"/>
        <v/>
      </c>
      <c r="J1175" s="34" t="str">
        <f t="shared" si="194"/>
        <v/>
      </c>
      <c r="K1175" s="34" t="str">
        <f t="shared" si="194"/>
        <v/>
      </c>
      <c r="L1175" s="34" t="str">
        <f t="shared" si="194"/>
        <v/>
      </c>
      <c r="M1175" s="34" t="str">
        <f t="shared" si="194"/>
        <v/>
      </c>
      <c r="N1175" s="34">
        <f t="shared" si="194"/>
        <v>60</v>
      </c>
      <c r="O1175" s="34">
        <f t="shared" si="194"/>
        <v>61</v>
      </c>
      <c r="P1175" s="34">
        <f t="shared" si="194"/>
        <v>73</v>
      </c>
      <c r="Q1175" s="34">
        <f t="shared" si="194"/>
        <v>85</v>
      </c>
      <c r="R1175" s="34">
        <f t="shared" si="194"/>
        <v>97</v>
      </c>
      <c r="S1175" s="35">
        <f t="shared" si="191"/>
        <v>60</v>
      </c>
    </row>
    <row r="1176" spans="2:19" hidden="1" outlineLevel="1">
      <c r="B1176" s="14" t="s">
        <v>116</v>
      </c>
      <c r="C1176" s="15" t="s">
        <v>65</v>
      </c>
      <c r="D1176" s="52">
        <v>2047</v>
      </c>
      <c r="E1176" s="34">
        <v>1</v>
      </c>
      <c r="F1176" s="38">
        <f t="shared" si="188"/>
        <v>20167.329588291308</v>
      </c>
      <c r="G1176" s="34">
        <f t="shared" si="189"/>
        <v>9</v>
      </c>
      <c r="H1176" s="34">
        <f t="shared" si="190"/>
        <v>3</v>
      </c>
      <c r="I1176" s="34" t="str">
        <f t="shared" si="194"/>
        <v/>
      </c>
      <c r="J1176" s="34" t="str">
        <f t="shared" si="194"/>
        <v/>
      </c>
      <c r="K1176" s="34" t="str">
        <f t="shared" si="194"/>
        <v/>
      </c>
      <c r="L1176" s="34" t="str">
        <f t="shared" si="194"/>
        <v/>
      </c>
      <c r="M1176" s="34" t="str">
        <f t="shared" si="194"/>
        <v/>
      </c>
      <c r="N1176" s="34">
        <f t="shared" si="194"/>
        <v>60</v>
      </c>
      <c r="O1176" s="34">
        <f t="shared" si="194"/>
        <v>72</v>
      </c>
      <c r="P1176" s="34">
        <f t="shared" si="194"/>
        <v>84</v>
      </c>
      <c r="Q1176" s="34">
        <f t="shared" si="194"/>
        <v>96</v>
      </c>
      <c r="R1176" s="34">
        <f t="shared" si="194"/>
        <v>108</v>
      </c>
      <c r="S1176" s="35">
        <f t="shared" si="191"/>
        <v>60</v>
      </c>
    </row>
    <row r="1177" spans="2:19" hidden="1" outlineLevel="1">
      <c r="B1177" s="14" t="s">
        <v>116</v>
      </c>
      <c r="C1177" s="15" t="s">
        <v>65</v>
      </c>
      <c r="D1177" s="52">
        <v>2047</v>
      </c>
      <c r="E1177" s="34">
        <v>2</v>
      </c>
      <c r="F1177" s="38">
        <f t="shared" si="188"/>
        <v>20167.329588291308</v>
      </c>
      <c r="G1177" s="34">
        <f t="shared" si="189"/>
        <v>9</v>
      </c>
      <c r="H1177" s="34">
        <f t="shared" si="190"/>
        <v>3</v>
      </c>
      <c r="I1177" s="34" t="str">
        <f t="shared" si="194"/>
        <v/>
      </c>
      <c r="J1177" s="34" t="str">
        <f t="shared" si="194"/>
        <v/>
      </c>
      <c r="K1177" s="34" t="str">
        <f t="shared" si="194"/>
        <v/>
      </c>
      <c r="L1177" s="34" t="str">
        <f t="shared" si="194"/>
        <v/>
      </c>
      <c r="M1177" s="34" t="str">
        <f t="shared" si="194"/>
        <v/>
      </c>
      <c r="N1177" s="34">
        <f t="shared" si="194"/>
        <v>60</v>
      </c>
      <c r="O1177" s="34">
        <f t="shared" si="194"/>
        <v>71</v>
      </c>
      <c r="P1177" s="34">
        <f t="shared" si="194"/>
        <v>83</v>
      </c>
      <c r="Q1177" s="34">
        <f t="shared" si="194"/>
        <v>95</v>
      </c>
      <c r="R1177" s="34">
        <f t="shared" si="194"/>
        <v>107</v>
      </c>
      <c r="S1177" s="35">
        <f t="shared" si="191"/>
        <v>60</v>
      </c>
    </row>
    <row r="1178" spans="2:19" hidden="1" outlineLevel="1">
      <c r="B1178" s="14" t="s">
        <v>116</v>
      </c>
      <c r="C1178" s="15" t="s">
        <v>65</v>
      </c>
      <c r="D1178" s="52">
        <v>2047</v>
      </c>
      <c r="E1178" s="34">
        <v>3</v>
      </c>
      <c r="F1178" s="38">
        <f t="shared" si="188"/>
        <v>20167.329588291308</v>
      </c>
      <c r="G1178" s="34">
        <f t="shared" si="189"/>
        <v>9</v>
      </c>
      <c r="H1178" s="34">
        <f t="shared" si="190"/>
        <v>3</v>
      </c>
      <c r="I1178" s="34" t="str">
        <f t="shared" si="194"/>
        <v/>
      </c>
      <c r="J1178" s="34" t="str">
        <f t="shared" si="194"/>
        <v/>
      </c>
      <c r="K1178" s="34" t="str">
        <f t="shared" si="194"/>
        <v/>
      </c>
      <c r="L1178" s="34" t="str">
        <f t="shared" si="194"/>
        <v/>
      </c>
      <c r="M1178" s="34" t="str">
        <f t="shared" si="194"/>
        <v/>
      </c>
      <c r="N1178" s="34">
        <f t="shared" si="194"/>
        <v>60</v>
      </c>
      <c r="O1178" s="34">
        <f t="shared" si="194"/>
        <v>70</v>
      </c>
      <c r="P1178" s="34">
        <f t="shared" si="194"/>
        <v>82</v>
      </c>
      <c r="Q1178" s="34">
        <f t="shared" si="194"/>
        <v>94</v>
      </c>
      <c r="R1178" s="34">
        <f t="shared" si="194"/>
        <v>106</v>
      </c>
      <c r="S1178" s="35">
        <f t="shared" si="191"/>
        <v>60</v>
      </c>
    </row>
    <row r="1179" spans="2:19" hidden="1" outlineLevel="1">
      <c r="B1179" s="14" t="s">
        <v>116</v>
      </c>
      <c r="C1179" s="15" t="s">
        <v>65</v>
      </c>
      <c r="D1179" s="52">
        <v>2047</v>
      </c>
      <c r="E1179" s="34">
        <v>4</v>
      </c>
      <c r="F1179" s="38">
        <f t="shared" si="188"/>
        <v>20167.329588291308</v>
      </c>
      <c r="G1179" s="34">
        <f t="shared" si="189"/>
        <v>9</v>
      </c>
      <c r="H1179" s="34">
        <f t="shared" si="190"/>
        <v>3</v>
      </c>
      <c r="I1179" s="34" t="str">
        <f t="shared" si="194"/>
        <v/>
      </c>
      <c r="J1179" s="34" t="str">
        <f t="shared" si="194"/>
        <v/>
      </c>
      <c r="K1179" s="34" t="str">
        <f t="shared" si="194"/>
        <v/>
      </c>
      <c r="L1179" s="34" t="str">
        <f t="shared" si="194"/>
        <v/>
      </c>
      <c r="M1179" s="34" t="str">
        <f t="shared" si="194"/>
        <v/>
      </c>
      <c r="N1179" s="34">
        <f t="shared" si="194"/>
        <v>60</v>
      </c>
      <c r="O1179" s="34">
        <f t="shared" si="194"/>
        <v>69</v>
      </c>
      <c r="P1179" s="34">
        <f t="shared" si="194"/>
        <v>81</v>
      </c>
      <c r="Q1179" s="34">
        <f t="shared" si="194"/>
        <v>93</v>
      </c>
      <c r="R1179" s="34">
        <f t="shared" si="194"/>
        <v>105</v>
      </c>
      <c r="S1179" s="35">
        <f t="shared" si="191"/>
        <v>60</v>
      </c>
    </row>
    <row r="1180" spans="2:19" hidden="1" outlineLevel="1">
      <c r="B1180" s="14" t="s">
        <v>116</v>
      </c>
      <c r="C1180" s="15" t="s">
        <v>65</v>
      </c>
      <c r="D1180" s="52">
        <v>2047</v>
      </c>
      <c r="E1180" s="34">
        <v>5</v>
      </c>
      <c r="F1180" s="38">
        <f t="shared" si="188"/>
        <v>20167.329588291308</v>
      </c>
      <c r="G1180" s="34">
        <f t="shared" si="189"/>
        <v>9</v>
      </c>
      <c r="H1180" s="34">
        <f t="shared" si="190"/>
        <v>3</v>
      </c>
      <c r="I1180" s="34" t="str">
        <f t="shared" ref="I1180:R1189" si="195">IF($D1180&lt;$Z$18,"",IF(MAX($G1180,INDEX($C$65:$F$108,$D1180+I$119-2026,$H1180))&lt;=12*I$119-$E1180+12,MAX($G1180,12*I$119-$E1180+1,INDEX($C$65:$F$108,$D1180+I$119-2026,$H1180)),""))</f>
        <v/>
      </c>
      <c r="J1180" s="34" t="str">
        <f t="shared" si="195"/>
        <v/>
      </c>
      <c r="K1180" s="34" t="str">
        <f t="shared" si="195"/>
        <v/>
      </c>
      <c r="L1180" s="34" t="str">
        <f t="shared" si="195"/>
        <v/>
      </c>
      <c r="M1180" s="34" t="str">
        <f t="shared" si="195"/>
        <v/>
      </c>
      <c r="N1180" s="34">
        <f t="shared" si="195"/>
        <v>60</v>
      </c>
      <c r="O1180" s="34">
        <f t="shared" si="195"/>
        <v>68</v>
      </c>
      <c r="P1180" s="34">
        <f t="shared" si="195"/>
        <v>80</v>
      </c>
      <c r="Q1180" s="34">
        <f t="shared" si="195"/>
        <v>92</v>
      </c>
      <c r="R1180" s="34">
        <f t="shared" si="195"/>
        <v>104</v>
      </c>
      <c r="S1180" s="35">
        <f t="shared" si="191"/>
        <v>60</v>
      </c>
    </row>
    <row r="1181" spans="2:19" hidden="1" outlineLevel="1">
      <c r="B1181" s="14" t="s">
        <v>116</v>
      </c>
      <c r="C1181" s="15" t="s">
        <v>65</v>
      </c>
      <c r="D1181" s="52">
        <v>2047</v>
      </c>
      <c r="E1181" s="34">
        <v>6</v>
      </c>
      <c r="F1181" s="38">
        <f t="shared" si="188"/>
        <v>20167.329588291308</v>
      </c>
      <c r="G1181" s="34">
        <f t="shared" si="189"/>
        <v>9</v>
      </c>
      <c r="H1181" s="34">
        <f t="shared" si="190"/>
        <v>3</v>
      </c>
      <c r="I1181" s="34" t="str">
        <f t="shared" si="195"/>
        <v/>
      </c>
      <c r="J1181" s="34" t="str">
        <f t="shared" si="195"/>
        <v/>
      </c>
      <c r="K1181" s="34" t="str">
        <f t="shared" si="195"/>
        <v/>
      </c>
      <c r="L1181" s="34" t="str">
        <f t="shared" si="195"/>
        <v/>
      </c>
      <c r="M1181" s="34" t="str">
        <f t="shared" si="195"/>
        <v/>
      </c>
      <c r="N1181" s="34">
        <f t="shared" si="195"/>
        <v>60</v>
      </c>
      <c r="O1181" s="34">
        <f t="shared" si="195"/>
        <v>67</v>
      </c>
      <c r="P1181" s="34">
        <f t="shared" si="195"/>
        <v>79</v>
      </c>
      <c r="Q1181" s="34">
        <f t="shared" si="195"/>
        <v>91</v>
      </c>
      <c r="R1181" s="34">
        <f t="shared" si="195"/>
        <v>103</v>
      </c>
      <c r="S1181" s="35">
        <f t="shared" si="191"/>
        <v>60</v>
      </c>
    </row>
    <row r="1182" spans="2:19" hidden="1" outlineLevel="1">
      <c r="B1182" s="14" t="s">
        <v>116</v>
      </c>
      <c r="C1182" s="15" t="s">
        <v>65</v>
      </c>
      <c r="D1182" s="52">
        <v>2047</v>
      </c>
      <c r="E1182" s="34">
        <v>7</v>
      </c>
      <c r="F1182" s="38">
        <f t="shared" si="188"/>
        <v>20167.329588291308</v>
      </c>
      <c r="G1182" s="34">
        <f t="shared" si="189"/>
        <v>9</v>
      </c>
      <c r="H1182" s="34">
        <f t="shared" si="190"/>
        <v>3</v>
      </c>
      <c r="I1182" s="34" t="str">
        <f t="shared" si="195"/>
        <v/>
      </c>
      <c r="J1182" s="34" t="str">
        <f t="shared" si="195"/>
        <v/>
      </c>
      <c r="K1182" s="34" t="str">
        <f t="shared" si="195"/>
        <v/>
      </c>
      <c r="L1182" s="34" t="str">
        <f t="shared" si="195"/>
        <v/>
      </c>
      <c r="M1182" s="34" t="str">
        <f t="shared" si="195"/>
        <v/>
      </c>
      <c r="N1182" s="34">
        <f t="shared" si="195"/>
        <v>60</v>
      </c>
      <c r="O1182" s="34">
        <f t="shared" si="195"/>
        <v>66</v>
      </c>
      <c r="P1182" s="34">
        <f t="shared" si="195"/>
        <v>78</v>
      </c>
      <c r="Q1182" s="34">
        <f t="shared" si="195"/>
        <v>90</v>
      </c>
      <c r="R1182" s="34">
        <f t="shared" si="195"/>
        <v>102</v>
      </c>
      <c r="S1182" s="35">
        <f t="shared" si="191"/>
        <v>60</v>
      </c>
    </row>
    <row r="1183" spans="2:19" hidden="1" outlineLevel="1">
      <c r="B1183" s="14" t="s">
        <v>116</v>
      </c>
      <c r="C1183" s="15" t="s">
        <v>65</v>
      </c>
      <c r="D1183" s="52">
        <v>2047</v>
      </c>
      <c r="E1183" s="34">
        <v>8</v>
      </c>
      <c r="F1183" s="38">
        <f t="shared" si="188"/>
        <v>20167.329588291308</v>
      </c>
      <c r="G1183" s="34">
        <f t="shared" si="189"/>
        <v>9</v>
      </c>
      <c r="H1183" s="34">
        <f t="shared" si="190"/>
        <v>3</v>
      </c>
      <c r="I1183" s="34" t="str">
        <f t="shared" si="195"/>
        <v/>
      </c>
      <c r="J1183" s="34" t="str">
        <f t="shared" si="195"/>
        <v/>
      </c>
      <c r="K1183" s="34" t="str">
        <f t="shared" si="195"/>
        <v/>
      </c>
      <c r="L1183" s="34" t="str">
        <f t="shared" si="195"/>
        <v/>
      </c>
      <c r="M1183" s="34" t="str">
        <f t="shared" si="195"/>
        <v/>
      </c>
      <c r="N1183" s="34">
        <f t="shared" si="195"/>
        <v>60</v>
      </c>
      <c r="O1183" s="34">
        <f t="shared" si="195"/>
        <v>65</v>
      </c>
      <c r="P1183" s="34">
        <f t="shared" si="195"/>
        <v>77</v>
      </c>
      <c r="Q1183" s="34">
        <f t="shared" si="195"/>
        <v>89</v>
      </c>
      <c r="R1183" s="34">
        <f t="shared" si="195"/>
        <v>101</v>
      </c>
      <c r="S1183" s="35">
        <f t="shared" si="191"/>
        <v>60</v>
      </c>
    </row>
    <row r="1184" spans="2:19" hidden="1" outlineLevel="1">
      <c r="B1184" s="14" t="s">
        <v>116</v>
      </c>
      <c r="C1184" s="15" t="s">
        <v>65</v>
      </c>
      <c r="D1184" s="52">
        <v>2047</v>
      </c>
      <c r="E1184" s="34">
        <v>9</v>
      </c>
      <c r="F1184" s="38">
        <f t="shared" si="188"/>
        <v>20167.329588291308</v>
      </c>
      <c r="G1184" s="34">
        <f t="shared" si="189"/>
        <v>9</v>
      </c>
      <c r="H1184" s="34">
        <f t="shared" si="190"/>
        <v>3</v>
      </c>
      <c r="I1184" s="34" t="str">
        <f t="shared" si="195"/>
        <v/>
      </c>
      <c r="J1184" s="34" t="str">
        <f t="shared" si="195"/>
        <v/>
      </c>
      <c r="K1184" s="34" t="str">
        <f t="shared" si="195"/>
        <v/>
      </c>
      <c r="L1184" s="34" t="str">
        <f t="shared" si="195"/>
        <v/>
      </c>
      <c r="M1184" s="34" t="str">
        <f t="shared" si="195"/>
        <v/>
      </c>
      <c r="N1184" s="34">
        <f t="shared" si="195"/>
        <v>60</v>
      </c>
      <c r="O1184" s="34">
        <f t="shared" si="195"/>
        <v>64</v>
      </c>
      <c r="P1184" s="34">
        <f t="shared" si="195"/>
        <v>76</v>
      </c>
      <c r="Q1184" s="34">
        <f t="shared" si="195"/>
        <v>88</v>
      </c>
      <c r="R1184" s="34">
        <f t="shared" si="195"/>
        <v>100</v>
      </c>
      <c r="S1184" s="35">
        <f t="shared" si="191"/>
        <v>60</v>
      </c>
    </row>
    <row r="1185" spans="2:19" hidden="1" outlineLevel="1">
      <c r="B1185" s="14" t="s">
        <v>116</v>
      </c>
      <c r="C1185" s="15" t="s">
        <v>65</v>
      </c>
      <c r="D1185" s="52">
        <v>2047</v>
      </c>
      <c r="E1185" s="34">
        <v>10</v>
      </c>
      <c r="F1185" s="38">
        <f t="shared" si="188"/>
        <v>20167.329588291308</v>
      </c>
      <c r="G1185" s="34">
        <f t="shared" si="189"/>
        <v>9</v>
      </c>
      <c r="H1185" s="34">
        <f t="shared" si="190"/>
        <v>3</v>
      </c>
      <c r="I1185" s="34" t="str">
        <f t="shared" si="195"/>
        <v/>
      </c>
      <c r="J1185" s="34" t="str">
        <f t="shared" si="195"/>
        <v/>
      </c>
      <c r="K1185" s="34" t="str">
        <f t="shared" si="195"/>
        <v/>
      </c>
      <c r="L1185" s="34" t="str">
        <f t="shared" si="195"/>
        <v/>
      </c>
      <c r="M1185" s="34" t="str">
        <f t="shared" si="195"/>
        <v/>
      </c>
      <c r="N1185" s="34">
        <f t="shared" si="195"/>
        <v>60</v>
      </c>
      <c r="O1185" s="34">
        <f t="shared" si="195"/>
        <v>63</v>
      </c>
      <c r="P1185" s="34">
        <f t="shared" si="195"/>
        <v>75</v>
      </c>
      <c r="Q1185" s="34">
        <f t="shared" si="195"/>
        <v>87</v>
      </c>
      <c r="R1185" s="34">
        <f t="shared" si="195"/>
        <v>99</v>
      </c>
      <c r="S1185" s="35">
        <f t="shared" si="191"/>
        <v>60</v>
      </c>
    </row>
    <row r="1186" spans="2:19" hidden="1" outlineLevel="1">
      <c r="B1186" s="14" t="s">
        <v>116</v>
      </c>
      <c r="C1186" s="15" t="s">
        <v>65</v>
      </c>
      <c r="D1186" s="52">
        <v>2047</v>
      </c>
      <c r="E1186" s="34">
        <v>11</v>
      </c>
      <c r="F1186" s="38">
        <f t="shared" si="188"/>
        <v>20167.329588291308</v>
      </c>
      <c r="G1186" s="34">
        <f t="shared" si="189"/>
        <v>9</v>
      </c>
      <c r="H1186" s="34">
        <f t="shared" si="190"/>
        <v>3</v>
      </c>
      <c r="I1186" s="34" t="str">
        <f t="shared" si="195"/>
        <v/>
      </c>
      <c r="J1186" s="34" t="str">
        <f t="shared" si="195"/>
        <v/>
      </c>
      <c r="K1186" s="34" t="str">
        <f t="shared" si="195"/>
        <v/>
      </c>
      <c r="L1186" s="34" t="str">
        <f t="shared" si="195"/>
        <v/>
      </c>
      <c r="M1186" s="34" t="str">
        <f t="shared" si="195"/>
        <v/>
      </c>
      <c r="N1186" s="34">
        <f t="shared" si="195"/>
        <v>60</v>
      </c>
      <c r="O1186" s="34">
        <f t="shared" si="195"/>
        <v>62</v>
      </c>
      <c r="P1186" s="34">
        <f t="shared" si="195"/>
        <v>74</v>
      </c>
      <c r="Q1186" s="34">
        <f t="shared" si="195"/>
        <v>86</v>
      </c>
      <c r="R1186" s="34">
        <f t="shared" si="195"/>
        <v>98</v>
      </c>
      <c r="S1186" s="35">
        <f t="shared" si="191"/>
        <v>60</v>
      </c>
    </row>
    <row r="1187" spans="2:19" hidden="1" outlineLevel="1">
      <c r="B1187" s="14" t="s">
        <v>116</v>
      </c>
      <c r="C1187" s="15" t="s">
        <v>65</v>
      </c>
      <c r="D1187" s="52">
        <v>2047</v>
      </c>
      <c r="E1187" s="34">
        <v>12</v>
      </c>
      <c r="F1187" s="38">
        <f t="shared" si="188"/>
        <v>20167.329588291308</v>
      </c>
      <c r="G1187" s="34">
        <f t="shared" si="189"/>
        <v>9</v>
      </c>
      <c r="H1187" s="34">
        <f t="shared" si="190"/>
        <v>3</v>
      </c>
      <c r="I1187" s="34" t="str">
        <f t="shared" si="195"/>
        <v/>
      </c>
      <c r="J1187" s="34" t="str">
        <f t="shared" si="195"/>
        <v/>
      </c>
      <c r="K1187" s="34" t="str">
        <f t="shared" si="195"/>
        <v/>
      </c>
      <c r="L1187" s="34" t="str">
        <f t="shared" si="195"/>
        <v/>
      </c>
      <c r="M1187" s="34" t="str">
        <f t="shared" si="195"/>
        <v/>
      </c>
      <c r="N1187" s="34">
        <f t="shared" si="195"/>
        <v>60</v>
      </c>
      <c r="O1187" s="34">
        <f t="shared" si="195"/>
        <v>61</v>
      </c>
      <c r="P1187" s="34">
        <f t="shared" si="195"/>
        <v>73</v>
      </c>
      <c r="Q1187" s="34">
        <f t="shared" si="195"/>
        <v>85</v>
      </c>
      <c r="R1187" s="34">
        <f t="shared" si="195"/>
        <v>97</v>
      </c>
      <c r="S1187" s="35">
        <f t="shared" si="191"/>
        <v>60</v>
      </c>
    </row>
    <row r="1188" spans="2:19" hidden="1" outlineLevel="1">
      <c r="B1188" s="14" t="s">
        <v>116</v>
      </c>
      <c r="C1188" s="15" t="s">
        <v>65</v>
      </c>
      <c r="D1188" s="52">
        <v>2048</v>
      </c>
      <c r="E1188" s="34">
        <v>1</v>
      </c>
      <c r="F1188" s="38">
        <f t="shared" si="188"/>
        <v>19941.416750810895</v>
      </c>
      <c r="G1188" s="34">
        <f t="shared" si="189"/>
        <v>9</v>
      </c>
      <c r="H1188" s="34">
        <f t="shared" si="190"/>
        <v>3</v>
      </c>
      <c r="I1188" s="34" t="str">
        <f t="shared" si="195"/>
        <v/>
      </c>
      <c r="J1188" s="34" t="str">
        <f t="shared" si="195"/>
        <v/>
      </c>
      <c r="K1188" s="34" t="str">
        <f t="shared" si="195"/>
        <v/>
      </c>
      <c r="L1188" s="34" t="str">
        <f t="shared" si="195"/>
        <v/>
      </c>
      <c r="M1188" s="34" t="str">
        <f t="shared" si="195"/>
        <v/>
      </c>
      <c r="N1188" s="34">
        <f t="shared" si="195"/>
        <v>60</v>
      </c>
      <c r="O1188" s="34">
        <f t="shared" si="195"/>
        <v>72</v>
      </c>
      <c r="P1188" s="34">
        <f t="shared" si="195"/>
        <v>84</v>
      </c>
      <c r="Q1188" s="34">
        <f t="shared" si="195"/>
        <v>96</v>
      </c>
      <c r="R1188" s="34">
        <f t="shared" si="195"/>
        <v>108</v>
      </c>
      <c r="S1188" s="35">
        <f t="shared" si="191"/>
        <v>60</v>
      </c>
    </row>
    <row r="1189" spans="2:19" hidden="1" outlineLevel="1">
      <c r="B1189" s="14" t="s">
        <v>116</v>
      </c>
      <c r="C1189" s="15" t="s">
        <v>65</v>
      </c>
      <c r="D1189" s="52">
        <v>2048</v>
      </c>
      <c r="E1189" s="34">
        <v>2</v>
      </c>
      <c r="F1189" s="38">
        <f t="shared" si="188"/>
        <v>19941.416750810895</v>
      </c>
      <c r="G1189" s="34">
        <f t="shared" si="189"/>
        <v>9</v>
      </c>
      <c r="H1189" s="34">
        <f t="shared" si="190"/>
        <v>3</v>
      </c>
      <c r="I1189" s="34" t="str">
        <f t="shared" si="195"/>
        <v/>
      </c>
      <c r="J1189" s="34" t="str">
        <f t="shared" si="195"/>
        <v/>
      </c>
      <c r="K1189" s="34" t="str">
        <f t="shared" si="195"/>
        <v/>
      </c>
      <c r="L1189" s="34" t="str">
        <f t="shared" si="195"/>
        <v/>
      </c>
      <c r="M1189" s="34" t="str">
        <f t="shared" si="195"/>
        <v/>
      </c>
      <c r="N1189" s="34">
        <f t="shared" si="195"/>
        <v>60</v>
      </c>
      <c r="O1189" s="34">
        <f t="shared" si="195"/>
        <v>71</v>
      </c>
      <c r="P1189" s="34">
        <f t="shared" si="195"/>
        <v>83</v>
      </c>
      <c r="Q1189" s="34">
        <f t="shared" si="195"/>
        <v>95</v>
      </c>
      <c r="R1189" s="34">
        <f t="shared" si="195"/>
        <v>107</v>
      </c>
      <c r="S1189" s="35">
        <f t="shared" si="191"/>
        <v>60</v>
      </c>
    </row>
    <row r="1190" spans="2:19" hidden="1" outlineLevel="1">
      <c r="B1190" s="14" t="s">
        <v>116</v>
      </c>
      <c r="C1190" s="15" t="s">
        <v>65</v>
      </c>
      <c r="D1190" s="52">
        <v>2048</v>
      </c>
      <c r="E1190" s="34">
        <v>3</v>
      </c>
      <c r="F1190" s="38">
        <f t="shared" si="188"/>
        <v>19941.416750810895</v>
      </c>
      <c r="G1190" s="34">
        <f t="shared" si="189"/>
        <v>9</v>
      </c>
      <c r="H1190" s="34">
        <f t="shared" si="190"/>
        <v>3</v>
      </c>
      <c r="I1190" s="34" t="str">
        <f t="shared" ref="I1190:R1199" si="196">IF($D1190&lt;$Z$18,"",IF(MAX($G1190,INDEX($C$65:$F$108,$D1190+I$119-2026,$H1190))&lt;=12*I$119-$E1190+12,MAX($G1190,12*I$119-$E1190+1,INDEX($C$65:$F$108,$D1190+I$119-2026,$H1190)),""))</f>
        <v/>
      </c>
      <c r="J1190" s="34" t="str">
        <f t="shared" si="196"/>
        <v/>
      </c>
      <c r="K1190" s="34" t="str">
        <f t="shared" si="196"/>
        <v/>
      </c>
      <c r="L1190" s="34" t="str">
        <f t="shared" si="196"/>
        <v/>
      </c>
      <c r="M1190" s="34" t="str">
        <f t="shared" si="196"/>
        <v/>
      </c>
      <c r="N1190" s="34">
        <f t="shared" si="196"/>
        <v>60</v>
      </c>
      <c r="O1190" s="34">
        <f t="shared" si="196"/>
        <v>70</v>
      </c>
      <c r="P1190" s="34">
        <f t="shared" si="196"/>
        <v>82</v>
      </c>
      <c r="Q1190" s="34">
        <f t="shared" si="196"/>
        <v>94</v>
      </c>
      <c r="R1190" s="34">
        <f t="shared" si="196"/>
        <v>106</v>
      </c>
      <c r="S1190" s="35">
        <f t="shared" si="191"/>
        <v>60</v>
      </c>
    </row>
    <row r="1191" spans="2:19" hidden="1" outlineLevel="1">
      <c r="B1191" s="14" t="s">
        <v>116</v>
      </c>
      <c r="C1191" s="15" t="s">
        <v>65</v>
      </c>
      <c r="D1191" s="52">
        <v>2048</v>
      </c>
      <c r="E1191" s="34">
        <v>4</v>
      </c>
      <c r="F1191" s="38">
        <f t="shared" si="188"/>
        <v>19941.416750810895</v>
      </c>
      <c r="G1191" s="34">
        <f t="shared" si="189"/>
        <v>9</v>
      </c>
      <c r="H1191" s="34">
        <f t="shared" si="190"/>
        <v>3</v>
      </c>
      <c r="I1191" s="34" t="str">
        <f t="shared" si="196"/>
        <v/>
      </c>
      <c r="J1191" s="34" t="str">
        <f t="shared" si="196"/>
        <v/>
      </c>
      <c r="K1191" s="34" t="str">
        <f t="shared" si="196"/>
        <v/>
      </c>
      <c r="L1191" s="34" t="str">
        <f t="shared" si="196"/>
        <v/>
      </c>
      <c r="M1191" s="34" t="str">
        <f t="shared" si="196"/>
        <v/>
      </c>
      <c r="N1191" s="34">
        <f t="shared" si="196"/>
        <v>60</v>
      </c>
      <c r="O1191" s="34">
        <f t="shared" si="196"/>
        <v>69</v>
      </c>
      <c r="P1191" s="34">
        <f t="shared" si="196"/>
        <v>81</v>
      </c>
      <c r="Q1191" s="34">
        <f t="shared" si="196"/>
        <v>93</v>
      </c>
      <c r="R1191" s="34">
        <f t="shared" si="196"/>
        <v>105</v>
      </c>
      <c r="S1191" s="35">
        <f t="shared" si="191"/>
        <v>60</v>
      </c>
    </row>
    <row r="1192" spans="2:19" hidden="1" outlineLevel="1">
      <c r="B1192" s="14" t="s">
        <v>116</v>
      </c>
      <c r="C1192" s="15" t="s">
        <v>65</v>
      </c>
      <c r="D1192" s="52">
        <v>2048</v>
      </c>
      <c r="E1192" s="34">
        <v>5</v>
      </c>
      <c r="F1192" s="38">
        <f t="shared" si="188"/>
        <v>19941.416750810895</v>
      </c>
      <c r="G1192" s="34">
        <f t="shared" si="189"/>
        <v>9</v>
      </c>
      <c r="H1192" s="34">
        <f t="shared" si="190"/>
        <v>3</v>
      </c>
      <c r="I1192" s="34" t="str">
        <f t="shared" si="196"/>
        <v/>
      </c>
      <c r="J1192" s="34" t="str">
        <f t="shared" si="196"/>
        <v/>
      </c>
      <c r="K1192" s="34" t="str">
        <f t="shared" si="196"/>
        <v/>
      </c>
      <c r="L1192" s="34" t="str">
        <f t="shared" si="196"/>
        <v/>
      </c>
      <c r="M1192" s="34" t="str">
        <f t="shared" si="196"/>
        <v/>
      </c>
      <c r="N1192" s="34">
        <f t="shared" si="196"/>
        <v>60</v>
      </c>
      <c r="O1192" s="34">
        <f t="shared" si="196"/>
        <v>68</v>
      </c>
      <c r="P1192" s="34">
        <f t="shared" si="196"/>
        <v>80</v>
      </c>
      <c r="Q1192" s="34">
        <f t="shared" si="196"/>
        <v>92</v>
      </c>
      <c r="R1192" s="34">
        <f t="shared" si="196"/>
        <v>104</v>
      </c>
      <c r="S1192" s="35">
        <f t="shared" si="191"/>
        <v>60</v>
      </c>
    </row>
    <row r="1193" spans="2:19" hidden="1" outlineLevel="1">
      <c r="B1193" s="14" t="s">
        <v>116</v>
      </c>
      <c r="C1193" s="15" t="s">
        <v>65</v>
      </c>
      <c r="D1193" s="52">
        <v>2048</v>
      </c>
      <c r="E1193" s="34">
        <v>6</v>
      </c>
      <c r="F1193" s="38">
        <f t="shared" si="188"/>
        <v>19941.416750810895</v>
      </c>
      <c r="G1193" s="34">
        <f t="shared" si="189"/>
        <v>9</v>
      </c>
      <c r="H1193" s="34">
        <f t="shared" si="190"/>
        <v>3</v>
      </c>
      <c r="I1193" s="34" t="str">
        <f t="shared" si="196"/>
        <v/>
      </c>
      <c r="J1193" s="34" t="str">
        <f t="shared" si="196"/>
        <v/>
      </c>
      <c r="K1193" s="34" t="str">
        <f t="shared" si="196"/>
        <v/>
      </c>
      <c r="L1193" s="34" t="str">
        <f t="shared" si="196"/>
        <v/>
      </c>
      <c r="M1193" s="34" t="str">
        <f t="shared" si="196"/>
        <v/>
      </c>
      <c r="N1193" s="34">
        <f t="shared" si="196"/>
        <v>60</v>
      </c>
      <c r="O1193" s="34">
        <f t="shared" si="196"/>
        <v>67</v>
      </c>
      <c r="P1193" s="34">
        <f t="shared" si="196"/>
        <v>79</v>
      </c>
      <c r="Q1193" s="34">
        <f t="shared" si="196"/>
        <v>91</v>
      </c>
      <c r="R1193" s="34">
        <f t="shared" si="196"/>
        <v>103</v>
      </c>
      <c r="S1193" s="35">
        <f t="shared" si="191"/>
        <v>60</v>
      </c>
    </row>
    <row r="1194" spans="2:19" hidden="1" outlineLevel="1">
      <c r="B1194" s="14" t="s">
        <v>116</v>
      </c>
      <c r="C1194" s="15" t="s">
        <v>65</v>
      </c>
      <c r="D1194" s="52">
        <v>2048</v>
      </c>
      <c r="E1194" s="34">
        <v>7</v>
      </c>
      <c r="F1194" s="38">
        <f t="shared" si="188"/>
        <v>19941.416750810895</v>
      </c>
      <c r="G1194" s="34">
        <f t="shared" si="189"/>
        <v>9</v>
      </c>
      <c r="H1194" s="34">
        <f t="shared" si="190"/>
        <v>3</v>
      </c>
      <c r="I1194" s="34" t="str">
        <f t="shared" si="196"/>
        <v/>
      </c>
      <c r="J1194" s="34" t="str">
        <f t="shared" si="196"/>
        <v/>
      </c>
      <c r="K1194" s="34" t="str">
        <f t="shared" si="196"/>
        <v/>
      </c>
      <c r="L1194" s="34" t="str">
        <f t="shared" si="196"/>
        <v/>
      </c>
      <c r="M1194" s="34" t="str">
        <f t="shared" si="196"/>
        <v/>
      </c>
      <c r="N1194" s="34">
        <f t="shared" si="196"/>
        <v>60</v>
      </c>
      <c r="O1194" s="34">
        <f t="shared" si="196"/>
        <v>66</v>
      </c>
      <c r="P1194" s="34">
        <f t="shared" si="196"/>
        <v>78</v>
      </c>
      <c r="Q1194" s="34">
        <f t="shared" si="196"/>
        <v>90</v>
      </c>
      <c r="R1194" s="34">
        <f t="shared" si="196"/>
        <v>102</v>
      </c>
      <c r="S1194" s="35">
        <f t="shared" si="191"/>
        <v>60</v>
      </c>
    </row>
    <row r="1195" spans="2:19" hidden="1" outlineLevel="1">
      <c r="B1195" s="14" t="s">
        <v>116</v>
      </c>
      <c r="C1195" s="15" t="s">
        <v>65</v>
      </c>
      <c r="D1195" s="52">
        <v>2048</v>
      </c>
      <c r="E1195" s="34">
        <v>8</v>
      </c>
      <c r="F1195" s="38">
        <f t="shared" si="188"/>
        <v>19941.416750810895</v>
      </c>
      <c r="G1195" s="34">
        <f t="shared" si="189"/>
        <v>9</v>
      </c>
      <c r="H1195" s="34">
        <f t="shared" si="190"/>
        <v>3</v>
      </c>
      <c r="I1195" s="34" t="str">
        <f t="shared" si="196"/>
        <v/>
      </c>
      <c r="J1195" s="34" t="str">
        <f t="shared" si="196"/>
        <v/>
      </c>
      <c r="K1195" s="34" t="str">
        <f t="shared" si="196"/>
        <v/>
      </c>
      <c r="L1195" s="34" t="str">
        <f t="shared" si="196"/>
        <v/>
      </c>
      <c r="M1195" s="34" t="str">
        <f t="shared" si="196"/>
        <v/>
      </c>
      <c r="N1195" s="34">
        <f t="shared" si="196"/>
        <v>60</v>
      </c>
      <c r="O1195" s="34">
        <f t="shared" si="196"/>
        <v>65</v>
      </c>
      <c r="P1195" s="34">
        <f t="shared" si="196"/>
        <v>77</v>
      </c>
      <c r="Q1195" s="34">
        <f t="shared" si="196"/>
        <v>89</v>
      </c>
      <c r="R1195" s="34">
        <f t="shared" si="196"/>
        <v>101</v>
      </c>
      <c r="S1195" s="35">
        <f t="shared" si="191"/>
        <v>60</v>
      </c>
    </row>
    <row r="1196" spans="2:19" hidden="1" outlineLevel="1">
      <c r="B1196" s="14" t="s">
        <v>116</v>
      </c>
      <c r="C1196" s="15" t="s">
        <v>65</v>
      </c>
      <c r="D1196" s="52">
        <v>2048</v>
      </c>
      <c r="E1196" s="34">
        <v>9</v>
      </c>
      <c r="F1196" s="38">
        <f t="shared" si="188"/>
        <v>19941.416750810895</v>
      </c>
      <c r="G1196" s="34">
        <f t="shared" si="189"/>
        <v>9</v>
      </c>
      <c r="H1196" s="34">
        <f t="shared" si="190"/>
        <v>3</v>
      </c>
      <c r="I1196" s="34" t="str">
        <f t="shared" si="196"/>
        <v/>
      </c>
      <c r="J1196" s="34" t="str">
        <f t="shared" si="196"/>
        <v/>
      </c>
      <c r="K1196" s="34" t="str">
        <f t="shared" si="196"/>
        <v/>
      </c>
      <c r="L1196" s="34" t="str">
        <f t="shared" si="196"/>
        <v/>
      </c>
      <c r="M1196" s="34" t="str">
        <f t="shared" si="196"/>
        <v/>
      </c>
      <c r="N1196" s="34">
        <f t="shared" si="196"/>
        <v>60</v>
      </c>
      <c r="O1196" s="34">
        <f t="shared" si="196"/>
        <v>64</v>
      </c>
      <c r="P1196" s="34">
        <f t="shared" si="196"/>
        <v>76</v>
      </c>
      <c r="Q1196" s="34">
        <f t="shared" si="196"/>
        <v>88</v>
      </c>
      <c r="R1196" s="34">
        <f t="shared" si="196"/>
        <v>100</v>
      </c>
      <c r="S1196" s="35">
        <f t="shared" si="191"/>
        <v>60</v>
      </c>
    </row>
    <row r="1197" spans="2:19" hidden="1" outlineLevel="1">
      <c r="B1197" s="14" t="s">
        <v>116</v>
      </c>
      <c r="C1197" s="15" t="s">
        <v>65</v>
      </c>
      <c r="D1197" s="52">
        <v>2048</v>
      </c>
      <c r="E1197" s="34">
        <v>10</v>
      </c>
      <c r="F1197" s="38">
        <f t="shared" si="188"/>
        <v>19941.416750810895</v>
      </c>
      <c r="G1197" s="34">
        <f t="shared" si="189"/>
        <v>9</v>
      </c>
      <c r="H1197" s="34">
        <f t="shared" si="190"/>
        <v>3</v>
      </c>
      <c r="I1197" s="34" t="str">
        <f t="shared" si="196"/>
        <v/>
      </c>
      <c r="J1197" s="34" t="str">
        <f t="shared" si="196"/>
        <v/>
      </c>
      <c r="K1197" s="34" t="str">
        <f t="shared" si="196"/>
        <v/>
      </c>
      <c r="L1197" s="34" t="str">
        <f t="shared" si="196"/>
        <v/>
      </c>
      <c r="M1197" s="34" t="str">
        <f t="shared" si="196"/>
        <v/>
      </c>
      <c r="N1197" s="34">
        <f t="shared" si="196"/>
        <v>60</v>
      </c>
      <c r="O1197" s="34">
        <f t="shared" si="196"/>
        <v>63</v>
      </c>
      <c r="P1197" s="34">
        <f t="shared" si="196"/>
        <v>75</v>
      </c>
      <c r="Q1197" s="34">
        <f t="shared" si="196"/>
        <v>87</v>
      </c>
      <c r="R1197" s="34">
        <f t="shared" si="196"/>
        <v>99</v>
      </c>
      <c r="S1197" s="35">
        <f t="shared" si="191"/>
        <v>60</v>
      </c>
    </row>
    <row r="1198" spans="2:19" hidden="1" outlineLevel="1">
      <c r="B1198" s="14" t="s">
        <v>116</v>
      </c>
      <c r="C1198" s="15" t="s">
        <v>65</v>
      </c>
      <c r="D1198" s="52">
        <v>2048</v>
      </c>
      <c r="E1198" s="34">
        <v>11</v>
      </c>
      <c r="F1198" s="38">
        <f t="shared" si="188"/>
        <v>19941.416750810895</v>
      </c>
      <c r="G1198" s="34">
        <f t="shared" si="189"/>
        <v>9</v>
      </c>
      <c r="H1198" s="34">
        <f t="shared" si="190"/>
        <v>3</v>
      </c>
      <c r="I1198" s="34" t="str">
        <f t="shared" si="196"/>
        <v/>
      </c>
      <c r="J1198" s="34" t="str">
        <f t="shared" si="196"/>
        <v/>
      </c>
      <c r="K1198" s="34" t="str">
        <f t="shared" si="196"/>
        <v/>
      </c>
      <c r="L1198" s="34" t="str">
        <f t="shared" si="196"/>
        <v/>
      </c>
      <c r="M1198" s="34" t="str">
        <f t="shared" si="196"/>
        <v/>
      </c>
      <c r="N1198" s="34">
        <f t="shared" si="196"/>
        <v>60</v>
      </c>
      <c r="O1198" s="34">
        <f t="shared" si="196"/>
        <v>62</v>
      </c>
      <c r="P1198" s="34">
        <f t="shared" si="196"/>
        <v>74</v>
      </c>
      <c r="Q1198" s="34">
        <f t="shared" si="196"/>
        <v>86</v>
      </c>
      <c r="R1198" s="34">
        <f t="shared" si="196"/>
        <v>98</v>
      </c>
      <c r="S1198" s="35">
        <f t="shared" si="191"/>
        <v>60</v>
      </c>
    </row>
    <row r="1199" spans="2:19" hidden="1" outlineLevel="1">
      <c r="B1199" s="14" t="s">
        <v>116</v>
      </c>
      <c r="C1199" s="15" t="s">
        <v>65</v>
      </c>
      <c r="D1199" s="52">
        <v>2048</v>
      </c>
      <c r="E1199" s="34">
        <v>12</v>
      </c>
      <c r="F1199" s="38">
        <f t="shared" si="188"/>
        <v>19941.416750810895</v>
      </c>
      <c r="G1199" s="34">
        <f t="shared" si="189"/>
        <v>9</v>
      </c>
      <c r="H1199" s="34">
        <f t="shared" si="190"/>
        <v>3</v>
      </c>
      <c r="I1199" s="34" t="str">
        <f t="shared" si="196"/>
        <v/>
      </c>
      <c r="J1199" s="34" t="str">
        <f t="shared" si="196"/>
        <v/>
      </c>
      <c r="K1199" s="34" t="str">
        <f t="shared" si="196"/>
        <v/>
      </c>
      <c r="L1199" s="34" t="str">
        <f t="shared" si="196"/>
        <v/>
      </c>
      <c r="M1199" s="34" t="str">
        <f t="shared" si="196"/>
        <v/>
      </c>
      <c r="N1199" s="34">
        <f t="shared" si="196"/>
        <v>60</v>
      </c>
      <c r="O1199" s="34">
        <f t="shared" si="196"/>
        <v>61</v>
      </c>
      <c r="P1199" s="34">
        <f t="shared" si="196"/>
        <v>73</v>
      </c>
      <c r="Q1199" s="34">
        <f t="shared" si="196"/>
        <v>85</v>
      </c>
      <c r="R1199" s="34">
        <f t="shared" si="196"/>
        <v>97</v>
      </c>
      <c r="S1199" s="35">
        <f t="shared" si="191"/>
        <v>60</v>
      </c>
    </row>
    <row r="1200" spans="2:19" hidden="1" outlineLevel="1">
      <c r="B1200" s="14" t="s">
        <v>116</v>
      </c>
      <c r="C1200" s="15" t="s">
        <v>65</v>
      </c>
      <c r="D1200" s="52">
        <v>2049</v>
      </c>
      <c r="E1200" s="34">
        <v>1</v>
      </c>
      <c r="F1200" s="38">
        <f t="shared" si="188"/>
        <v>19732.37649745819</v>
      </c>
      <c r="G1200" s="34">
        <f t="shared" si="189"/>
        <v>9</v>
      </c>
      <c r="H1200" s="34">
        <f t="shared" si="190"/>
        <v>3</v>
      </c>
      <c r="I1200" s="34" t="str">
        <f t="shared" ref="I1200:R1209" si="197">IF($D1200&lt;$Z$18,"",IF(MAX($G1200,INDEX($C$65:$F$108,$D1200+I$119-2026,$H1200))&lt;=12*I$119-$E1200+12,MAX($G1200,12*I$119-$E1200+1,INDEX($C$65:$F$108,$D1200+I$119-2026,$H1200)),""))</f>
        <v/>
      </c>
      <c r="J1200" s="34" t="str">
        <f t="shared" si="197"/>
        <v/>
      </c>
      <c r="K1200" s="34" t="str">
        <f t="shared" si="197"/>
        <v/>
      </c>
      <c r="L1200" s="34" t="str">
        <f t="shared" si="197"/>
        <v/>
      </c>
      <c r="M1200" s="34" t="str">
        <f t="shared" si="197"/>
        <v/>
      </c>
      <c r="N1200" s="34">
        <f t="shared" si="197"/>
        <v>60</v>
      </c>
      <c r="O1200" s="34">
        <f t="shared" si="197"/>
        <v>72</v>
      </c>
      <c r="P1200" s="34">
        <f t="shared" si="197"/>
        <v>84</v>
      </c>
      <c r="Q1200" s="34">
        <f t="shared" si="197"/>
        <v>96</v>
      </c>
      <c r="R1200" s="34">
        <f t="shared" si="197"/>
        <v>108</v>
      </c>
      <c r="S1200" s="35">
        <f t="shared" si="191"/>
        <v>60</v>
      </c>
    </row>
    <row r="1201" spans="2:19" hidden="1" outlineLevel="1">
      <c r="B1201" s="14" t="s">
        <v>116</v>
      </c>
      <c r="C1201" s="15" t="s">
        <v>65</v>
      </c>
      <c r="D1201" s="52">
        <v>2049</v>
      </c>
      <c r="E1201" s="34">
        <v>2</v>
      </c>
      <c r="F1201" s="38">
        <f t="shared" si="188"/>
        <v>19732.37649745819</v>
      </c>
      <c r="G1201" s="34">
        <f t="shared" si="189"/>
        <v>9</v>
      </c>
      <c r="H1201" s="34">
        <f t="shared" si="190"/>
        <v>3</v>
      </c>
      <c r="I1201" s="34" t="str">
        <f t="shared" si="197"/>
        <v/>
      </c>
      <c r="J1201" s="34" t="str">
        <f t="shared" si="197"/>
        <v/>
      </c>
      <c r="K1201" s="34" t="str">
        <f t="shared" si="197"/>
        <v/>
      </c>
      <c r="L1201" s="34" t="str">
        <f t="shared" si="197"/>
        <v/>
      </c>
      <c r="M1201" s="34" t="str">
        <f t="shared" si="197"/>
        <v/>
      </c>
      <c r="N1201" s="34">
        <f t="shared" si="197"/>
        <v>60</v>
      </c>
      <c r="O1201" s="34">
        <f t="shared" si="197"/>
        <v>71</v>
      </c>
      <c r="P1201" s="34">
        <f t="shared" si="197"/>
        <v>83</v>
      </c>
      <c r="Q1201" s="34">
        <f t="shared" si="197"/>
        <v>95</v>
      </c>
      <c r="R1201" s="34">
        <f t="shared" si="197"/>
        <v>107</v>
      </c>
      <c r="S1201" s="35">
        <f t="shared" si="191"/>
        <v>60</v>
      </c>
    </row>
    <row r="1202" spans="2:19" hidden="1" outlineLevel="1">
      <c r="B1202" s="14" t="s">
        <v>116</v>
      </c>
      <c r="C1202" s="15" t="s">
        <v>65</v>
      </c>
      <c r="D1202" s="52">
        <v>2049</v>
      </c>
      <c r="E1202" s="34">
        <v>3</v>
      </c>
      <c r="F1202" s="38">
        <f t="shared" si="188"/>
        <v>19732.37649745819</v>
      </c>
      <c r="G1202" s="34">
        <f t="shared" si="189"/>
        <v>9</v>
      </c>
      <c r="H1202" s="34">
        <f t="shared" si="190"/>
        <v>3</v>
      </c>
      <c r="I1202" s="34" t="str">
        <f t="shared" si="197"/>
        <v/>
      </c>
      <c r="J1202" s="34" t="str">
        <f t="shared" si="197"/>
        <v/>
      </c>
      <c r="K1202" s="34" t="str">
        <f t="shared" si="197"/>
        <v/>
      </c>
      <c r="L1202" s="34" t="str">
        <f t="shared" si="197"/>
        <v/>
      </c>
      <c r="M1202" s="34" t="str">
        <f t="shared" si="197"/>
        <v/>
      </c>
      <c r="N1202" s="34">
        <f t="shared" si="197"/>
        <v>60</v>
      </c>
      <c r="O1202" s="34">
        <f t="shared" si="197"/>
        <v>70</v>
      </c>
      <c r="P1202" s="34">
        <f t="shared" si="197"/>
        <v>82</v>
      </c>
      <c r="Q1202" s="34">
        <f t="shared" si="197"/>
        <v>94</v>
      </c>
      <c r="R1202" s="34">
        <f t="shared" si="197"/>
        <v>106</v>
      </c>
      <c r="S1202" s="35">
        <f t="shared" si="191"/>
        <v>60</v>
      </c>
    </row>
    <row r="1203" spans="2:19" hidden="1" outlineLevel="1">
      <c r="B1203" s="14" t="s">
        <v>116</v>
      </c>
      <c r="C1203" s="15" t="s">
        <v>65</v>
      </c>
      <c r="D1203" s="52">
        <v>2049</v>
      </c>
      <c r="E1203" s="34">
        <v>4</v>
      </c>
      <c r="F1203" s="38">
        <f t="shared" si="188"/>
        <v>19732.37649745819</v>
      </c>
      <c r="G1203" s="34">
        <f t="shared" si="189"/>
        <v>9</v>
      </c>
      <c r="H1203" s="34">
        <f t="shared" si="190"/>
        <v>3</v>
      </c>
      <c r="I1203" s="34" t="str">
        <f t="shared" si="197"/>
        <v/>
      </c>
      <c r="J1203" s="34" t="str">
        <f t="shared" si="197"/>
        <v/>
      </c>
      <c r="K1203" s="34" t="str">
        <f t="shared" si="197"/>
        <v/>
      </c>
      <c r="L1203" s="34" t="str">
        <f t="shared" si="197"/>
        <v/>
      </c>
      <c r="M1203" s="34" t="str">
        <f t="shared" si="197"/>
        <v/>
      </c>
      <c r="N1203" s="34">
        <f t="shared" si="197"/>
        <v>60</v>
      </c>
      <c r="O1203" s="34">
        <f t="shared" si="197"/>
        <v>69</v>
      </c>
      <c r="P1203" s="34">
        <f t="shared" si="197"/>
        <v>81</v>
      </c>
      <c r="Q1203" s="34">
        <f t="shared" si="197"/>
        <v>93</v>
      </c>
      <c r="R1203" s="34">
        <f t="shared" si="197"/>
        <v>105</v>
      </c>
      <c r="S1203" s="35">
        <f t="shared" si="191"/>
        <v>60</v>
      </c>
    </row>
    <row r="1204" spans="2:19" hidden="1" outlineLevel="1">
      <c r="B1204" s="14" t="s">
        <v>116</v>
      </c>
      <c r="C1204" s="15" t="s">
        <v>65</v>
      </c>
      <c r="D1204" s="52">
        <v>2049</v>
      </c>
      <c r="E1204" s="34">
        <v>5</v>
      </c>
      <c r="F1204" s="38">
        <f t="shared" si="188"/>
        <v>19732.37649745819</v>
      </c>
      <c r="G1204" s="34">
        <f t="shared" si="189"/>
        <v>9</v>
      </c>
      <c r="H1204" s="34">
        <f t="shared" si="190"/>
        <v>3</v>
      </c>
      <c r="I1204" s="34" t="str">
        <f t="shared" si="197"/>
        <v/>
      </c>
      <c r="J1204" s="34" t="str">
        <f t="shared" si="197"/>
        <v/>
      </c>
      <c r="K1204" s="34" t="str">
        <f t="shared" si="197"/>
        <v/>
      </c>
      <c r="L1204" s="34" t="str">
        <f t="shared" si="197"/>
        <v/>
      </c>
      <c r="M1204" s="34" t="str">
        <f t="shared" si="197"/>
        <v/>
      </c>
      <c r="N1204" s="34">
        <f t="shared" si="197"/>
        <v>60</v>
      </c>
      <c r="O1204" s="34">
        <f t="shared" si="197"/>
        <v>68</v>
      </c>
      <c r="P1204" s="34">
        <f t="shared" si="197"/>
        <v>80</v>
      </c>
      <c r="Q1204" s="34">
        <f t="shared" si="197"/>
        <v>92</v>
      </c>
      <c r="R1204" s="34">
        <f t="shared" si="197"/>
        <v>104</v>
      </c>
      <c r="S1204" s="35">
        <f t="shared" si="191"/>
        <v>60</v>
      </c>
    </row>
    <row r="1205" spans="2:19" hidden="1" outlineLevel="1">
      <c r="B1205" s="14" t="s">
        <v>116</v>
      </c>
      <c r="C1205" s="15" t="s">
        <v>65</v>
      </c>
      <c r="D1205" s="52">
        <v>2049</v>
      </c>
      <c r="E1205" s="34">
        <v>6</v>
      </c>
      <c r="F1205" s="38">
        <f t="shared" si="188"/>
        <v>19732.37649745819</v>
      </c>
      <c r="G1205" s="34">
        <f t="shared" si="189"/>
        <v>9</v>
      </c>
      <c r="H1205" s="34">
        <f t="shared" si="190"/>
        <v>3</v>
      </c>
      <c r="I1205" s="34" t="str">
        <f t="shared" si="197"/>
        <v/>
      </c>
      <c r="J1205" s="34" t="str">
        <f t="shared" si="197"/>
        <v/>
      </c>
      <c r="K1205" s="34" t="str">
        <f t="shared" si="197"/>
        <v/>
      </c>
      <c r="L1205" s="34" t="str">
        <f t="shared" si="197"/>
        <v/>
      </c>
      <c r="M1205" s="34" t="str">
        <f t="shared" si="197"/>
        <v/>
      </c>
      <c r="N1205" s="34">
        <f t="shared" si="197"/>
        <v>60</v>
      </c>
      <c r="O1205" s="34">
        <f t="shared" si="197"/>
        <v>67</v>
      </c>
      <c r="P1205" s="34">
        <f t="shared" si="197"/>
        <v>79</v>
      </c>
      <c r="Q1205" s="34">
        <f t="shared" si="197"/>
        <v>91</v>
      </c>
      <c r="R1205" s="34">
        <f t="shared" si="197"/>
        <v>103</v>
      </c>
      <c r="S1205" s="35">
        <f t="shared" si="191"/>
        <v>60</v>
      </c>
    </row>
    <row r="1206" spans="2:19" hidden="1" outlineLevel="1">
      <c r="B1206" s="14" t="s">
        <v>116</v>
      </c>
      <c r="C1206" s="15" t="s">
        <v>65</v>
      </c>
      <c r="D1206" s="52">
        <v>2049</v>
      </c>
      <c r="E1206" s="34">
        <v>7</v>
      </c>
      <c r="F1206" s="38">
        <f t="shared" si="188"/>
        <v>19732.37649745819</v>
      </c>
      <c r="G1206" s="34">
        <f t="shared" si="189"/>
        <v>9</v>
      </c>
      <c r="H1206" s="34">
        <f t="shared" si="190"/>
        <v>3</v>
      </c>
      <c r="I1206" s="34" t="str">
        <f t="shared" si="197"/>
        <v/>
      </c>
      <c r="J1206" s="34" t="str">
        <f t="shared" si="197"/>
        <v/>
      </c>
      <c r="K1206" s="34" t="str">
        <f t="shared" si="197"/>
        <v/>
      </c>
      <c r="L1206" s="34" t="str">
        <f t="shared" si="197"/>
        <v/>
      </c>
      <c r="M1206" s="34" t="str">
        <f t="shared" si="197"/>
        <v/>
      </c>
      <c r="N1206" s="34">
        <f t="shared" si="197"/>
        <v>60</v>
      </c>
      <c r="O1206" s="34">
        <f t="shared" si="197"/>
        <v>66</v>
      </c>
      <c r="P1206" s="34">
        <f t="shared" si="197"/>
        <v>78</v>
      </c>
      <c r="Q1206" s="34">
        <f t="shared" si="197"/>
        <v>90</v>
      </c>
      <c r="R1206" s="34">
        <f t="shared" si="197"/>
        <v>102</v>
      </c>
      <c r="S1206" s="35">
        <f t="shared" si="191"/>
        <v>60</v>
      </c>
    </row>
    <row r="1207" spans="2:19" hidden="1" outlineLevel="1">
      <c r="B1207" s="14" t="s">
        <v>116</v>
      </c>
      <c r="C1207" s="15" t="s">
        <v>65</v>
      </c>
      <c r="D1207" s="52">
        <v>2049</v>
      </c>
      <c r="E1207" s="34">
        <v>8</v>
      </c>
      <c r="F1207" s="38">
        <f t="shared" si="188"/>
        <v>19732.37649745819</v>
      </c>
      <c r="G1207" s="34">
        <f t="shared" si="189"/>
        <v>9</v>
      </c>
      <c r="H1207" s="34">
        <f t="shared" si="190"/>
        <v>3</v>
      </c>
      <c r="I1207" s="34" t="str">
        <f t="shared" si="197"/>
        <v/>
      </c>
      <c r="J1207" s="34" t="str">
        <f t="shared" si="197"/>
        <v/>
      </c>
      <c r="K1207" s="34" t="str">
        <f t="shared" si="197"/>
        <v/>
      </c>
      <c r="L1207" s="34" t="str">
        <f t="shared" si="197"/>
        <v/>
      </c>
      <c r="M1207" s="34" t="str">
        <f t="shared" si="197"/>
        <v/>
      </c>
      <c r="N1207" s="34">
        <f t="shared" si="197"/>
        <v>60</v>
      </c>
      <c r="O1207" s="34">
        <f t="shared" si="197"/>
        <v>65</v>
      </c>
      <c r="P1207" s="34">
        <f t="shared" si="197"/>
        <v>77</v>
      </c>
      <c r="Q1207" s="34">
        <f t="shared" si="197"/>
        <v>89</v>
      </c>
      <c r="R1207" s="34">
        <f t="shared" si="197"/>
        <v>101</v>
      </c>
      <c r="S1207" s="35">
        <f t="shared" si="191"/>
        <v>60</v>
      </c>
    </row>
    <row r="1208" spans="2:19" hidden="1" outlineLevel="1">
      <c r="B1208" s="14" t="s">
        <v>116</v>
      </c>
      <c r="C1208" s="15" t="s">
        <v>65</v>
      </c>
      <c r="D1208" s="52">
        <v>2049</v>
      </c>
      <c r="E1208" s="34">
        <v>9</v>
      </c>
      <c r="F1208" s="38">
        <f t="shared" ref="F1208:F1271" si="198">IF($C1208="Homens",INDEX($C$5:$C$55,MATCH($D1208,$B$5:$B$55,0)),INDEX($F$5:$F$55,MATCH($D1208,$B$5:$B$55,0)))/12</f>
        <v>19732.37649745819</v>
      </c>
      <c r="G1208" s="34">
        <f t="shared" ref="G1208:G1271" si="199">IF($C1208="Homens",$Z$17,$AA$17)</f>
        <v>9</v>
      </c>
      <c r="H1208" s="34">
        <f t="shared" ref="H1208:H1271" si="200">1+2*($B1208="Com Transição")+($C1208="Mulheres")</f>
        <v>3</v>
      </c>
      <c r="I1208" s="34" t="str">
        <f t="shared" si="197"/>
        <v/>
      </c>
      <c r="J1208" s="34" t="str">
        <f t="shared" si="197"/>
        <v/>
      </c>
      <c r="K1208" s="34" t="str">
        <f t="shared" si="197"/>
        <v/>
      </c>
      <c r="L1208" s="34" t="str">
        <f t="shared" si="197"/>
        <v/>
      </c>
      <c r="M1208" s="34" t="str">
        <f t="shared" si="197"/>
        <v/>
      </c>
      <c r="N1208" s="34">
        <f t="shared" si="197"/>
        <v>60</v>
      </c>
      <c r="O1208" s="34">
        <f t="shared" si="197"/>
        <v>64</v>
      </c>
      <c r="P1208" s="34">
        <f t="shared" si="197"/>
        <v>76</v>
      </c>
      <c r="Q1208" s="34">
        <f t="shared" si="197"/>
        <v>88</v>
      </c>
      <c r="R1208" s="34">
        <f t="shared" si="197"/>
        <v>100</v>
      </c>
      <c r="S1208" s="35">
        <f t="shared" ref="S1208:S1271" si="201">IF($D1208&lt;$Z$18,$G1208,MIN(I1208:R1208))</f>
        <v>60</v>
      </c>
    </row>
    <row r="1209" spans="2:19" hidden="1" outlineLevel="1">
      <c r="B1209" s="14" t="s">
        <v>116</v>
      </c>
      <c r="C1209" s="15" t="s">
        <v>65</v>
      </c>
      <c r="D1209" s="52">
        <v>2049</v>
      </c>
      <c r="E1209" s="34">
        <v>10</v>
      </c>
      <c r="F1209" s="38">
        <f t="shared" si="198"/>
        <v>19732.37649745819</v>
      </c>
      <c r="G1209" s="34">
        <f t="shared" si="199"/>
        <v>9</v>
      </c>
      <c r="H1209" s="34">
        <f t="shared" si="200"/>
        <v>3</v>
      </c>
      <c r="I1209" s="34" t="str">
        <f t="shared" si="197"/>
        <v/>
      </c>
      <c r="J1209" s="34" t="str">
        <f t="shared" si="197"/>
        <v/>
      </c>
      <c r="K1209" s="34" t="str">
        <f t="shared" si="197"/>
        <v/>
      </c>
      <c r="L1209" s="34" t="str">
        <f t="shared" si="197"/>
        <v/>
      </c>
      <c r="M1209" s="34" t="str">
        <f t="shared" si="197"/>
        <v/>
      </c>
      <c r="N1209" s="34">
        <f t="shared" si="197"/>
        <v>60</v>
      </c>
      <c r="O1209" s="34">
        <f t="shared" si="197"/>
        <v>63</v>
      </c>
      <c r="P1209" s="34">
        <f t="shared" si="197"/>
        <v>75</v>
      </c>
      <c r="Q1209" s="34">
        <f t="shared" si="197"/>
        <v>87</v>
      </c>
      <c r="R1209" s="34">
        <f t="shared" si="197"/>
        <v>99</v>
      </c>
      <c r="S1209" s="35">
        <f t="shared" si="201"/>
        <v>60</v>
      </c>
    </row>
    <row r="1210" spans="2:19" hidden="1" outlineLevel="1">
      <c r="B1210" s="14" t="s">
        <v>116</v>
      </c>
      <c r="C1210" s="15" t="s">
        <v>65</v>
      </c>
      <c r="D1210" s="52">
        <v>2049</v>
      </c>
      <c r="E1210" s="34">
        <v>11</v>
      </c>
      <c r="F1210" s="38">
        <f t="shared" si="198"/>
        <v>19732.37649745819</v>
      </c>
      <c r="G1210" s="34">
        <f t="shared" si="199"/>
        <v>9</v>
      </c>
      <c r="H1210" s="34">
        <f t="shared" si="200"/>
        <v>3</v>
      </c>
      <c r="I1210" s="34" t="str">
        <f t="shared" ref="I1210:R1219" si="202">IF($D1210&lt;$Z$18,"",IF(MAX($G1210,INDEX($C$65:$F$108,$D1210+I$119-2026,$H1210))&lt;=12*I$119-$E1210+12,MAX($G1210,12*I$119-$E1210+1,INDEX($C$65:$F$108,$D1210+I$119-2026,$H1210)),""))</f>
        <v/>
      </c>
      <c r="J1210" s="34" t="str">
        <f t="shared" si="202"/>
        <v/>
      </c>
      <c r="K1210" s="34" t="str">
        <f t="shared" si="202"/>
        <v/>
      </c>
      <c r="L1210" s="34" t="str">
        <f t="shared" si="202"/>
        <v/>
      </c>
      <c r="M1210" s="34" t="str">
        <f t="shared" si="202"/>
        <v/>
      </c>
      <c r="N1210" s="34">
        <f t="shared" si="202"/>
        <v>60</v>
      </c>
      <c r="O1210" s="34">
        <f t="shared" si="202"/>
        <v>62</v>
      </c>
      <c r="P1210" s="34">
        <f t="shared" si="202"/>
        <v>74</v>
      </c>
      <c r="Q1210" s="34">
        <f t="shared" si="202"/>
        <v>86</v>
      </c>
      <c r="R1210" s="34">
        <f t="shared" si="202"/>
        <v>98</v>
      </c>
      <c r="S1210" s="35">
        <f t="shared" si="201"/>
        <v>60</v>
      </c>
    </row>
    <row r="1211" spans="2:19" hidden="1" outlineLevel="1">
      <c r="B1211" s="14" t="s">
        <v>116</v>
      </c>
      <c r="C1211" s="15" t="s">
        <v>65</v>
      </c>
      <c r="D1211" s="52">
        <v>2049</v>
      </c>
      <c r="E1211" s="34">
        <v>12</v>
      </c>
      <c r="F1211" s="38">
        <f t="shared" si="198"/>
        <v>19732.37649745819</v>
      </c>
      <c r="G1211" s="34">
        <f t="shared" si="199"/>
        <v>9</v>
      </c>
      <c r="H1211" s="34">
        <f t="shared" si="200"/>
        <v>3</v>
      </c>
      <c r="I1211" s="34" t="str">
        <f t="shared" si="202"/>
        <v/>
      </c>
      <c r="J1211" s="34" t="str">
        <f t="shared" si="202"/>
        <v/>
      </c>
      <c r="K1211" s="34" t="str">
        <f t="shared" si="202"/>
        <v/>
      </c>
      <c r="L1211" s="34" t="str">
        <f t="shared" si="202"/>
        <v/>
      </c>
      <c r="M1211" s="34" t="str">
        <f t="shared" si="202"/>
        <v/>
      </c>
      <c r="N1211" s="34">
        <f t="shared" si="202"/>
        <v>60</v>
      </c>
      <c r="O1211" s="34">
        <f t="shared" si="202"/>
        <v>61</v>
      </c>
      <c r="P1211" s="34">
        <f t="shared" si="202"/>
        <v>73</v>
      </c>
      <c r="Q1211" s="34">
        <f t="shared" si="202"/>
        <v>85</v>
      </c>
      <c r="R1211" s="34">
        <f t="shared" si="202"/>
        <v>97</v>
      </c>
      <c r="S1211" s="35">
        <f t="shared" si="201"/>
        <v>60</v>
      </c>
    </row>
    <row r="1212" spans="2:19" hidden="1" outlineLevel="1">
      <c r="B1212" s="14" t="s">
        <v>116</v>
      </c>
      <c r="C1212" s="15" t="s">
        <v>65</v>
      </c>
      <c r="D1212" s="52">
        <v>2050</v>
      </c>
      <c r="E1212" s="34">
        <v>1</v>
      </c>
      <c r="F1212" s="38">
        <f t="shared" si="198"/>
        <v>19614.323728512198</v>
      </c>
      <c r="G1212" s="34">
        <f t="shared" si="199"/>
        <v>9</v>
      </c>
      <c r="H1212" s="34">
        <f t="shared" si="200"/>
        <v>3</v>
      </c>
      <c r="I1212" s="34" t="str">
        <f t="shared" si="202"/>
        <v/>
      </c>
      <c r="J1212" s="34" t="str">
        <f t="shared" si="202"/>
        <v/>
      </c>
      <c r="K1212" s="34" t="str">
        <f t="shared" si="202"/>
        <v/>
      </c>
      <c r="L1212" s="34" t="str">
        <f t="shared" si="202"/>
        <v/>
      </c>
      <c r="M1212" s="34" t="str">
        <f t="shared" si="202"/>
        <v/>
      </c>
      <c r="N1212" s="34">
        <f t="shared" si="202"/>
        <v>60</v>
      </c>
      <c r="O1212" s="34">
        <f t="shared" si="202"/>
        <v>72</v>
      </c>
      <c r="P1212" s="34">
        <f t="shared" si="202"/>
        <v>84</v>
      </c>
      <c r="Q1212" s="34">
        <f t="shared" si="202"/>
        <v>96</v>
      </c>
      <c r="R1212" s="34">
        <f t="shared" si="202"/>
        <v>108</v>
      </c>
      <c r="S1212" s="35">
        <f t="shared" si="201"/>
        <v>60</v>
      </c>
    </row>
    <row r="1213" spans="2:19" hidden="1" outlineLevel="1">
      <c r="B1213" s="14" t="s">
        <v>116</v>
      </c>
      <c r="C1213" s="15" t="s">
        <v>65</v>
      </c>
      <c r="D1213" s="52">
        <v>2050</v>
      </c>
      <c r="E1213" s="34">
        <v>2</v>
      </c>
      <c r="F1213" s="38">
        <f t="shared" si="198"/>
        <v>19614.323728512198</v>
      </c>
      <c r="G1213" s="34">
        <f t="shared" si="199"/>
        <v>9</v>
      </c>
      <c r="H1213" s="34">
        <f t="shared" si="200"/>
        <v>3</v>
      </c>
      <c r="I1213" s="34" t="str">
        <f t="shared" si="202"/>
        <v/>
      </c>
      <c r="J1213" s="34" t="str">
        <f t="shared" si="202"/>
        <v/>
      </c>
      <c r="K1213" s="34" t="str">
        <f t="shared" si="202"/>
        <v/>
      </c>
      <c r="L1213" s="34" t="str">
        <f t="shared" si="202"/>
        <v/>
      </c>
      <c r="M1213" s="34" t="str">
        <f t="shared" si="202"/>
        <v/>
      </c>
      <c r="N1213" s="34">
        <f t="shared" si="202"/>
        <v>60</v>
      </c>
      <c r="O1213" s="34">
        <f t="shared" si="202"/>
        <v>71</v>
      </c>
      <c r="P1213" s="34">
        <f t="shared" si="202"/>
        <v>83</v>
      </c>
      <c r="Q1213" s="34">
        <f t="shared" si="202"/>
        <v>95</v>
      </c>
      <c r="R1213" s="34">
        <f t="shared" si="202"/>
        <v>107</v>
      </c>
      <c r="S1213" s="35">
        <f t="shared" si="201"/>
        <v>60</v>
      </c>
    </row>
    <row r="1214" spans="2:19" hidden="1" outlineLevel="1">
      <c r="B1214" s="14" t="s">
        <v>116</v>
      </c>
      <c r="C1214" s="15" t="s">
        <v>65</v>
      </c>
      <c r="D1214" s="52">
        <v>2050</v>
      </c>
      <c r="E1214" s="34">
        <v>3</v>
      </c>
      <c r="F1214" s="38">
        <f t="shared" si="198"/>
        <v>19614.323728512198</v>
      </c>
      <c r="G1214" s="34">
        <f t="shared" si="199"/>
        <v>9</v>
      </c>
      <c r="H1214" s="34">
        <f t="shared" si="200"/>
        <v>3</v>
      </c>
      <c r="I1214" s="34" t="str">
        <f t="shared" si="202"/>
        <v/>
      </c>
      <c r="J1214" s="34" t="str">
        <f t="shared" si="202"/>
        <v/>
      </c>
      <c r="K1214" s="34" t="str">
        <f t="shared" si="202"/>
        <v/>
      </c>
      <c r="L1214" s="34" t="str">
        <f t="shared" si="202"/>
        <v/>
      </c>
      <c r="M1214" s="34" t="str">
        <f t="shared" si="202"/>
        <v/>
      </c>
      <c r="N1214" s="34">
        <f t="shared" si="202"/>
        <v>60</v>
      </c>
      <c r="O1214" s="34">
        <f t="shared" si="202"/>
        <v>70</v>
      </c>
      <c r="P1214" s="34">
        <f t="shared" si="202"/>
        <v>82</v>
      </c>
      <c r="Q1214" s="34">
        <f t="shared" si="202"/>
        <v>94</v>
      </c>
      <c r="R1214" s="34">
        <f t="shared" si="202"/>
        <v>106</v>
      </c>
      <c r="S1214" s="35">
        <f t="shared" si="201"/>
        <v>60</v>
      </c>
    </row>
    <row r="1215" spans="2:19" hidden="1" outlineLevel="1">
      <c r="B1215" s="14" t="s">
        <v>116</v>
      </c>
      <c r="C1215" s="15" t="s">
        <v>65</v>
      </c>
      <c r="D1215" s="52">
        <v>2050</v>
      </c>
      <c r="E1215" s="34">
        <v>4</v>
      </c>
      <c r="F1215" s="38">
        <f t="shared" si="198"/>
        <v>19614.323728512198</v>
      </c>
      <c r="G1215" s="34">
        <f t="shared" si="199"/>
        <v>9</v>
      </c>
      <c r="H1215" s="34">
        <f t="shared" si="200"/>
        <v>3</v>
      </c>
      <c r="I1215" s="34" t="str">
        <f t="shared" si="202"/>
        <v/>
      </c>
      <c r="J1215" s="34" t="str">
        <f t="shared" si="202"/>
        <v/>
      </c>
      <c r="K1215" s="34" t="str">
        <f t="shared" si="202"/>
        <v/>
      </c>
      <c r="L1215" s="34" t="str">
        <f t="shared" si="202"/>
        <v/>
      </c>
      <c r="M1215" s="34" t="str">
        <f t="shared" si="202"/>
        <v/>
      </c>
      <c r="N1215" s="34">
        <f t="shared" si="202"/>
        <v>60</v>
      </c>
      <c r="O1215" s="34">
        <f t="shared" si="202"/>
        <v>69</v>
      </c>
      <c r="P1215" s="34">
        <f t="shared" si="202"/>
        <v>81</v>
      </c>
      <c r="Q1215" s="34">
        <f t="shared" si="202"/>
        <v>93</v>
      </c>
      <c r="R1215" s="34">
        <f t="shared" si="202"/>
        <v>105</v>
      </c>
      <c r="S1215" s="35">
        <f t="shared" si="201"/>
        <v>60</v>
      </c>
    </row>
    <row r="1216" spans="2:19" hidden="1" outlineLevel="1">
      <c r="B1216" s="14" t="s">
        <v>116</v>
      </c>
      <c r="C1216" s="15" t="s">
        <v>65</v>
      </c>
      <c r="D1216" s="52">
        <v>2050</v>
      </c>
      <c r="E1216" s="34">
        <v>5</v>
      </c>
      <c r="F1216" s="38">
        <f t="shared" si="198"/>
        <v>19614.323728512198</v>
      </c>
      <c r="G1216" s="34">
        <f t="shared" si="199"/>
        <v>9</v>
      </c>
      <c r="H1216" s="34">
        <f t="shared" si="200"/>
        <v>3</v>
      </c>
      <c r="I1216" s="34" t="str">
        <f t="shared" si="202"/>
        <v/>
      </c>
      <c r="J1216" s="34" t="str">
        <f t="shared" si="202"/>
        <v/>
      </c>
      <c r="K1216" s="34" t="str">
        <f t="shared" si="202"/>
        <v/>
      </c>
      <c r="L1216" s="34" t="str">
        <f t="shared" si="202"/>
        <v/>
      </c>
      <c r="M1216" s="34" t="str">
        <f t="shared" si="202"/>
        <v/>
      </c>
      <c r="N1216" s="34">
        <f t="shared" si="202"/>
        <v>60</v>
      </c>
      <c r="O1216" s="34">
        <f t="shared" si="202"/>
        <v>68</v>
      </c>
      <c r="P1216" s="34">
        <f t="shared" si="202"/>
        <v>80</v>
      </c>
      <c r="Q1216" s="34">
        <f t="shared" si="202"/>
        <v>92</v>
      </c>
      <c r="R1216" s="34">
        <f t="shared" si="202"/>
        <v>104</v>
      </c>
      <c r="S1216" s="35">
        <f t="shared" si="201"/>
        <v>60</v>
      </c>
    </row>
    <row r="1217" spans="2:19" hidden="1" outlineLevel="1">
      <c r="B1217" s="14" t="s">
        <v>116</v>
      </c>
      <c r="C1217" s="15" t="s">
        <v>65</v>
      </c>
      <c r="D1217" s="52">
        <v>2050</v>
      </c>
      <c r="E1217" s="34">
        <v>6</v>
      </c>
      <c r="F1217" s="38">
        <f t="shared" si="198"/>
        <v>19614.323728512198</v>
      </c>
      <c r="G1217" s="34">
        <f t="shared" si="199"/>
        <v>9</v>
      </c>
      <c r="H1217" s="34">
        <f t="shared" si="200"/>
        <v>3</v>
      </c>
      <c r="I1217" s="34" t="str">
        <f t="shared" si="202"/>
        <v/>
      </c>
      <c r="J1217" s="34" t="str">
        <f t="shared" si="202"/>
        <v/>
      </c>
      <c r="K1217" s="34" t="str">
        <f t="shared" si="202"/>
        <v/>
      </c>
      <c r="L1217" s="34" t="str">
        <f t="shared" si="202"/>
        <v/>
      </c>
      <c r="M1217" s="34" t="str">
        <f t="shared" si="202"/>
        <v/>
      </c>
      <c r="N1217" s="34">
        <f t="shared" si="202"/>
        <v>60</v>
      </c>
      <c r="O1217" s="34">
        <f t="shared" si="202"/>
        <v>67</v>
      </c>
      <c r="P1217" s="34">
        <f t="shared" si="202"/>
        <v>79</v>
      </c>
      <c r="Q1217" s="34">
        <f t="shared" si="202"/>
        <v>91</v>
      </c>
      <c r="R1217" s="34">
        <f t="shared" si="202"/>
        <v>103</v>
      </c>
      <c r="S1217" s="35">
        <f t="shared" si="201"/>
        <v>60</v>
      </c>
    </row>
    <row r="1218" spans="2:19" hidden="1" outlineLevel="1">
      <c r="B1218" s="14" t="s">
        <v>116</v>
      </c>
      <c r="C1218" s="15" t="s">
        <v>65</v>
      </c>
      <c r="D1218" s="52">
        <v>2050</v>
      </c>
      <c r="E1218" s="34">
        <v>7</v>
      </c>
      <c r="F1218" s="38">
        <f t="shared" si="198"/>
        <v>19614.323728512198</v>
      </c>
      <c r="G1218" s="34">
        <f t="shared" si="199"/>
        <v>9</v>
      </c>
      <c r="H1218" s="34">
        <f t="shared" si="200"/>
        <v>3</v>
      </c>
      <c r="I1218" s="34" t="str">
        <f t="shared" si="202"/>
        <v/>
      </c>
      <c r="J1218" s="34" t="str">
        <f t="shared" si="202"/>
        <v/>
      </c>
      <c r="K1218" s="34" t="str">
        <f t="shared" si="202"/>
        <v/>
      </c>
      <c r="L1218" s="34" t="str">
        <f t="shared" si="202"/>
        <v/>
      </c>
      <c r="M1218" s="34" t="str">
        <f t="shared" si="202"/>
        <v/>
      </c>
      <c r="N1218" s="34">
        <f t="shared" si="202"/>
        <v>60</v>
      </c>
      <c r="O1218" s="34">
        <f t="shared" si="202"/>
        <v>66</v>
      </c>
      <c r="P1218" s="34">
        <f t="shared" si="202"/>
        <v>78</v>
      </c>
      <c r="Q1218" s="34">
        <f t="shared" si="202"/>
        <v>90</v>
      </c>
      <c r="R1218" s="34">
        <f t="shared" si="202"/>
        <v>102</v>
      </c>
      <c r="S1218" s="35">
        <f t="shared" si="201"/>
        <v>60</v>
      </c>
    </row>
    <row r="1219" spans="2:19" hidden="1" outlineLevel="1">
      <c r="B1219" s="14" t="s">
        <v>116</v>
      </c>
      <c r="C1219" s="15" t="s">
        <v>65</v>
      </c>
      <c r="D1219" s="52">
        <v>2050</v>
      </c>
      <c r="E1219" s="34">
        <v>8</v>
      </c>
      <c r="F1219" s="38">
        <f t="shared" si="198"/>
        <v>19614.323728512198</v>
      </c>
      <c r="G1219" s="34">
        <f t="shared" si="199"/>
        <v>9</v>
      </c>
      <c r="H1219" s="34">
        <f t="shared" si="200"/>
        <v>3</v>
      </c>
      <c r="I1219" s="34" t="str">
        <f t="shared" si="202"/>
        <v/>
      </c>
      <c r="J1219" s="34" t="str">
        <f t="shared" si="202"/>
        <v/>
      </c>
      <c r="K1219" s="34" t="str">
        <f t="shared" si="202"/>
        <v/>
      </c>
      <c r="L1219" s="34" t="str">
        <f t="shared" si="202"/>
        <v/>
      </c>
      <c r="M1219" s="34" t="str">
        <f t="shared" si="202"/>
        <v/>
      </c>
      <c r="N1219" s="34">
        <f t="shared" si="202"/>
        <v>60</v>
      </c>
      <c r="O1219" s="34">
        <f t="shared" si="202"/>
        <v>65</v>
      </c>
      <c r="P1219" s="34">
        <f t="shared" si="202"/>
        <v>77</v>
      </c>
      <c r="Q1219" s="34">
        <f t="shared" si="202"/>
        <v>89</v>
      </c>
      <c r="R1219" s="34">
        <f t="shared" si="202"/>
        <v>101</v>
      </c>
      <c r="S1219" s="35">
        <f t="shared" si="201"/>
        <v>60</v>
      </c>
    </row>
    <row r="1220" spans="2:19" hidden="1" outlineLevel="1">
      <c r="B1220" s="14" t="s">
        <v>116</v>
      </c>
      <c r="C1220" s="15" t="s">
        <v>65</v>
      </c>
      <c r="D1220" s="52">
        <v>2050</v>
      </c>
      <c r="E1220" s="34">
        <v>9</v>
      </c>
      <c r="F1220" s="38">
        <f t="shared" si="198"/>
        <v>19614.323728512198</v>
      </c>
      <c r="G1220" s="34">
        <f t="shared" si="199"/>
        <v>9</v>
      </c>
      <c r="H1220" s="34">
        <f t="shared" si="200"/>
        <v>3</v>
      </c>
      <c r="I1220" s="34" t="str">
        <f t="shared" ref="I1220:R1229" si="203">IF($D1220&lt;$Z$18,"",IF(MAX($G1220,INDEX($C$65:$F$108,$D1220+I$119-2026,$H1220))&lt;=12*I$119-$E1220+12,MAX($G1220,12*I$119-$E1220+1,INDEX($C$65:$F$108,$D1220+I$119-2026,$H1220)),""))</f>
        <v/>
      </c>
      <c r="J1220" s="34" t="str">
        <f t="shared" si="203"/>
        <v/>
      </c>
      <c r="K1220" s="34" t="str">
        <f t="shared" si="203"/>
        <v/>
      </c>
      <c r="L1220" s="34" t="str">
        <f t="shared" si="203"/>
        <v/>
      </c>
      <c r="M1220" s="34" t="str">
        <f t="shared" si="203"/>
        <v/>
      </c>
      <c r="N1220" s="34">
        <f t="shared" si="203"/>
        <v>60</v>
      </c>
      <c r="O1220" s="34">
        <f t="shared" si="203"/>
        <v>64</v>
      </c>
      <c r="P1220" s="34">
        <f t="shared" si="203"/>
        <v>76</v>
      </c>
      <c r="Q1220" s="34">
        <f t="shared" si="203"/>
        <v>88</v>
      </c>
      <c r="R1220" s="34">
        <f t="shared" si="203"/>
        <v>100</v>
      </c>
      <c r="S1220" s="35">
        <f t="shared" si="201"/>
        <v>60</v>
      </c>
    </row>
    <row r="1221" spans="2:19" hidden="1" outlineLevel="1">
      <c r="B1221" s="14" t="s">
        <v>116</v>
      </c>
      <c r="C1221" s="15" t="s">
        <v>65</v>
      </c>
      <c r="D1221" s="52">
        <v>2050</v>
      </c>
      <c r="E1221" s="34">
        <v>10</v>
      </c>
      <c r="F1221" s="38">
        <f t="shared" si="198"/>
        <v>19614.323728512198</v>
      </c>
      <c r="G1221" s="34">
        <f t="shared" si="199"/>
        <v>9</v>
      </c>
      <c r="H1221" s="34">
        <f t="shared" si="200"/>
        <v>3</v>
      </c>
      <c r="I1221" s="34" t="str">
        <f t="shared" si="203"/>
        <v/>
      </c>
      <c r="J1221" s="34" t="str">
        <f t="shared" si="203"/>
        <v/>
      </c>
      <c r="K1221" s="34" t="str">
        <f t="shared" si="203"/>
        <v/>
      </c>
      <c r="L1221" s="34" t="str">
        <f t="shared" si="203"/>
        <v/>
      </c>
      <c r="M1221" s="34" t="str">
        <f t="shared" si="203"/>
        <v/>
      </c>
      <c r="N1221" s="34">
        <f t="shared" si="203"/>
        <v>60</v>
      </c>
      <c r="O1221" s="34">
        <f t="shared" si="203"/>
        <v>63</v>
      </c>
      <c r="P1221" s="34">
        <f t="shared" si="203"/>
        <v>75</v>
      </c>
      <c r="Q1221" s="34">
        <f t="shared" si="203"/>
        <v>87</v>
      </c>
      <c r="R1221" s="34">
        <f t="shared" si="203"/>
        <v>99</v>
      </c>
      <c r="S1221" s="35">
        <f t="shared" si="201"/>
        <v>60</v>
      </c>
    </row>
    <row r="1222" spans="2:19" hidden="1" outlineLevel="1">
      <c r="B1222" s="14" t="s">
        <v>116</v>
      </c>
      <c r="C1222" s="15" t="s">
        <v>65</v>
      </c>
      <c r="D1222" s="52">
        <v>2050</v>
      </c>
      <c r="E1222" s="34">
        <v>11</v>
      </c>
      <c r="F1222" s="38">
        <f t="shared" si="198"/>
        <v>19614.323728512198</v>
      </c>
      <c r="G1222" s="34">
        <f t="shared" si="199"/>
        <v>9</v>
      </c>
      <c r="H1222" s="34">
        <f t="shared" si="200"/>
        <v>3</v>
      </c>
      <c r="I1222" s="34" t="str">
        <f t="shared" si="203"/>
        <v/>
      </c>
      <c r="J1222" s="34" t="str">
        <f t="shared" si="203"/>
        <v/>
      </c>
      <c r="K1222" s="34" t="str">
        <f t="shared" si="203"/>
        <v/>
      </c>
      <c r="L1222" s="34" t="str">
        <f t="shared" si="203"/>
        <v/>
      </c>
      <c r="M1222" s="34" t="str">
        <f t="shared" si="203"/>
        <v/>
      </c>
      <c r="N1222" s="34">
        <f t="shared" si="203"/>
        <v>60</v>
      </c>
      <c r="O1222" s="34">
        <f t="shared" si="203"/>
        <v>62</v>
      </c>
      <c r="P1222" s="34">
        <f t="shared" si="203"/>
        <v>74</v>
      </c>
      <c r="Q1222" s="34">
        <f t="shared" si="203"/>
        <v>86</v>
      </c>
      <c r="R1222" s="34">
        <f t="shared" si="203"/>
        <v>98</v>
      </c>
      <c r="S1222" s="35">
        <f t="shared" si="201"/>
        <v>60</v>
      </c>
    </row>
    <row r="1223" spans="2:19" hidden="1" outlineLevel="1">
      <c r="B1223" s="14" t="s">
        <v>116</v>
      </c>
      <c r="C1223" s="15" t="s">
        <v>65</v>
      </c>
      <c r="D1223" s="52">
        <v>2050</v>
      </c>
      <c r="E1223" s="34">
        <v>12</v>
      </c>
      <c r="F1223" s="38">
        <f t="shared" si="198"/>
        <v>19614.323728512198</v>
      </c>
      <c r="G1223" s="34">
        <f t="shared" si="199"/>
        <v>9</v>
      </c>
      <c r="H1223" s="34">
        <f t="shared" si="200"/>
        <v>3</v>
      </c>
      <c r="I1223" s="34" t="str">
        <f t="shared" si="203"/>
        <v/>
      </c>
      <c r="J1223" s="34" t="str">
        <f t="shared" si="203"/>
        <v/>
      </c>
      <c r="K1223" s="34" t="str">
        <f t="shared" si="203"/>
        <v/>
      </c>
      <c r="L1223" s="34" t="str">
        <f t="shared" si="203"/>
        <v/>
      </c>
      <c r="M1223" s="34" t="str">
        <f t="shared" si="203"/>
        <v/>
      </c>
      <c r="N1223" s="34">
        <f t="shared" si="203"/>
        <v>60</v>
      </c>
      <c r="O1223" s="34">
        <f t="shared" si="203"/>
        <v>61</v>
      </c>
      <c r="P1223" s="34">
        <f t="shared" si="203"/>
        <v>73</v>
      </c>
      <c r="Q1223" s="34">
        <f t="shared" si="203"/>
        <v>85</v>
      </c>
      <c r="R1223" s="34">
        <f t="shared" si="203"/>
        <v>97</v>
      </c>
      <c r="S1223" s="35">
        <f t="shared" si="201"/>
        <v>60</v>
      </c>
    </row>
    <row r="1224" spans="2:19" hidden="1" outlineLevel="1">
      <c r="B1224" s="14" t="s">
        <v>116</v>
      </c>
      <c r="C1224" s="15" t="s">
        <v>65</v>
      </c>
      <c r="D1224" s="52">
        <v>2051</v>
      </c>
      <c r="E1224" s="34">
        <v>1</v>
      </c>
      <c r="F1224" s="38">
        <f t="shared" si="198"/>
        <v>19628.513295163855</v>
      </c>
      <c r="G1224" s="34">
        <f t="shared" si="199"/>
        <v>9</v>
      </c>
      <c r="H1224" s="34">
        <f t="shared" si="200"/>
        <v>3</v>
      </c>
      <c r="I1224" s="34" t="str">
        <f t="shared" si="203"/>
        <v/>
      </c>
      <c r="J1224" s="34" t="str">
        <f t="shared" si="203"/>
        <v/>
      </c>
      <c r="K1224" s="34" t="str">
        <f t="shared" si="203"/>
        <v/>
      </c>
      <c r="L1224" s="34" t="str">
        <f t="shared" si="203"/>
        <v/>
      </c>
      <c r="M1224" s="34" t="str">
        <f t="shared" si="203"/>
        <v/>
      </c>
      <c r="N1224" s="34">
        <f t="shared" si="203"/>
        <v>60</v>
      </c>
      <c r="O1224" s="34">
        <f t="shared" si="203"/>
        <v>72</v>
      </c>
      <c r="P1224" s="34">
        <f t="shared" si="203"/>
        <v>84</v>
      </c>
      <c r="Q1224" s="34">
        <f t="shared" si="203"/>
        <v>96</v>
      </c>
      <c r="R1224" s="34">
        <f t="shared" si="203"/>
        <v>108</v>
      </c>
      <c r="S1224" s="35">
        <f t="shared" si="201"/>
        <v>60</v>
      </c>
    </row>
    <row r="1225" spans="2:19" hidden="1" outlineLevel="1">
      <c r="B1225" s="14" t="s">
        <v>116</v>
      </c>
      <c r="C1225" s="15" t="s">
        <v>65</v>
      </c>
      <c r="D1225" s="52">
        <v>2051</v>
      </c>
      <c r="E1225" s="34">
        <v>2</v>
      </c>
      <c r="F1225" s="38">
        <f t="shared" si="198"/>
        <v>19628.513295163855</v>
      </c>
      <c r="G1225" s="34">
        <f t="shared" si="199"/>
        <v>9</v>
      </c>
      <c r="H1225" s="34">
        <f t="shared" si="200"/>
        <v>3</v>
      </c>
      <c r="I1225" s="34" t="str">
        <f t="shared" si="203"/>
        <v/>
      </c>
      <c r="J1225" s="34" t="str">
        <f t="shared" si="203"/>
        <v/>
      </c>
      <c r="K1225" s="34" t="str">
        <f t="shared" si="203"/>
        <v/>
      </c>
      <c r="L1225" s="34" t="str">
        <f t="shared" si="203"/>
        <v/>
      </c>
      <c r="M1225" s="34" t="str">
        <f t="shared" si="203"/>
        <v/>
      </c>
      <c r="N1225" s="34">
        <f t="shared" si="203"/>
        <v>60</v>
      </c>
      <c r="O1225" s="34">
        <f t="shared" si="203"/>
        <v>71</v>
      </c>
      <c r="P1225" s="34">
        <f t="shared" si="203"/>
        <v>83</v>
      </c>
      <c r="Q1225" s="34">
        <f t="shared" si="203"/>
        <v>95</v>
      </c>
      <c r="R1225" s="34">
        <f t="shared" si="203"/>
        <v>107</v>
      </c>
      <c r="S1225" s="35">
        <f t="shared" si="201"/>
        <v>60</v>
      </c>
    </row>
    <row r="1226" spans="2:19" hidden="1" outlineLevel="1">
      <c r="B1226" s="14" t="s">
        <v>116</v>
      </c>
      <c r="C1226" s="15" t="s">
        <v>65</v>
      </c>
      <c r="D1226" s="52">
        <v>2051</v>
      </c>
      <c r="E1226" s="34">
        <v>3</v>
      </c>
      <c r="F1226" s="38">
        <f t="shared" si="198"/>
        <v>19628.513295163855</v>
      </c>
      <c r="G1226" s="34">
        <f t="shared" si="199"/>
        <v>9</v>
      </c>
      <c r="H1226" s="34">
        <f t="shared" si="200"/>
        <v>3</v>
      </c>
      <c r="I1226" s="34" t="str">
        <f t="shared" si="203"/>
        <v/>
      </c>
      <c r="J1226" s="34" t="str">
        <f t="shared" si="203"/>
        <v/>
      </c>
      <c r="K1226" s="34" t="str">
        <f t="shared" si="203"/>
        <v/>
      </c>
      <c r="L1226" s="34" t="str">
        <f t="shared" si="203"/>
        <v/>
      </c>
      <c r="M1226" s="34" t="str">
        <f t="shared" si="203"/>
        <v/>
      </c>
      <c r="N1226" s="34">
        <f t="shared" si="203"/>
        <v>60</v>
      </c>
      <c r="O1226" s="34">
        <f t="shared" si="203"/>
        <v>70</v>
      </c>
      <c r="P1226" s="34">
        <f t="shared" si="203"/>
        <v>82</v>
      </c>
      <c r="Q1226" s="34">
        <f t="shared" si="203"/>
        <v>94</v>
      </c>
      <c r="R1226" s="34">
        <f t="shared" si="203"/>
        <v>106</v>
      </c>
      <c r="S1226" s="35">
        <f t="shared" si="201"/>
        <v>60</v>
      </c>
    </row>
    <row r="1227" spans="2:19" hidden="1" outlineLevel="1">
      <c r="B1227" s="14" t="s">
        <v>116</v>
      </c>
      <c r="C1227" s="15" t="s">
        <v>65</v>
      </c>
      <c r="D1227" s="52">
        <v>2051</v>
      </c>
      <c r="E1227" s="34">
        <v>4</v>
      </c>
      <c r="F1227" s="38">
        <f t="shared" si="198"/>
        <v>19628.513295163855</v>
      </c>
      <c r="G1227" s="34">
        <f t="shared" si="199"/>
        <v>9</v>
      </c>
      <c r="H1227" s="34">
        <f t="shared" si="200"/>
        <v>3</v>
      </c>
      <c r="I1227" s="34" t="str">
        <f t="shared" si="203"/>
        <v/>
      </c>
      <c r="J1227" s="34" t="str">
        <f t="shared" si="203"/>
        <v/>
      </c>
      <c r="K1227" s="34" t="str">
        <f t="shared" si="203"/>
        <v/>
      </c>
      <c r="L1227" s="34" t="str">
        <f t="shared" si="203"/>
        <v/>
      </c>
      <c r="M1227" s="34" t="str">
        <f t="shared" si="203"/>
        <v/>
      </c>
      <c r="N1227" s="34">
        <f t="shared" si="203"/>
        <v>60</v>
      </c>
      <c r="O1227" s="34">
        <f t="shared" si="203"/>
        <v>69</v>
      </c>
      <c r="P1227" s="34">
        <f t="shared" si="203"/>
        <v>81</v>
      </c>
      <c r="Q1227" s="34">
        <f t="shared" si="203"/>
        <v>93</v>
      </c>
      <c r="R1227" s="34">
        <f t="shared" si="203"/>
        <v>105</v>
      </c>
      <c r="S1227" s="35">
        <f t="shared" si="201"/>
        <v>60</v>
      </c>
    </row>
    <row r="1228" spans="2:19" hidden="1" outlineLevel="1">
      <c r="B1228" s="14" t="s">
        <v>116</v>
      </c>
      <c r="C1228" s="15" t="s">
        <v>65</v>
      </c>
      <c r="D1228" s="52">
        <v>2051</v>
      </c>
      <c r="E1228" s="34">
        <v>5</v>
      </c>
      <c r="F1228" s="38">
        <f t="shared" si="198"/>
        <v>19628.513295163855</v>
      </c>
      <c r="G1228" s="34">
        <f t="shared" si="199"/>
        <v>9</v>
      </c>
      <c r="H1228" s="34">
        <f t="shared" si="200"/>
        <v>3</v>
      </c>
      <c r="I1228" s="34" t="str">
        <f t="shared" si="203"/>
        <v/>
      </c>
      <c r="J1228" s="34" t="str">
        <f t="shared" si="203"/>
        <v/>
      </c>
      <c r="K1228" s="34" t="str">
        <f t="shared" si="203"/>
        <v/>
      </c>
      <c r="L1228" s="34" t="str">
        <f t="shared" si="203"/>
        <v/>
      </c>
      <c r="M1228" s="34" t="str">
        <f t="shared" si="203"/>
        <v/>
      </c>
      <c r="N1228" s="34">
        <f t="shared" si="203"/>
        <v>60</v>
      </c>
      <c r="O1228" s="34">
        <f t="shared" si="203"/>
        <v>68</v>
      </c>
      <c r="P1228" s="34">
        <f t="shared" si="203"/>
        <v>80</v>
      </c>
      <c r="Q1228" s="34">
        <f t="shared" si="203"/>
        <v>92</v>
      </c>
      <c r="R1228" s="34">
        <f t="shared" si="203"/>
        <v>104</v>
      </c>
      <c r="S1228" s="35">
        <f t="shared" si="201"/>
        <v>60</v>
      </c>
    </row>
    <row r="1229" spans="2:19" hidden="1" outlineLevel="1">
      <c r="B1229" s="14" t="s">
        <v>116</v>
      </c>
      <c r="C1229" s="15" t="s">
        <v>65</v>
      </c>
      <c r="D1229" s="52">
        <v>2051</v>
      </c>
      <c r="E1229" s="34">
        <v>6</v>
      </c>
      <c r="F1229" s="38">
        <f t="shared" si="198"/>
        <v>19628.513295163855</v>
      </c>
      <c r="G1229" s="34">
        <f t="shared" si="199"/>
        <v>9</v>
      </c>
      <c r="H1229" s="34">
        <f t="shared" si="200"/>
        <v>3</v>
      </c>
      <c r="I1229" s="34" t="str">
        <f t="shared" si="203"/>
        <v/>
      </c>
      <c r="J1229" s="34" t="str">
        <f t="shared" si="203"/>
        <v/>
      </c>
      <c r="K1229" s="34" t="str">
        <f t="shared" si="203"/>
        <v/>
      </c>
      <c r="L1229" s="34" t="str">
        <f t="shared" si="203"/>
        <v/>
      </c>
      <c r="M1229" s="34" t="str">
        <f t="shared" si="203"/>
        <v/>
      </c>
      <c r="N1229" s="34">
        <f t="shared" si="203"/>
        <v>60</v>
      </c>
      <c r="O1229" s="34">
        <f t="shared" si="203"/>
        <v>67</v>
      </c>
      <c r="P1229" s="34">
        <f t="shared" si="203"/>
        <v>79</v>
      </c>
      <c r="Q1229" s="34">
        <f t="shared" si="203"/>
        <v>91</v>
      </c>
      <c r="R1229" s="34">
        <f t="shared" si="203"/>
        <v>103</v>
      </c>
      <c r="S1229" s="35">
        <f t="shared" si="201"/>
        <v>60</v>
      </c>
    </row>
    <row r="1230" spans="2:19" hidden="1" outlineLevel="1">
      <c r="B1230" s="14" t="s">
        <v>116</v>
      </c>
      <c r="C1230" s="15" t="s">
        <v>65</v>
      </c>
      <c r="D1230" s="52">
        <v>2051</v>
      </c>
      <c r="E1230" s="34">
        <v>7</v>
      </c>
      <c r="F1230" s="38">
        <f t="shared" si="198"/>
        <v>19628.513295163855</v>
      </c>
      <c r="G1230" s="34">
        <f t="shared" si="199"/>
        <v>9</v>
      </c>
      <c r="H1230" s="34">
        <f t="shared" si="200"/>
        <v>3</v>
      </c>
      <c r="I1230" s="34" t="str">
        <f t="shared" ref="I1230:R1239" si="204">IF($D1230&lt;$Z$18,"",IF(MAX($G1230,INDEX($C$65:$F$108,$D1230+I$119-2026,$H1230))&lt;=12*I$119-$E1230+12,MAX($G1230,12*I$119-$E1230+1,INDEX($C$65:$F$108,$D1230+I$119-2026,$H1230)),""))</f>
        <v/>
      </c>
      <c r="J1230" s="34" t="str">
        <f t="shared" si="204"/>
        <v/>
      </c>
      <c r="K1230" s="34" t="str">
        <f t="shared" si="204"/>
        <v/>
      </c>
      <c r="L1230" s="34" t="str">
        <f t="shared" si="204"/>
        <v/>
      </c>
      <c r="M1230" s="34" t="str">
        <f t="shared" si="204"/>
        <v/>
      </c>
      <c r="N1230" s="34">
        <f t="shared" si="204"/>
        <v>60</v>
      </c>
      <c r="O1230" s="34">
        <f t="shared" si="204"/>
        <v>66</v>
      </c>
      <c r="P1230" s="34">
        <f t="shared" si="204"/>
        <v>78</v>
      </c>
      <c r="Q1230" s="34">
        <f t="shared" si="204"/>
        <v>90</v>
      </c>
      <c r="R1230" s="34">
        <f t="shared" si="204"/>
        <v>102</v>
      </c>
      <c r="S1230" s="35">
        <f t="shared" si="201"/>
        <v>60</v>
      </c>
    </row>
    <row r="1231" spans="2:19" hidden="1" outlineLevel="1">
      <c r="B1231" s="14" t="s">
        <v>116</v>
      </c>
      <c r="C1231" s="15" t="s">
        <v>65</v>
      </c>
      <c r="D1231" s="52">
        <v>2051</v>
      </c>
      <c r="E1231" s="34">
        <v>8</v>
      </c>
      <c r="F1231" s="38">
        <f t="shared" si="198"/>
        <v>19628.513295163855</v>
      </c>
      <c r="G1231" s="34">
        <f t="shared" si="199"/>
        <v>9</v>
      </c>
      <c r="H1231" s="34">
        <f t="shared" si="200"/>
        <v>3</v>
      </c>
      <c r="I1231" s="34" t="str">
        <f t="shared" si="204"/>
        <v/>
      </c>
      <c r="J1231" s="34" t="str">
        <f t="shared" si="204"/>
        <v/>
      </c>
      <c r="K1231" s="34" t="str">
        <f t="shared" si="204"/>
        <v/>
      </c>
      <c r="L1231" s="34" t="str">
        <f t="shared" si="204"/>
        <v/>
      </c>
      <c r="M1231" s="34" t="str">
        <f t="shared" si="204"/>
        <v/>
      </c>
      <c r="N1231" s="34">
        <f t="shared" si="204"/>
        <v>60</v>
      </c>
      <c r="O1231" s="34">
        <f t="shared" si="204"/>
        <v>65</v>
      </c>
      <c r="P1231" s="34">
        <f t="shared" si="204"/>
        <v>77</v>
      </c>
      <c r="Q1231" s="34">
        <f t="shared" si="204"/>
        <v>89</v>
      </c>
      <c r="R1231" s="34">
        <f t="shared" si="204"/>
        <v>101</v>
      </c>
      <c r="S1231" s="35">
        <f t="shared" si="201"/>
        <v>60</v>
      </c>
    </row>
    <row r="1232" spans="2:19" hidden="1" outlineLevel="1">
      <c r="B1232" s="14" t="s">
        <v>116</v>
      </c>
      <c r="C1232" s="15" t="s">
        <v>65</v>
      </c>
      <c r="D1232" s="52">
        <v>2051</v>
      </c>
      <c r="E1232" s="34">
        <v>9</v>
      </c>
      <c r="F1232" s="38">
        <f t="shared" si="198"/>
        <v>19628.513295163855</v>
      </c>
      <c r="G1232" s="34">
        <f t="shared" si="199"/>
        <v>9</v>
      </c>
      <c r="H1232" s="34">
        <f t="shared" si="200"/>
        <v>3</v>
      </c>
      <c r="I1232" s="34" t="str">
        <f t="shared" si="204"/>
        <v/>
      </c>
      <c r="J1232" s="34" t="str">
        <f t="shared" si="204"/>
        <v/>
      </c>
      <c r="K1232" s="34" t="str">
        <f t="shared" si="204"/>
        <v/>
      </c>
      <c r="L1232" s="34" t="str">
        <f t="shared" si="204"/>
        <v/>
      </c>
      <c r="M1232" s="34" t="str">
        <f t="shared" si="204"/>
        <v/>
      </c>
      <c r="N1232" s="34">
        <f t="shared" si="204"/>
        <v>60</v>
      </c>
      <c r="O1232" s="34">
        <f t="shared" si="204"/>
        <v>64</v>
      </c>
      <c r="P1232" s="34">
        <f t="shared" si="204"/>
        <v>76</v>
      </c>
      <c r="Q1232" s="34">
        <f t="shared" si="204"/>
        <v>88</v>
      </c>
      <c r="R1232" s="34">
        <f t="shared" si="204"/>
        <v>100</v>
      </c>
      <c r="S1232" s="35">
        <f t="shared" si="201"/>
        <v>60</v>
      </c>
    </row>
    <row r="1233" spans="2:19" hidden="1" outlineLevel="1">
      <c r="B1233" s="14" t="s">
        <v>116</v>
      </c>
      <c r="C1233" s="15" t="s">
        <v>65</v>
      </c>
      <c r="D1233" s="52">
        <v>2051</v>
      </c>
      <c r="E1233" s="34">
        <v>10</v>
      </c>
      <c r="F1233" s="38">
        <f t="shared" si="198"/>
        <v>19628.513295163855</v>
      </c>
      <c r="G1233" s="34">
        <f t="shared" si="199"/>
        <v>9</v>
      </c>
      <c r="H1233" s="34">
        <f t="shared" si="200"/>
        <v>3</v>
      </c>
      <c r="I1233" s="34" t="str">
        <f t="shared" si="204"/>
        <v/>
      </c>
      <c r="J1233" s="34" t="str">
        <f t="shared" si="204"/>
        <v/>
      </c>
      <c r="K1233" s="34" t="str">
        <f t="shared" si="204"/>
        <v/>
      </c>
      <c r="L1233" s="34" t="str">
        <f t="shared" si="204"/>
        <v/>
      </c>
      <c r="M1233" s="34" t="str">
        <f t="shared" si="204"/>
        <v/>
      </c>
      <c r="N1233" s="34">
        <f t="shared" si="204"/>
        <v>60</v>
      </c>
      <c r="O1233" s="34">
        <f t="shared" si="204"/>
        <v>63</v>
      </c>
      <c r="P1233" s="34">
        <f t="shared" si="204"/>
        <v>75</v>
      </c>
      <c r="Q1233" s="34">
        <f t="shared" si="204"/>
        <v>87</v>
      </c>
      <c r="R1233" s="34">
        <f t="shared" si="204"/>
        <v>99</v>
      </c>
      <c r="S1233" s="35">
        <f t="shared" si="201"/>
        <v>60</v>
      </c>
    </row>
    <row r="1234" spans="2:19" hidden="1" outlineLevel="1">
      <c r="B1234" s="14" t="s">
        <v>116</v>
      </c>
      <c r="C1234" s="15" t="s">
        <v>65</v>
      </c>
      <c r="D1234" s="52">
        <v>2051</v>
      </c>
      <c r="E1234" s="34">
        <v>11</v>
      </c>
      <c r="F1234" s="38">
        <f t="shared" si="198"/>
        <v>19628.513295163855</v>
      </c>
      <c r="G1234" s="34">
        <f t="shared" si="199"/>
        <v>9</v>
      </c>
      <c r="H1234" s="34">
        <f t="shared" si="200"/>
        <v>3</v>
      </c>
      <c r="I1234" s="34" t="str">
        <f t="shared" si="204"/>
        <v/>
      </c>
      <c r="J1234" s="34" t="str">
        <f t="shared" si="204"/>
        <v/>
      </c>
      <c r="K1234" s="34" t="str">
        <f t="shared" si="204"/>
        <v/>
      </c>
      <c r="L1234" s="34" t="str">
        <f t="shared" si="204"/>
        <v/>
      </c>
      <c r="M1234" s="34" t="str">
        <f t="shared" si="204"/>
        <v/>
      </c>
      <c r="N1234" s="34">
        <f t="shared" si="204"/>
        <v>60</v>
      </c>
      <c r="O1234" s="34">
        <f t="shared" si="204"/>
        <v>62</v>
      </c>
      <c r="P1234" s="34">
        <f t="shared" si="204"/>
        <v>74</v>
      </c>
      <c r="Q1234" s="34">
        <f t="shared" si="204"/>
        <v>86</v>
      </c>
      <c r="R1234" s="34">
        <f t="shared" si="204"/>
        <v>98</v>
      </c>
      <c r="S1234" s="35">
        <f t="shared" si="201"/>
        <v>60</v>
      </c>
    </row>
    <row r="1235" spans="2:19" hidden="1" outlineLevel="1">
      <c r="B1235" s="14" t="s">
        <v>116</v>
      </c>
      <c r="C1235" s="15" t="s">
        <v>65</v>
      </c>
      <c r="D1235" s="52">
        <v>2051</v>
      </c>
      <c r="E1235" s="34">
        <v>12</v>
      </c>
      <c r="F1235" s="38">
        <f t="shared" si="198"/>
        <v>19628.513295163855</v>
      </c>
      <c r="G1235" s="34">
        <f t="shared" si="199"/>
        <v>9</v>
      </c>
      <c r="H1235" s="34">
        <f t="shared" si="200"/>
        <v>3</v>
      </c>
      <c r="I1235" s="34" t="str">
        <f t="shared" si="204"/>
        <v/>
      </c>
      <c r="J1235" s="34" t="str">
        <f t="shared" si="204"/>
        <v/>
      </c>
      <c r="K1235" s="34" t="str">
        <f t="shared" si="204"/>
        <v/>
      </c>
      <c r="L1235" s="34" t="str">
        <f t="shared" si="204"/>
        <v/>
      </c>
      <c r="M1235" s="34" t="str">
        <f t="shared" si="204"/>
        <v/>
      </c>
      <c r="N1235" s="34">
        <f t="shared" si="204"/>
        <v>60</v>
      </c>
      <c r="O1235" s="34">
        <f t="shared" si="204"/>
        <v>61</v>
      </c>
      <c r="P1235" s="34">
        <f t="shared" si="204"/>
        <v>73</v>
      </c>
      <c r="Q1235" s="34">
        <f t="shared" si="204"/>
        <v>85</v>
      </c>
      <c r="R1235" s="34">
        <f t="shared" si="204"/>
        <v>97</v>
      </c>
      <c r="S1235" s="35">
        <f t="shared" si="201"/>
        <v>60</v>
      </c>
    </row>
    <row r="1236" spans="2:19" hidden="1" outlineLevel="1">
      <c r="B1236" s="14" t="s">
        <v>116</v>
      </c>
      <c r="C1236" s="15" t="s">
        <v>65</v>
      </c>
      <c r="D1236" s="52">
        <v>2052</v>
      </c>
      <c r="E1236" s="34">
        <v>1</v>
      </c>
      <c r="F1236" s="38">
        <f t="shared" si="198"/>
        <v>19739.38830086208</v>
      </c>
      <c r="G1236" s="34">
        <f t="shared" si="199"/>
        <v>9</v>
      </c>
      <c r="H1236" s="34">
        <f t="shared" si="200"/>
        <v>3</v>
      </c>
      <c r="I1236" s="34" t="str">
        <f t="shared" si="204"/>
        <v/>
      </c>
      <c r="J1236" s="34" t="str">
        <f t="shared" si="204"/>
        <v/>
      </c>
      <c r="K1236" s="34" t="str">
        <f t="shared" si="204"/>
        <v/>
      </c>
      <c r="L1236" s="34" t="str">
        <f t="shared" si="204"/>
        <v/>
      </c>
      <c r="M1236" s="34" t="str">
        <f t="shared" si="204"/>
        <v/>
      </c>
      <c r="N1236" s="34">
        <f t="shared" si="204"/>
        <v>60</v>
      </c>
      <c r="O1236" s="34">
        <f t="shared" si="204"/>
        <v>72</v>
      </c>
      <c r="P1236" s="34">
        <f t="shared" si="204"/>
        <v>84</v>
      </c>
      <c r="Q1236" s="34">
        <f t="shared" si="204"/>
        <v>96</v>
      </c>
      <c r="R1236" s="34">
        <f t="shared" si="204"/>
        <v>108</v>
      </c>
      <c r="S1236" s="35">
        <f t="shared" si="201"/>
        <v>60</v>
      </c>
    </row>
    <row r="1237" spans="2:19" hidden="1" outlineLevel="1">
      <c r="B1237" s="14" t="s">
        <v>116</v>
      </c>
      <c r="C1237" s="15" t="s">
        <v>65</v>
      </c>
      <c r="D1237" s="52">
        <v>2052</v>
      </c>
      <c r="E1237" s="34">
        <v>2</v>
      </c>
      <c r="F1237" s="38">
        <f t="shared" si="198"/>
        <v>19739.38830086208</v>
      </c>
      <c r="G1237" s="34">
        <f t="shared" si="199"/>
        <v>9</v>
      </c>
      <c r="H1237" s="34">
        <f t="shared" si="200"/>
        <v>3</v>
      </c>
      <c r="I1237" s="34" t="str">
        <f t="shared" si="204"/>
        <v/>
      </c>
      <c r="J1237" s="34" t="str">
        <f t="shared" si="204"/>
        <v/>
      </c>
      <c r="K1237" s="34" t="str">
        <f t="shared" si="204"/>
        <v/>
      </c>
      <c r="L1237" s="34" t="str">
        <f t="shared" si="204"/>
        <v/>
      </c>
      <c r="M1237" s="34" t="str">
        <f t="shared" si="204"/>
        <v/>
      </c>
      <c r="N1237" s="34">
        <f t="shared" si="204"/>
        <v>60</v>
      </c>
      <c r="O1237" s="34">
        <f t="shared" si="204"/>
        <v>71</v>
      </c>
      <c r="P1237" s="34">
        <f t="shared" si="204"/>
        <v>83</v>
      </c>
      <c r="Q1237" s="34">
        <f t="shared" si="204"/>
        <v>95</v>
      </c>
      <c r="R1237" s="34">
        <f t="shared" si="204"/>
        <v>107</v>
      </c>
      <c r="S1237" s="35">
        <f t="shared" si="201"/>
        <v>60</v>
      </c>
    </row>
    <row r="1238" spans="2:19" hidden="1" outlineLevel="1">
      <c r="B1238" s="14" t="s">
        <v>116</v>
      </c>
      <c r="C1238" s="15" t="s">
        <v>65</v>
      </c>
      <c r="D1238" s="52">
        <v>2052</v>
      </c>
      <c r="E1238" s="34">
        <v>3</v>
      </c>
      <c r="F1238" s="38">
        <f t="shared" si="198"/>
        <v>19739.38830086208</v>
      </c>
      <c r="G1238" s="34">
        <f t="shared" si="199"/>
        <v>9</v>
      </c>
      <c r="H1238" s="34">
        <f t="shared" si="200"/>
        <v>3</v>
      </c>
      <c r="I1238" s="34" t="str">
        <f t="shared" si="204"/>
        <v/>
      </c>
      <c r="J1238" s="34" t="str">
        <f t="shared" si="204"/>
        <v/>
      </c>
      <c r="K1238" s="34" t="str">
        <f t="shared" si="204"/>
        <v/>
      </c>
      <c r="L1238" s="34" t="str">
        <f t="shared" si="204"/>
        <v/>
      </c>
      <c r="M1238" s="34" t="str">
        <f t="shared" si="204"/>
        <v/>
      </c>
      <c r="N1238" s="34">
        <f t="shared" si="204"/>
        <v>60</v>
      </c>
      <c r="O1238" s="34">
        <f t="shared" si="204"/>
        <v>70</v>
      </c>
      <c r="P1238" s="34">
        <f t="shared" si="204"/>
        <v>82</v>
      </c>
      <c r="Q1238" s="34">
        <f t="shared" si="204"/>
        <v>94</v>
      </c>
      <c r="R1238" s="34">
        <f t="shared" si="204"/>
        <v>106</v>
      </c>
      <c r="S1238" s="35">
        <f t="shared" si="201"/>
        <v>60</v>
      </c>
    </row>
    <row r="1239" spans="2:19" hidden="1" outlineLevel="1">
      <c r="B1239" s="14" t="s">
        <v>116</v>
      </c>
      <c r="C1239" s="15" t="s">
        <v>65</v>
      </c>
      <c r="D1239" s="52">
        <v>2052</v>
      </c>
      <c r="E1239" s="34">
        <v>4</v>
      </c>
      <c r="F1239" s="38">
        <f t="shared" si="198"/>
        <v>19739.38830086208</v>
      </c>
      <c r="G1239" s="34">
        <f t="shared" si="199"/>
        <v>9</v>
      </c>
      <c r="H1239" s="34">
        <f t="shared" si="200"/>
        <v>3</v>
      </c>
      <c r="I1239" s="34" t="str">
        <f t="shared" si="204"/>
        <v/>
      </c>
      <c r="J1239" s="34" t="str">
        <f t="shared" si="204"/>
        <v/>
      </c>
      <c r="K1239" s="34" t="str">
        <f t="shared" si="204"/>
        <v/>
      </c>
      <c r="L1239" s="34" t="str">
        <f t="shared" si="204"/>
        <v/>
      </c>
      <c r="M1239" s="34" t="str">
        <f t="shared" si="204"/>
        <v/>
      </c>
      <c r="N1239" s="34">
        <f t="shared" si="204"/>
        <v>60</v>
      </c>
      <c r="O1239" s="34">
        <f t="shared" si="204"/>
        <v>69</v>
      </c>
      <c r="P1239" s="34">
        <f t="shared" si="204"/>
        <v>81</v>
      </c>
      <c r="Q1239" s="34">
        <f t="shared" si="204"/>
        <v>93</v>
      </c>
      <c r="R1239" s="34">
        <f t="shared" si="204"/>
        <v>105</v>
      </c>
      <c r="S1239" s="35">
        <f t="shared" si="201"/>
        <v>60</v>
      </c>
    </row>
    <row r="1240" spans="2:19" hidden="1" outlineLevel="1">
      <c r="B1240" s="14" t="s">
        <v>116</v>
      </c>
      <c r="C1240" s="15" t="s">
        <v>65</v>
      </c>
      <c r="D1240" s="52">
        <v>2052</v>
      </c>
      <c r="E1240" s="34">
        <v>5</v>
      </c>
      <c r="F1240" s="38">
        <f t="shared" si="198"/>
        <v>19739.38830086208</v>
      </c>
      <c r="G1240" s="34">
        <f t="shared" si="199"/>
        <v>9</v>
      </c>
      <c r="H1240" s="34">
        <f t="shared" si="200"/>
        <v>3</v>
      </c>
      <c r="I1240" s="34" t="str">
        <f t="shared" ref="I1240:R1249" si="205">IF($D1240&lt;$Z$18,"",IF(MAX($G1240,INDEX($C$65:$F$108,$D1240+I$119-2026,$H1240))&lt;=12*I$119-$E1240+12,MAX($G1240,12*I$119-$E1240+1,INDEX($C$65:$F$108,$D1240+I$119-2026,$H1240)),""))</f>
        <v/>
      </c>
      <c r="J1240" s="34" t="str">
        <f t="shared" si="205"/>
        <v/>
      </c>
      <c r="K1240" s="34" t="str">
        <f t="shared" si="205"/>
        <v/>
      </c>
      <c r="L1240" s="34" t="str">
        <f t="shared" si="205"/>
        <v/>
      </c>
      <c r="M1240" s="34" t="str">
        <f t="shared" si="205"/>
        <v/>
      </c>
      <c r="N1240" s="34">
        <f t="shared" si="205"/>
        <v>60</v>
      </c>
      <c r="O1240" s="34">
        <f t="shared" si="205"/>
        <v>68</v>
      </c>
      <c r="P1240" s="34">
        <f t="shared" si="205"/>
        <v>80</v>
      </c>
      <c r="Q1240" s="34">
        <f t="shared" si="205"/>
        <v>92</v>
      </c>
      <c r="R1240" s="34">
        <f t="shared" si="205"/>
        <v>104</v>
      </c>
      <c r="S1240" s="35">
        <f t="shared" si="201"/>
        <v>60</v>
      </c>
    </row>
    <row r="1241" spans="2:19" hidden="1" outlineLevel="1">
      <c r="B1241" s="14" t="s">
        <v>116</v>
      </c>
      <c r="C1241" s="15" t="s">
        <v>65</v>
      </c>
      <c r="D1241" s="52">
        <v>2052</v>
      </c>
      <c r="E1241" s="34">
        <v>6</v>
      </c>
      <c r="F1241" s="38">
        <f t="shared" si="198"/>
        <v>19739.38830086208</v>
      </c>
      <c r="G1241" s="34">
        <f t="shared" si="199"/>
        <v>9</v>
      </c>
      <c r="H1241" s="34">
        <f t="shared" si="200"/>
        <v>3</v>
      </c>
      <c r="I1241" s="34" t="str">
        <f t="shared" si="205"/>
        <v/>
      </c>
      <c r="J1241" s="34" t="str">
        <f t="shared" si="205"/>
        <v/>
      </c>
      <c r="K1241" s="34" t="str">
        <f t="shared" si="205"/>
        <v/>
      </c>
      <c r="L1241" s="34" t="str">
        <f t="shared" si="205"/>
        <v/>
      </c>
      <c r="M1241" s="34" t="str">
        <f t="shared" si="205"/>
        <v/>
      </c>
      <c r="N1241" s="34">
        <f t="shared" si="205"/>
        <v>60</v>
      </c>
      <c r="O1241" s="34">
        <f t="shared" si="205"/>
        <v>67</v>
      </c>
      <c r="P1241" s="34">
        <f t="shared" si="205"/>
        <v>79</v>
      </c>
      <c r="Q1241" s="34">
        <f t="shared" si="205"/>
        <v>91</v>
      </c>
      <c r="R1241" s="34">
        <f t="shared" si="205"/>
        <v>103</v>
      </c>
      <c r="S1241" s="35">
        <f t="shared" si="201"/>
        <v>60</v>
      </c>
    </row>
    <row r="1242" spans="2:19" hidden="1" outlineLevel="1">
      <c r="B1242" s="14" t="s">
        <v>116</v>
      </c>
      <c r="C1242" s="15" t="s">
        <v>65</v>
      </c>
      <c r="D1242" s="52">
        <v>2052</v>
      </c>
      <c r="E1242" s="34">
        <v>7</v>
      </c>
      <c r="F1242" s="38">
        <f t="shared" si="198"/>
        <v>19739.38830086208</v>
      </c>
      <c r="G1242" s="34">
        <f t="shared" si="199"/>
        <v>9</v>
      </c>
      <c r="H1242" s="34">
        <f t="shared" si="200"/>
        <v>3</v>
      </c>
      <c r="I1242" s="34" t="str">
        <f t="shared" si="205"/>
        <v/>
      </c>
      <c r="J1242" s="34" t="str">
        <f t="shared" si="205"/>
        <v/>
      </c>
      <c r="K1242" s="34" t="str">
        <f t="shared" si="205"/>
        <v/>
      </c>
      <c r="L1242" s="34" t="str">
        <f t="shared" si="205"/>
        <v/>
      </c>
      <c r="M1242" s="34" t="str">
        <f t="shared" si="205"/>
        <v/>
      </c>
      <c r="N1242" s="34">
        <f t="shared" si="205"/>
        <v>60</v>
      </c>
      <c r="O1242" s="34">
        <f t="shared" si="205"/>
        <v>66</v>
      </c>
      <c r="P1242" s="34">
        <f t="shared" si="205"/>
        <v>78</v>
      </c>
      <c r="Q1242" s="34">
        <f t="shared" si="205"/>
        <v>90</v>
      </c>
      <c r="R1242" s="34">
        <f t="shared" si="205"/>
        <v>102</v>
      </c>
      <c r="S1242" s="35">
        <f t="shared" si="201"/>
        <v>60</v>
      </c>
    </row>
    <row r="1243" spans="2:19" hidden="1" outlineLevel="1">
      <c r="B1243" s="14" t="s">
        <v>116</v>
      </c>
      <c r="C1243" s="15" t="s">
        <v>65</v>
      </c>
      <c r="D1243" s="52">
        <v>2052</v>
      </c>
      <c r="E1243" s="34">
        <v>8</v>
      </c>
      <c r="F1243" s="38">
        <f t="shared" si="198"/>
        <v>19739.38830086208</v>
      </c>
      <c r="G1243" s="34">
        <f t="shared" si="199"/>
        <v>9</v>
      </c>
      <c r="H1243" s="34">
        <f t="shared" si="200"/>
        <v>3</v>
      </c>
      <c r="I1243" s="34" t="str">
        <f t="shared" si="205"/>
        <v/>
      </c>
      <c r="J1243" s="34" t="str">
        <f t="shared" si="205"/>
        <v/>
      </c>
      <c r="K1243" s="34" t="str">
        <f t="shared" si="205"/>
        <v/>
      </c>
      <c r="L1243" s="34" t="str">
        <f t="shared" si="205"/>
        <v/>
      </c>
      <c r="M1243" s="34" t="str">
        <f t="shared" si="205"/>
        <v/>
      </c>
      <c r="N1243" s="34">
        <f t="shared" si="205"/>
        <v>60</v>
      </c>
      <c r="O1243" s="34">
        <f t="shared" si="205"/>
        <v>65</v>
      </c>
      <c r="P1243" s="34">
        <f t="shared" si="205"/>
        <v>77</v>
      </c>
      <c r="Q1243" s="34">
        <f t="shared" si="205"/>
        <v>89</v>
      </c>
      <c r="R1243" s="34">
        <f t="shared" si="205"/>
        <v>101</v>
      </c>
      <c r="S1243" s="35">
        <f t="shared" si="201"/>
        <v>60</v>
      </c>
    </row>
    <row r="1244" spans="2:19" hidden="1" outlineLevel="1">
      <c r="B1244" s="14" t="s">
        <v>116</v>
      </c>
      <c r="C1244" s="15" t="s">
        <v>65</v>
      </c>
      <c r="D1244" s="52">
        <v>2052</v>
      </c>
      <c r="E1244" s="34">
        <v>9</v>
      </c>
      <c r="F1244" s="38">
        <f t="shared" si="198"/>
        <v>19739.38830086208</v>
      </c>
      <c r="G1244" s="34">
        <f t="shared" si="199"/>
        <v>9</v>
      </c>
      <c r="H1244" s="34">
        <f t="shared" si="200"/>
        <v>3</v>
      </c>
      <c r="I1244" s="34" t="str">
        <f t="shared" si="205"/>
        <v/>
      </c>
      <c r="J1244" s="34" t="str">
        <f t="shared" si="205"/>
        <v/>
      </c>
      <c r="K1244" s="34" t="str">
        <f t="shared" si="205"/>
        <v/>
      </c>
      <c r="L1244" s="34" t="str">
        <f t="shared" si="205"/>
        <v/>
      </c>
      <c r="M1244" s="34" t="str">
        <f t="shared" si="205"/>
        <v/>
      </c>
      <c r="N1244" s="34">
        <f t="shared" si="205"/>
        <v>60</v>
      </c>
      <c r="O1244" s="34">
        <f t="shared" si="205"/>
        <v>64</v>
      </c>
      <c r="P1244" s="34">
        <f t="shared" si="205"/>
        <v>76</v>
      </c>
      <c r="Q1244" s="34">
        <f t="shared" si="205"/>
        <v>88</v>
      </c>
      <c r="R1244" s="34">
        <f t="shared" si="205"/>
        <v>100</v>
      </c>
      <c r="S1244" s="35">
        <f t="shared" si="201"/>
        <v>60</v>
      </c>
    </row>
    <row r="1245" spans="2:19" hidden="1" outlineLevel="1">
      <c r="B1245" s="14" t="s">
        <v>116</v>
      </c>
      <c r="C1245" s="15" t="s">
        <v>65</v>
      </c>
      <c r="D1245" s="52">
        <v>2052</v>
      </c>
      <c r="E1245" s="34">
        <v>10</v>
      </c>
      <c r="F1245" s="38">
        <f t="shared" si="198"/>
        <v>19739.38830086208</v>
      </c>
      <c r="G1245" s="34">
        <f t="shared" si="199"/>
        <v>9</v>
      </c>
      <c r="H1245" s="34">
        <f t="shared" si="200"/>
        <v>3</v>
      </c>
      <c r="I1245" s="34" t="str">
        <f t="shared" si="205"/>
        <v/>
      </c>
      <c r="J1245" s="34" t="str">
        <f t="shared" si="205"/>
        <v/>
      </c>
      <c r="K1245" s="34" t="str">
        <f t="shared" si="205"/>
        <v/>
      </c>
      <c r="L1245" s="34" t="str">
        <f t="shared" si="205"/>
        <v/>
      </c>
      <c r="M1245" s="34" t="str">
        <f t="shared" si="205"/>
        <v/>
      </c>
      <c r="N1245" s="34">
        <f t="shared" si="205"/>
        <v>60</v>
      </c>
      <c r="O1245" s="34">
        <f t="shared" si="205"/>
        <v>63</v>
      </c>
      <c r="P1245" s="34">
        <f t="shared" si="205"/>
        <v>75</v>
      </c>
      <c r="Q1245" s="34">
        <f t="shared" si="205"/>
        <v>87</v>
      </c>
      <c r="R1245" s="34">
        <f t="shared" si="205"/>
        <v>99</v>
      </c>
      <c r="S1245" s="35">
        <f t="shared" si="201"/>
        <v>60</v>
      </c>
    </row>
    <row r="1246" spans="2:19" hidden="1" outlineLevel="1">
      <c r="B1246" s="14" t="s">
        <v>116</v>
      </c>
      <c r="C1246" s="15" t="s">
        <v>65</v>
      </c>
      <c r="D1246" s="52">
        <v>2052</v>
      </c>
      <c r="E1246" s="34">
        <v>11</v>
      </c>
      <c r="F1246" s="38">
        <f t="shared" si="198"/>
        <v>19739.38830086208</v>
      </c>
      <c r="G1246" s="34">
        <f t="shared" si="199"/>
        <v>9</v>
      </c>
      <c r="H1246" s="34">
        <f t="shared" si="200"/>
        <v>3</v>
      </c>
      <c r="I1246" s="34" t="str">
        <f t="shared" si="205"/>
        <v/>
      </c>
      <c r="J1246" s="34" t="str">
        <f t="shared" si="205"/>
        <v/>
      </c>
      <c r="K1246" s="34" t="str">
        <f t="shared" si="205"/>
        <v/>
      </c>
      <c r="L1246" s="34" t="str">
        <f t="shared" si="205"/>
        <v/>
      </c>
      <c r="M1246" s="34" t="str">
        <f t="shared" si="205"/>
        <v/>
      </c>
      <c r="N1246" s="34">
        <f t="shared" si="205"/>
        <v>60</v>
      </c>
      <c r="O1246" s="34">
        <f t="shared" si="205"/>
        <v>62</v>
      </c>
      <c r="P1246" s="34">
        <f t="shared" si="205"/>
        <v>74</v>
      </c>
      <c r="Q1246" s="34">
        <f t="shared" si="205"/>
        <v>86</v>
      </c>
      <c r="R1246" s="34">
        <f t="shared" si="205"/>
        <v>98</v>
      </c>
      <c r="S1246" s="35">
        <f t="shared" si="201"/>
        <v>60</v>
      </c>
    </row>
    <row r="1247" spans="2:19" hidden="1" outlineLevel="1">
      <c r="B1247" s="14" t="s">
        <v>116</v>
      </c>
      <c r="C1247" s="15" t="s">
        <v>65</v>
      </c>
      <c r="D1247" s="52">
        <v>2052</v>
      </c>
      <c r="E1247" s="34">
        <v>12</v>
      </c>
      <c r="F1247" s="38">
        <f t="shared" si="198"/>
        <v>19739.38830086208</v>
      </c>
      <c r="G1247" s="34">
        <f t="shared" si="199"/>
        <v>9</v>
      </c>
      <c r="H1247" s="34">
        <f t="shared" si="200"/>
        <v>3</v>
      </c>
      <c r="I1247" s="34" t="str">
        <f t="shared" si="205"/>
        <v/>
      </c>
      <c r="J1247" s="34" t="str">
        <f t="shared" si="205"/>
        <v/>
      </c>
      <c r="K1247" s="34" t="str">
        <f t="shared" si="205"/>
        <v/>
      </c>
      <c r="L1247" s="34" t="str">
        <f t="shared" si="205"/>
        <v/>
      </c>
      <c r="M1247" s="34" t="str">
        <f t="shared" si="205"/>
        <v/>
      </c>
      <c r="N1247" s="34">
        <f t="shared" si="205"/>
        <v>60</v>
      </c>
      <c r="O1247" s="34">
        <f t="shared" si="205"/>
        <v>61</v>
      </c>
      <c r="P1247" s="34">
        <f t="shared" si="205"/>
        <v>73</v>
      </c>
      <c r="Q1247" s="34">
        <f t="shared" si="205"/>
        <v>85</v>
      </c>
      <c r="R1247" s="34">
        <f t="shared" si="205"/>
        <v>97</v>
      </c>
      <c r="S1247" s="35">
        <f t="shared" si="201"/>
        <v>60</v>
      </c>
    </row>
    <row r="1248" spans="2:19" hidden="1" outlineLevel="1">
      <c r="B1248" s="14" t="s">
        <v>116</v>
      </c>
      <c r="C1248" s="15" t="s">
        <v>65</v>
      </c>
      <c r="D1248" s="52">
        <v>2053</v>
      </c>
      <c r="E1248" s="34">
        <v>1</v>
      </c>
      <c r="F1248" s="38">
        <f t="shared" si="198"/>
        <v>19855.159121954737</v>
      </c>
      <c r="G1248" s="34">
        <f t="shared" si="199"/>
        <v>9</v>
      </c>
      <c r="H1248" s="34">
        <f t="shared" si="200"/>
        <v>3</v>
      </c>
      <c r="I1248" s="34" t="str">
        <f t="shared" si="205"/>
        <v/>
      </c>
      <c r="J1248" s="34" t="str">
        <f t="shared" si="205"/>
        <v/>
      </c>
      <c r="K1248" s="34" t="str">
        <f t="shared" si="205"/>
        <v/>
      </c>
      <c r="L1248" s="34" t="str">
        <f t="shared" si="205"/>
        <v/>
      </c>
      <c r="M1248" s="34" t="str">
        <f t="shared" si="205"/>
        <v/>
      </c>
      <c r="N1248" s="34">
        <f t="shared" si="205"/>
        <v>60</v>
      </c>
      <c r="O1248" s="34">
        <f t="shared" si="205"/>
        <v>72</v>
      </c>
      <c r="P1248" s="34">
        <f t="shared" si="205"/>
        <v>84</v>
      </c>
      <c r="Q1248" s="34">
        <f t="shared" si="205"/>
        <v>96</v>
      </c>
      <c r="R1248" s="34">
        <f t="shared" si="205"/>
        <v>108</v>
      </c>
      <c r="S1248" s="35">
        <f t="shared" si="201"/>
        <v>60</v>
      </c>
    </row>
    <row r="1249" spans="2:19" hidden="1" outlineLevel="1">
      <c r="B1249" s="14" t="s">
        <v>116</v>
      </c>
      <c r="C1249" s="15" t="s">
        <v>65</v>
      </c>
      <c r="D1249" s="52">
        <v>2053</v>
      </c>
      <c r="E1249" s="34">
        <v>2</v>
      </c>
      <c r="F1249" s="38">
        <f t="shared" si="198"/>
        <v>19855.159121954737</v>
      </c>
      <c r="G1249" s="34">
        <f t="shared" si="199"/>
        <v>9</v>
      </c>
      <c r="H1249" s="34">
        <f t="shared" si="200"/>
        <v>3</v>
      </c>
      <c r="I1249" s="34" t="str">
        <f t="shared" si="205"/>
        <v/>
      </c>
      <c r="J1249" s="34" t="str">
        <f t="shared" si="205"/>
        <v/>
      </c>
      <c r="K1249" s="34" t="str">
        <f t="shared" si="205"/>
        <v/>
      </c>
      <c r="L1249" s="34" t="str">
        <f t="shared" si="205"/>
        <v/>
      </c>
      <c r="M1249" s="34" t="str">
        <f t="shared" si="205"/>
        <v/>
      </c>
      <c r="N1249" s="34">
        <f t="shared" si="205"/>
        <v>60</v>
      </c>
      <c r="O1249" s="34">
        <f t="shared" si="205"/>
        <v>71</v>
      </c>
      <c r="P1249" s="34">
        <f t="shared" si="205"/>
        <v>83</v>
      </c>
      <c r="Q1249" s="34">
        <f t="shared" si="205"/>
        <v>95</v>
      </c>
      <c r="R1249" s="34">
        <f t="shared" si="205"/>
        <v>107</v>
      </c>
      <c r="S1249" s="35">
        <f t="shared" si="201"/>
        <v>60</v>
      </c>
    </row>
    <row r="1250" spans="2:19" hidden="1" outlineLevel="1">
      <c r="B1250" s="14" t="s">
        <v>116</v>
      </c>
      <c r="C1250" s="15" t="s">
        <v>65</v>
      </c>
      <c r="D1250" s="52">
        <v>2053</v>
      </c>
      <c r="E1250" s="34">
        <v>3</v>
      </c>
      <c r="F1250" s="38">
        <f t="shared" si="198"/>
        <v>19855.159121954737</v>
      </c>
      <c r="G1250" s="34">
        <f t="shared" si="199"/>
        <v>9</v>
      </c>
      <c r="H1250" s="34">
        <f t="shared" si="200"/>
        <v>3</v>
      </c>
      <c r="I1250" s="34" t="str">
        <f t="shared" ref="I1250:R1259" si="206">IF($D1250&lt;$Z$18,"",IF(MAX($G1250,INDEX($C$65:$F$108,$D1250+I$119-2026,$H1250))&lt;=12*I$119-$E1250+12,MAX($G1250,12*I$119-$E1250+1,INDEX($C$65:$F$108,$D1250+I$119-2026,$H1250)),""))</f>
        <v/>
      </c>
      <c r="J1250" s="34" t="str">
        <f t="shared" si="206"/>
        <v/>
      </c>
      <c r="K1250" s="34" t="str">
        <f t="shared" si="206"/>
        <v/>
      </c>
      <c r="L1250" s="34" t="str">
        <f t="shared" si="206"/>
        <v/>
      </c>
      <c r="M1250" s="34" t="str">
        <f t="shared" si="206"/>
        <v/>
      </c>
      <c r="N1250" s="34">
        <f t="shared" si="206"/>
        <v>60</v>
      </c>
      <c r="O1250" s="34">
        <f t="shared" si="206"/>
        <v>70</v>
      </c>
      <c r="P1250" s="34">
        <f t="shared" si="206"/>
        <v>82</v>
      </c>
      <c r="Q1250" s="34">
        <f t="shared" si="206"/>
        <v>94</v>
      </c>
      <c r="R1250" s="34">
        <f t="shared" si="206"/>
        <v>106</v>
      </c>
      <c r="S1250" s="35">
        <f t="shared" si="201"/>
        <v>60</v>
      </c>
    </row>
    <row r="1251" spans="2:19" hidden="1" outlineLevel="1">
      <c r="B1251" s="14" t="s">
        <v>116</v>
      </c>
      <c r="C1251" s="15" t="s">
        <v>65</v>
      </c>
      <c r="D1251" s="52">
        <v>2053</v>
      </c>
      <c r="E1251" s="34">
        <v>4</v>
      </c>
      <c r="F1251" s="38">
        <f t="shared" si="198"/>
        <v>19855.159121954737</v>
      </c>
      <c r="G1251" s="34">
        <f t="shared" si="199"/>
        <v>9</v>
      </c>
      <c r="H1251" s="34">
        <f t="shared" si="200"/>
        <v>3</v>
      </c>
      <c r="I1251" s="34" t="str">
        <f t="shared" si="206"/>
        <v/>
      </c>
      <c r="J1251" s="34" t="str">
        <f t="shared" si="206"/>
        <v/>
      </c>
      <c r="K1251" s="34" t="str">
        <f t="shared" si="206"/>
        <v/>
      </c>
      <c r="L1251" s="34" t="str">
        <f t="shared" si="206"/>
        <v/>
      </c>
      <c r="M1251" s="34" t="str">
        <f t="shared" si="206"/>
        <v/>
      </c>
      <c r="N1251" s="34">
        <f t="shared" si="206"/>
        <v>60</v>
      </c>
      <c r="O1251" s="34">
        <f t="shared" si="206"/>
        <v>69</v>
      </c>
      <c r="P1251" s="34">
        <f t="shared" si="206"/>
        <v>81</v>
      </c>
      <c r="Q1251" s="34">
        <f t="shared" si="206"/>
        <v>93</v>
      </c>
      <c r="R1251" s="34">
        <f t="shared" si="206"/>
        <v>105</v>
      </c>
      <c r="S1251" s="35">
        <f t="shared" si="201"/>
        <v>60</v>
      </c>
    </row>
    <row r="1252" spans="2:19" hidden="1" outlineLevel="1">
      <c r="B1252" s="14" t="s">
        <v>116</v>
      </c>
      <c r="C1252" s="15" t="s">
        <v>65</v>
      </c>
      <c r="D1252" s="52">
        <v>2053</v>
      </c>
      <c r="E1252" s="34">
        <v>5</v>
      </c>
      <c r="F1252" s="38">
        <f t="shared" si="198"/>
        <v>19855.159121954737</v>
      </c>
      <c r="G1252" s="34">
        <f t="shared" si="199"/>
        <v>9</v>
      </c>
      <c r="H1252" s="34">
        <f t="shared" si="200"/>
        <v>3</v>
      </c>
      <c r="I1252" s="34" t="str">
        <f t="shared" si="206"/>
        <v/>
      </c>
      <c r="J1252" s="34" t="str">
        <f t="shared" si="206"/>
        <v/>
      </c>
      <c r="K1252" s="34" t="str">
        <f t="shared" si="206"/>
        <v/>
      </c>
      <c r="L1252" s="34" t="str">
        <f t="shared" si="206"/>
        <v/>
      </c>
      <c r="M1252" s="34" t="str">
        <f t="shared" si="206"/>
        <v/>
      </c>
      <c r="N1252" s="34">
        <f t="shared" si="206"/>
        <v>60</v>
      </c>
      <c r="O1252" s="34">
        <f t="shared" si="206"/>
        <v>68</v>
      </c>
      <c r="P1252" s="34">
        <f t="shared" si="206"/>
        <v>80</v>
      </c>
      <c r="Q1252" s="34">
        <f t="shared" si="206"/>
        <v>92</v>
      </c>
      <c r="R1252" s="34">
        <f t="shared" si="206"/>
        <v>104</v>
      </c>
      <c r="S1252" s="35">
        <f t="shared" si="201"/>
        <v>60</v>
      </c>
    </row>
    <row r="1253" spans="2:19" hidden="1" outlineLevel="1">
      <c r="B1253" s="14" t="s">
        <v>116</v>
      </c>
      <c r="C1253" s="15" t="s">
        <v>65</v>
      </c>
      <c r="D1253" s="52">
        <v>2053</v>
      </c>
      <c r="E1253" s="34">
        <v>6</v>
      </c>
      <c r="F1253" s="38">
        <f t="shared" si="198"/>
        <v>19855.159121954737</v>
      </c>
      <c r="G1253" s="34">
        <f t="shared" si="199"/>
        <v>9</v>
      </c>
      <c r="H1253" s="34">
        <f t="shared" si="200"/>
        <v>3</v>
      </c>
      <c r="I1253" s="34" t="str">
        <f t="shared" si="206"/>
        <v/>
      </c>
      <c r="J1253" s="34" t="str">
        <f t="shared" si="206"/>
        <v/>
      </c>
      <c r="K1253" s="34" t="str">
        <f t="shared" si="206"/>
        <v/>
      </c>
      <c r="L1253" s="34" t="str">
        <f t="shared" si="206"/>
        <v/>
      </c>
      <c r="M1253" s="34" t="str">
        <f t="shared" si="206"/>
        <v/>
      </c>
      <c r="N1253" s="34">
        <f t="shared" si="206"/>
        <v>60</v>
      </c>
      <c r="O1253" s="34">
        <f t="shared" si="206"/>
        <v>67</v>
      </c>
      <c r="P1253" s="34">
        <f t="shared" si="206"/>
        <v>79</v>
      </c>
      <c r="Q1253" s="34">
        <f t="shared" si="206"/>
        <v>91</v>
      </c>
      <c r="R1253" s="34">
        <f t="shared" si="206"/>
        <v>103</v>
      </c>
      <c r="S1253" s="35">
        <f t="shared" si="201"/>
        <v>60</v>
      </c>
    </row>
    <row r="1254" spans="2:19" hidden="1" outlineLevel="1">
      <c r="B1254" s="14" t="s">
        <v>116</v>
      </c>
      <c r="C1254" s="15" t="s">
        <v>65</v>
      </c>
      <c r="D1254" s="52">
        <v>2053</v>
      </c>
      <c r="E1254" s="34">
        <v>7</v>
      </c>
      <c r="F1254" s="38">
        <f t="shared" si="198"/>
        <v>19855.159121954737</v>
      </c>
      <c r="G1254" s="34">
        <f t="shared" si="199"/>
        <v>9</v>
      </c>
      <c r="H1254" s="34">
        <f t="shared" si="200"/>
        <v>3</v>
      </c>
      <c r="I1254" s="34" t="str">
        <f t="shared" si="206"/>
        <v/>
      </c>
      <c r="J1254" s="34" t="str">
        <f t="shared" si="206"/>
        <v/>
      </c>
      <c r="K1254" s="34" t="str">
        <f t="shared" si="206"/>
        <v/>
      </c>
      <c r="L1254" s="34" t="str">
        <f t="shared" si="206"/>
        <v/>
      </c>
      <c r="M1254" s="34" t="str">
        <f t="shared" si="206"/>
        <v/>
      </c>
      <c r="N1254" s="34">
        <f t="shared" si="206"/>
        <v>60</v>
      </c>
      <c r="O1254" s="34">
        <f t="shared" si="206"/>
        <v>66</v>
      </c>
      <c r="P1254" s="34">
        <f t="shared" si="206"/>
        <v>78</v>
      </c>
      <c r="Q1254" s="34">
        <f t="shared" si="206"/>
        <v>90</v>
      </c>
      <c r="R1254" s="34">
        <f t="shared" si="206"/>
        <v>102</v>
      </c>
      <c r="S1254" s="35">
        <f t="shared" si="201"/>
        <v>60</v>
      </c>
    </row>
    <row r="1255" spans="2:19" hidden="1" outlineLevel="1">
      <c r="B1255" s="14" t="s">
        <v>116</v>
      </c>
      <c r="C1255" s="15" t="s">
        <v>65</v>
      </c>
      <c r="D1255" s="52">
        <v>2053</v>
      </c>
      <c r="E1255" s="34">
        <v>8</v>
      </c>
      <c r="F1255" s="38">
        <f t="shared" si="198"/>
        <v>19855.159121954737</v>
      </c>
      <c r="G1255" s="34">
        <f t="shared" si="199"/>
        <v>9</v>
      </c>
      <c r="H1255" s="34">
        <f t="shared" si="200"/>
        <v>3</v>
      </c>
      <c r="I1255" s="34" t="str">
        <f t="shared" si="206"/>
        <v/>
      </c>
      <c r="J1255" s="34" t="str">
        <f t="shared" si="206"/>
        <v/>
      </c>
      <c r="K1255" s="34" t="str">
        <f t="shared" si="206"/>
        <v/>
      </c>
      <c r="L1255" s="34" t="str">
        <f t="shared" si="206"/>
        <v/>
      </c>
      <c r="M1255" s="34" t="str">
        <f t="shared" si="206"/>
        <v/>
      </c>
      <c r="N1255" s="34">
        <f t="shared" si="206"/>
        <v>60</v>
      </c>
      <c r="O1255" s="34">
        <f t="shared" si="206"/>
        <v>65</v>
      </c>
      <c r="P1255" s="34">
        <f t="shared" si="206"/>
        <v>77</v>
      </c>
      <c r="Q1255" s="34">
        <f t="shared" si="206"/>
        <v>89</v>
      </c>
      <c r="R1255" s="34">
        <f t="shared" si="206"/>
        <v>101</v>
      </c>
      <c r="S1255" s="35">
        <f t="shared" si="201"/>
        <v>60</v>
      </c>
    </row>
    <row r="1256" spans="2:19" hidden="1" outlineLevel="1">
      <c r="B1256" s="14" t="s">
        <v>116</v>
      </c>
      <c r="C1256" s="15" t="s">
        <v>65</v>
      </c>
      <c r="D1256" s="52">
        <v>2053</v>
      </c>
      <c r="E1256" s="34">
        <v>9</v>
      </c>
      <c r="F1256" s="38">
        <f t="shared" si="198"/>
        <v>19855.159121954737</v>
      </c>
      <c r="G1256" s="34">
        <f t="shared" si="199"/>
        <v>9</v>
      </c>
      <c r="H1256" s="34">
        <f t="shared" si="200"/>
        <v>3</v>
      </c>
      <c r="I1256" s="34" t="str">
        <f t="shared" si="206"/>
        <v/>
      </c>
      <c r="J1256" s="34" t="str">
        <f t="shared" si="206"/>
        <v/>
      </c>
      <c r="K1256" s="34" t="str">
        <f t="shared" si="206"/>
        <v/>
      </c>
      <c r="L1256" s="34" t="str">
        <f t="shared" si="206"/>
        <v/>
      </c>
      <c r="M1256" s="34" t="str">
        <f t="shared" si="206"/>
        <v/>
      </c>
      <c r="N1256" s="34">
        <f t="shared" si="206"/>
        <v>60</v>
      </c>
      <c r="O1256" s="34">
        <f t="shared" si="206"/>
        <v>64</v>
      </c>
      <c r="P1256" s="34">
        <f t="shared" si="206"/>
        <v>76</v>
      </c>
      <c r="Q1256" s="34">
        <f t="shared" si="206"/>
        <v>88</v>
      </c>
      <c r="R1256" s="34">
        <f t="shared" si="206"/>
        <v>100</v>
      </c>
      <c r="S1256" s="35">
        <f t="shared" si="201"/>
        <v>60</v>
      </c>
    </row>
    <row r="1257" spans="2:19" hidden="1" outlineLevel="1">
      <c r="B1257" s="14" t="s">
        <v>116</v>
      </c>
      <c r="C1257" s="15" t="s">
        <v>65</v>
      </c>
      <c r="D1257" s="52">
        <v>2053</v>
      </c>
      <c r="E1257" s="34">
        <v>10</v>
      </c>
      <c r="F1257" s="38">
        <f t="shared" si="198"/>
        <v>19855.159121954737</v>
      </c>
      <c r="G1257" s="34">
        <f t="shared" si="199"/>
        <v>9</v>
      </c>
      <c r="H1257" s="34">
        <f t="shared" si="200"/>
        <v>3</v>
      </c>
      <c r="I1257" s="34" t="str">
        <f t="shared" si="206"/>
        <v/>
      </c>
      <c r="J1257" s="34" t="str">
        <f t="shared" si="206"/>
        <v/>
      </c>
      <c r="K1257" s="34" t="str">
        <f t="shared" si="206"/>
        <v/>
      </c>
      <c r="L1257" s="34" t="str">
        <f t="shared" si="206"/>
        <v/>
      </c>
      <c r="M1257" s="34" t="str">
        <f t="shared" si="206"/>
        <v/>
      </c>
      <c r="N1257" s="34">
        <f t="shared" si="206"/>
        <v>60</v>
      </c>
      <c r="O1257" s="34">
        <f t="shared" si="206"/>
        <v>63</v>
      </c>
      <c r="P1257" s="34">
        <f t="shared" si="206"/>
        <v>75</v>
      </c>
      <c r="Q1257" s="34">
        <f t="shared" si="206"/>
        <v>87</v>
      </c>
      <c r="R1257" s="34">
        <f t="shared" si="206"/>
        <v>99</v>
      </c>
      <c r="S1257" s="35">
        <f t="shared" si="201"/>
        <v>60</v>
      </c>
    </row>
    <row r="1258" spans="2:19" hidden="1" outlineLevel="1">
      <c r="B1258" s="14" t="s">
        <v>116</v>
      </c>
      <c r="C1258" s="15" t="s">
        <v>65</v>
      </c>
      <c r="D1258" s="52">
        <v>2053</v>
      </c>
      <c r="E1258" s="34">
        <v>11</v>
      </c>
      <c r="F1258" s="38">
        <f t="shared" si="198"/>
        <v>19855.159121954737</v>
      </c>
      <c r="G1258" s="34">
        <f t="shared" si="199"/>
        <v>9</v>
      </c>
      <c r="H1258" s="34">
        <f t="shared" si="200"/>
        <v>3</v>
      </c>
      <c r="I1258" s="34" t="str">
        <f t="shared" si="206"/>
        <v/>
      </c>
      <c r="J1258" s="34" t="str">
        <f t="shared" si="206"/>
        <v/>
      </c>
      <c r="K1258" s="34" t="str">
        <f t="shared" si="206"/>
        <v/>
      </c>
      <c r="L1258" s="34" t="str">
        <f t="shared" si="206"/>
        <v/>
      </c>
      <c r="M1258" s="34" t="str">
        <f t="shared" si="206"/>
        <v/>
      </c>
      <c r="N1258" s="34">
        <f t="shared" si="206"/>
        <v>60</v>
      </c>
      <c r="O1258" s="34">
        <f t="shared" si="206"/>
        <v>62</v>
      </c>
      <c r="P1258" s="34">
        <f t="shared" si="206"/>
        <v>74</v>
      </c>
      <c r="Q1258" s="34">
        <f t="shared" si="206"/>
        <v>86</v>
      </c>
      <c r="R1258" s="34">
        <f t="shared" si="206"/>
        <v>98</v>
      </c>
      <c r="S1258" s="35">
        <f t="shared" si="201"/>
        <v>60</v>
      </c>
    </row>
    <row r="1259" spans="2:19" hidden="1" outlineLevel="1">
      <c r="B1259" s="14" t="s">
        <v>116</v>
      </c>
      <c r="C1259" s="15" t="s">
        <v>65</v>
      </c>
      <c r="D1259" s="52">
        <v>2053</v>
      </c>
      <c r="E1259" s="34">
        <v>12</v>
      </c>
      <c r="F1259" s="38">
        <f t="shared" si="198"/>
        <v>19855.159121954737</v>
      </c>
      <c r="G1259" s="34">
        <f t="shared" si="199"/>
        <v>9</v>
      </c>
      <c r="H1259" s="34">
        <f t="shared" si="200"/>
        <v>3</v>
      </c>
      <c r="I1259" s="34" t="str">
        <f t="shared" si="206"/>
        <v/>
      </c>
      <c r="J1259" s="34" t="str">
        <f t="shared" si="206"/>
        <v/>
      </c>
      <c r="K1259" s="34" t="str">
        <f t="shared" si="206"/>
        <v/>
      </c>
      <c r="L1259" s="34" t="str">
        <f t="shared" si="206"/>
        <v/>
      </c>
      <c r="M1259" s="34" t="str">
        <f t="shared" si="206"/>
        <v/>
      </c>
      <c r="N1259" s="34">
        <f t="shared" si="206"/>
        <v>60</v>
      </c>
      <c r="O1259" s="34">
        <f t="shared" si="206"/>
        <v>61</v>
      </c>
      <c r="P1259" s="34">
        <f t="shared" si="206"/>
        <v>73</v>
      </c>
      <c r="Q1259" s="34">
        <f t="shared" si="206"/>
        <v>85</v>
      </c>
      <c r="R1259" s="34">
        <f t="shared" si="206"/>
        <v>97</v>
      </c>
      <c r="S1259" s="35">
        <f t="shared" si="201"/>
        <v>60</v>
      </c>
    </row>
    <row r="1260" spans="2:19" hidden="1" outlineLevel="1">
      <c r="B1260" s="14" t="s">
        <v>116</v>
      </c>
      <c r="C1260" s="15" t="s">
        <v>65</v>
      </c>
      <c r="D1260" s="52">
        <v>2054</v>
      </c>
      <c r="E1260" s="34">
        <v>1</v>
      </c>
      <c r="F1260" s="38">
        <f t="shared" si="198"/>
        <v>19935.760286132016</v>
      </c>
      <c r="G1260" s="34">
        <f t="shared" si="199"/>
        <v>9</v>
      </c>
      <c r="H1260" s="34">
        <f t="shared" si="200"/>
        <v>3</v>
      </c>
      <c r="I1260" s="34" t="str">
        <f t="shared" ref="I1260:R1269" si="207">IF($D1260&lt;$Z$18,"",IF(MAX($G1260,INDEX($C$65:$F$108,$D1260+I$119-2026,$H1260))&lt;=12*I$119-$E1260+12,MAX($G1260,12*I$119-$E1260+1,INDEX($C$65:$F$108,$D1260+I$119-2026,$H1260)),""))</f>
        <v/>
      </c>
      <c r="J1260" s="34" t="str">
        <f t="shared" si="207"/>
        <v/>
      </c>
      <c r="K1260" s="34" t="str">
        <f t="shared" si="207"/>
        <v/>
      </c>
      <c r="L1260" s="34" t="str">
        <f t="shared" si="207"/>
        <v/>
      </c>
      <c r="M1260" s="34" t="str">
        <f t="shared" si="207"/>
        <v/>
      </c>
      <c r="N1260" s="34">
        <f t="shared" si="207"/>
        <v>60</v>
      </c>
      <c r="O1260" s="34">
        <f t="shared" si="207"/>
        <v>72</v>
      </c>
      <c r="P1260" s="34">
        <f t="shared" si="207"/>
        <v>84</v>
      </c>
      <c r="Q1260" s="34">
        <f t="shared" si="207"/>
        <v>96</v>
      </c>
      <c r="R1260" s="34">
        <f t="shared" si="207"/>
        <v>108</v>
      </c>
      <c r="S1260" s="35">
        <f t="shared" si="201"/>
        <v>60</v>
      </c>
    </row>
    <row r="1261" spans="2:19" hidden="1" outlineLevel="1">
      <c r="B1261" s="14" t="s">
        <v>116</v>
      </c>
      <c r="C1261" s="15" t="s">
        <v>65</v>
      </c>
      <c r="D1261" s="52">
        <v>2054</v>
      </c>
      <c r="E1261" s="34">
        <v>2</v>
      </c>
      <c r="F1261" s="38">
        <f t="shared" si="198"/>
        <v>19935.760286132016</v>
      </c>
      <c r="G1261" s="34">
        <f t="shared" si="199"/>
        <v>9</v>
      </c>
      <c r="H1261" s="34">
        <f t="shared" si="200"/>
        <v>3</v>
      </c>
      <c r="I1261" s="34" t="str">
        <f t="shared" si="207"/>
        <v/>
      </c>
      <c r="J1261" s="34" t="str">
        <f t="shared" si="207"/>
        <v/>
      </c>
      <c r="K1261" s="34" t="str">
        <f t="shared" si="207"/>
        <v/>
      </c>
      <c r="L1261" s="34" t="str">
        <f t="shared" si="207"/>
        <v/>
      </c>
      <c r="M1261" s="34" t="str">
        <f t="shared" si="207"/>
        <v/>
      </c>
      <c r="N1261" s="34">
        <f t="shared" si="207"/>
        <v>60</v>
      </c>
      <c r="O1261" s="34">
        <f t="shared" si="207"/>
        <v>71</v>
      </c>
      <c r="P1261" s="34">
        <f t="shared" si="207"/>
        <v>83</v>
      </c>
      <c r="Q1261" s="34">
        <f t="shared" si="207"/>
        <v>95</v>
      </c>
      <c r="R1261" s="34">
        <f t="shared" si="207"/>
        <v>107</v>
      </c>
      <c r="S1261" s="35">
        <f t="shared" si="201"/>
        <v>60</v>
      </c>
    </row>
    <row r="1262" spans="2:19" hidden="1" outlineLevel="1">
      <c r="B1262" s="14" t="s">
        <v>116</v>
      </c>
      <c r="C1262" s="15" t="s">
        <v>65</v>
      </c>
      <c r="D1262" s="52">
        <v>2054</v>
      </c>
      <c r="E1262" s="34">
        <v>3</v>
      </c>
      <c r="F1262" s="38">
        <f t="shared" si="198"/>
        <v>19935.760286132016</v>
      </c>
      <c r="G1262" s="34">
        <f t="shared" si="199"/>
        <v>9</v>
      </c>
      <c r="H1262" s="34">
        <f t="shared" si="200"/>
        <v>3</v>
      </c>
      <c r="I1262" s="34" t="str">
        <f t="shared" si="207"/>
        <v/>
      </c>
      <c r="J1262" s="34" t="str">
        <f t="shared" si="207"/>
        <v/>
      </c>
      <c r="K1262" s="34" t="str">
        <f t="shared" si="207"/>
        <v/>
      </c>
      <c r="L1262" s="34" t="str">
        <f t="shared" si="207"/>
        <v/>
      </c>
      <c r="M1262" s="34" t="str">
        <f t="shared" si="207"/>
        <v/>
      </c>
      <c r="N1262" s="34">
        <f t="shared" si="207"/>
        <v>60</v>
      </c>
      <c r="O1262" s="34">
        <f t="shared" si="207"/>
        <v>70</v>
      </c>
      <c r="P1262" s="34">
        <f t="shared" si="207"/>
        <v>82</v>
      </c>
      <c r="Q1262" s="34">
        <f t="shared" si="207"/>
        <v>94</v>
      </c>
      <c r="R1262" s="34">
        <f t="shared" si="207"/>
        <v>106</v>
      </c>
      <c r="S1262" s="35">
        <f t="shared" si="201"/>
        <v>60</v>
      </c>
    </row>
    <row r="1263" spans="2:19" hidden="1" outlineLevel="1">
      <c r="B1263" s="14" t="s">
        <v>116</v>
      </c>
      <c r="C1263" s="15" t="s">
        <v>65</v>
      </c>
      <c r="D1263" s="52">
        <v>2054</v>
      </c>
      <c r="E1263" s="34">
        <v>4</v>
      </c>
      <c r="F1263" s="38">
        <f t="shared" si="198"/>
        <v>19935.760286132016</v>
      </c>
      <c r="G1263" s="34">
        <f t="shared" si="199"/>
        <v>9</v>
      </c>
      <c r="H1263" s="34">
        <f t="shared" si="200"/>
        <v>3</v>
      </c>
      <c r="I1263" s="34" t="str">
        <f t="shared" si="207"/>
        <v/>
      </c>
      <c r="J1263" s="34" t="str">
        <f t="shared" si="207"/>
        <v/>
      </c>
      <c r="K1263" s="34" t="str">
        <f t="shared" si="207"/>
        <v/>
      </c>
      <c r="L1263" s="34" t="str">
        <f t="shared" si="207"/>
        <v/>
      </c>
      <c r="M1263" s="34" t="str">
        <f t="shared" si="207"/>
        <v/>
      </c>
      <c r="N1263" s="34">
        <f t="shared" si="207"/>
        <v>60</v>
      </c>
      <c r="O1263" s="34">
        <f t="shared" si="207"/>
        <v>69</v>
      </c>
      <c r="P1263" s="34">
        <f t="shared" si="207"/>
        <v>81</v>
      </c>
      <c r="Q1263" s="34">
        <f t="shared" si="207"/>
        <v>93</v>
      </c>
      <c r="R1263" s="34">
        <f t="shared" si="207"/>
        <v>105</v>
      </c>
      <c r="S1263" s="35">
        <f t="shared" si="201"/>
        <v>60</v>
      </c>
    </row>
    <row r="1264" spans="2:19" hidden="1" outlineLevel="1">
      <c r="B1264" s="14" t="s">
        <v>116</v>
      </c>
      <c r="C1264" s="15" t="s">
        <v>65</v>
      </c>
      <c r="D1264" s="52">
        <v>2054</v>
      </c>
      <c r="E1264" s="34">
        <v>5</v>
      </c>
      <c r="F1264" s="38">
        <f t="shared" si="198"/>
        <v>19935.760286132016</v>
      </c>
      <c r="G1264" s="34">
        <f t="shared" si="199"/>
        <v>9</v>
      </c>
      <c r="H1264" s="34">
        <f t="shared" si="200"/>
        <v>3</v>
      </c>
      <c r="I1264" s="34" t="str">
        <f t="shared" si="207"/>
        <v/>
      </c>
      <c r="J1264" s="34" t="str">
        <f t="shared" si="207"/>
        <v/>
      </c>
      <c r="K1264" s="34" t="str">
        <f t="shared" si="207"/>
        <v/>
      </c>
      <c r="L1264" s="34" t="str">
        <f t="shared" si="207"/>
        <v/>
      </c>
      <c r="M1264" s="34" t="str">
        <f t="shared" si="207"/>
        <v/>
      </c>
      <c r="N1264" s="34">
        <f t="shared" si="207"/>
        <v>60</v>
      </c>
      <c r="O1264" s="34">
        <f t="shared" si="207"/>
        <v>68</v>
      </c>
      <c r="P1264" s="34">
        <f t="shared" si="207"/>
        <v>80</v>
      </c>
      <c r="Q1264" s="34">
        <f t="shared" si="207"/>
        <v>92</v>
      </c>
      <c r="R1264" s="34">
        <f t="shared" si="207"/>
        <v>104</v>
      </c>
      <c r="S1264" s="35">
        <f t="shared" si="201"/>
        <v>60</v>
      </c>
    </row>
    <row r="1265" spans="2:19" hidden="1" outlineLevel="1">
      <c r="B1265" s="14" t="s">
        <v>116</v>
      </c>
      <c r="C1265" s="15" t="s">
        <v>65</v>
      </c>
      <c r="D1265" s="52">
        <v>2054</v>
      </c>
      <c r="E1265" s="34">
        <v>6</v>
      </c>
      <c r="F1265" s="38">
        <f t="shared" si="198"/>
        <v>19935.760286132016</v>
      </c>
      <c r="G1265" s="34">
        <f t="shared" si="199"/>
        <v>9</v>
      </c>
      <c r="H1265" s="34">
        <f t="shared" si="200"/>
        <v>3</v>
      </c>
      <c r="I1265" s="34" t="str">
        <f t="shared" si="207"/>
        <v/>
      </c>
      <c r="J1265" s="34" t="str">
        <f t="shared" si="207"/>
        <v/>
      </c>
      <c r="K1265" s="34" t="str">
        <f t="shared" si="207"/>
        <v/>
      </c>
      <c r="L1265" s="34" t="str">
        <f t="shared" si="207"/>
        <v/>
      </c>
      <c r="M1265" s="34" t="str">
        <f t="shared" si="207"/>
        <v/>
      </c>
      <c r="N1265" s="34">
        <f t="shared" si="207"/>
        <v>60</v>
      </c>
      <c r="O1265" s="34">
        <f t="shared" si="207"/>
        <v>67</v>
      </c>
      <c r="P1265" s="34">
        <f t="shared" si="207"/>
        <v>79</v>
      </c>
      <c r="Q1265" s="34">
        <f t="shared" si="207"/>
        <v>91</v>
      </c>
      <c r="R1265" s="34">
        <f t="shared" si="207"/>
        <v>103</v>
      </c>
      <c r="S1265" s="35">
        <f t="shared" si="201"/>
        <v>60</v>
      </c>
    </row>
    <row r="1266" spans="2:19" hidden="1" outlineLevel="1">
      <c r="B1266" s="14" t="s">
        <v>116</v>
      </c>
      <c r="C1266" s="15" t="s">
        <v>65</v>
      </c>
      <c r="D1266" s="52">
        <v>2054</v>
      </c>
      <c r="E1266" s="34">
        <v>7</v>
      </c>
      <c r="F1266" s="38">
        <f t="shared" si="198"/>
        <v>19935.760286132016</v>
      </c>
      <c r="G1266" s="34">
        <f t="shared" si="199"/>
        <v>9</v>
      </c>
      <c r="H1266" s="34">
        <f t="shared" si="200"/>
        <v>3</v>
      </c>
      <c r="I1266" s="34" t="str">
        <f t="shared" si="207"/>
        <v/>
      </c>
      <c r="J1266" s="34" t="str">
        <f t="shared" si="207"/>
        <v/>
      </c>
      <c r="K1266" s="34" t="str">
        <f t="shared" si="207"/>
        <v/>
      </c>
      <c r="L1266" s="34" t="str">
        <f t="shared" si="207"/>
        <v/>
      </c>
      <c r="M1266" s="34" t="str">
        <f t="shared" si="207"/>
        <v/>
      </c>
      <c r="N1266" s="34">
        <f t="shared" si="207"/>
        <v>60</v>
      </c>
      <c r="O1266" s="34">
        <f t="shared" si="207"/>
        <v>66</v>
      </c>
      <c r="P1266" s="34">
        <f t="shared" si="207"/>
        <v>78</v>
      </c>
      <c r="Q1266" s="34">
        <f t="shared" si="207"/>
        <v>90</v>
      </c>
      <c r="R1266" s="34">
        <f t="shared" si="207"/>
        <v>102</v>
      </c>
      <c r="S1266" s="35">
        <f t="shared" si="201"/>
        <v>60</v>
      </c>
    </row>
    <row r="1267" spans="2:19" hidden="1" outlineLevel="1">
      <c r="B1267" s="14" t="s">
        <v>116</v>
      </c>
      <c r="C1267" s="15" t="s">
        <v>65</v>
      </c>
      <c r="D1267" s="52">
        <v>2054</v>
      </c>
      <c r="E1267" s="34">
        <v>8</v>
      </c>
      <c r="F1267" s="38">
        <f t="shared" si="198"/>
        <v>19935.760286132016</v>
      </c>
      <c r="G1267" s="34">
        <f t="shared" si="199"/>
        <v>9</v>
      </c>
      <c r="H1267" s="34">
        <f t="shared" si="200"/>
        <v>3</v>
      </c>
      <c r="I1267" s="34" t="str">
        <f t="shared" si="207"/>
        <v/>
      </c>
      <c r="J1267" s="34" t="str">
        <f t="shared" si="207"/>
        <v/>
      </c>
      <c r="K1267" s="34" t="str">
        <f t="shared" si="207"/>
        <v/>
      </c>
      <c r="L1267" s="34" t="str">
        <f t="shared" si="207"/>
        <v/>
      </c>
      <c r="M1267" s="34" t="str">
        <f t="shared" si="207"/>
        <v/>
      </c>
      <c r="N1267" s="34">
        <f t="shared" si="207"/>
        <v>60</v>
      </c>
      <c r="O1267" s="34">
        <f t="shared" si="207"/>
        <v>65</v>
      </c>
      <c r="P1267" s="34">
        <f t="shared" si="207"/>
        <v>77</v>
      </c>
      <c r="Q1267" s="34">
        <f t="shared" si="207"/>
        <v>89</v>
      </c>
      <c r="R1267" s="34">
        <f t="shared" si="207"/>
        <v>101</v>
      </c>
      <c r="S1267" s="35">
        <f t="shared" si="201"/>
        <v>60</v>
      </c>
    </row>
    <row r="1268" spans="2:19" hidden="1" outlineLevel="1">
      <c r="B1268" s="14" t="s">
        <v>116</v>
      </c>
      <c r="C1268" s="15" t="s">
        <v>65</v>
      </c>
      <c r="D1268" s="52">
        <v>2054</v>
      </c>
      <c r="E1268" s="34">
        <v>9</v>
      </c>
      <c r="F1268" s="38">
        <f t="shared" si="198"/>
        <v>19935.760286132016</v>
      </c>
      <c r="G1268" s="34">
        <f t="shared" si="199"/>
        <v>9</v>
      </c>
      <c r="H1268" s="34">
        <f t="shared" si="200"/>
        <v>3</v>
      </c>
      <c r="I1268" s="34" t="str">
        <f t="shared" si="207"/>
        <v/>
      </c>
      <c r="J1268" s="34" t="str">
        <f t="shared" si="207"/>
        <v/>
      </c>
      <c r="K1268" s="34" t="str">
        <f t="shared" si="207"/>
        <v/>
      </c>
      <c r="L1268" s="34" t="str">
        <f t="shared" si="207"/>
        <v/>
      </c>
      <c r="M1268" s="34" t="str">
        <f t="shared" si="207"/>
        <v/>
      </c>
      <c r="N1268" s="34">
        <f t="shared" si="207"/>
        <v>60</v>
      </c>
      <c r="O1268" s="34">
        <f t="shared" si="207"/>
        <v>64</v>
      </c>
      <c r="P1268" s="34">
        <f t="shared" si="207"/>
        <v>76</v>
      </c>
      <c r="Q1268" s="34">
        <f t="shared" si="207"/>
        <v>88</v>
      </c>
      <c r="R1268" s="34">
        <f t="shared" si="207"/>
        <v>100</v>
      </c>
      <c r="S1268" s="35">
        <f t="shared" si="201"/>
        <v>60</v>
      </c>
    </row>
    <row r="1269" spans="2:19" hidden="1" outlineLevel="1">
      <c r="B1269" s="14" t="s">
        <v>116</v>
      </c>
      <c r="C1269" s="15" t="s">
        <v>65</v>
      </c>
      <c r="D1269" s="52">
        <v>2054</v>
      </c>
      <c r="E1269" s="34">
        <v>10</v>
      </c>
      <c r="F1269" s="38">
        <f t="shared" si="198"/>
        <v>19935.760286132016</v>
      </c>
      <c r="G1269" s="34">
        <f t="shared" si="199"/>
        <v>9</v>
      </c>
      <c r="H1269" s="34">
        <f t="shared" si="200"/>
        <v>3</v>
      </c>
      <c r="I1269" s="34" t="str">
        <f t="shared" si="207"/>
        <v/>
      </c>
      <c r="J1269" s="34" t="str">
        <f t="shared" si="207"/>
        <v/>
      </c>
      <c r="K1269" s="34" t="str">
        <f t="shared" si="207"/>
        <v/>
      </c>
      <c r="L1269" s="34" t="str">
        <f t="shared" si="207"/>
        <v/>
      </c>
      <c r="M1269" s="34" t="str">
        <f t="shared" si="207"/>
        <v/>
      </c>
      <c r="N1269" s="34">
        <f t="shared" si="207"/>
        <v>60</v>
      </c>
      <c r="O1269" s="34">
        <f t="shared" si="207"/>
        <v>63</v>
      </c>
      <c r="P1269" s="34">
        <f t="shared" si="207"/>
        <v>75</v>
      </c>
      <c r="Q1269" s="34">
        <f t="shared" si="207"/>
        <v>87</v>
      </c>
      <c r="R1269" s="34">
        <f t="shared" si="207"/>
        <v>99</v>
      </c>
      <c r="S1269" s="35">
        <f t="shared" si="201"/>
        <v>60</v>
      </c>
    </row>
    <row r="1270" spans="2:19" hidden="1" outlineLevel="1">
      <c r="B1270" s="14" t="s">
        <v>116</v>
      </c>
      <c r="C1270" s="15" t="s">
        <v>65</v>
      </c>
      <c r="D1270" s="52">
        <v>2054</v>
      </c>
      <c r="E1270" s="34">
        <v>11</v>
      </c>
      <c r="F1270" s="38">
        <f t="shared" si="198"/>
        <v>19935.760286132016</v>
      </c>
      <c r="G1270" s="34">
        <f t="shared" si="199"/>
        <v>9</v>
      </c>
      <c r="H1270" s="34">
        <f t="shared" si="200"/>
        <v>3</v>
      </c>
      <c r="I1270" s="34" t="str">
        <f t="shared" ref="I1270:R1279" si="208">IF($D1270&lt;$Z$18,"",IF(MAX($G1270,INDEX($C$65:$F$108,$D1270+I$119-2026,$H1270))&lt;=12*I$119-$E1270+12,MAX($G1270,12*I$119-$E1270+1,INDEX($C$65:$F$108,$D1270+I$119-2026,$H1270)),""))</f>
        <v/>
      </c>
      <c r="J1270" s="34" t="str">
        <f t="shared" si="208"/>
        <v/>
      </c>
      <c r="K1270" s="34" t="str">
        <f t="shared" si="208"/>
        <v/>
      </c>
      <c r="L1270" s="34" t="str">
        <f t="shared" si="208"/>
        <v/>
      </c>
      <c r="M1270" s="34" t="str">
        <f t="shared" si="208"/>
        <v/>
      </c>
      <c r="N1270" s="34">
        <f t="shared" si="208"/>
        <v>60</v>
      </c>
      <c r="O1270" s="34">
        <f t="shared" si="208"/>
        <v>62</v>
      </c>
      <c r="P1270" s="34">
        <f t="shared" si="208"/>
        <v>74</v>
      </c>
      <c r="Q1270" s="34">
        <f t="shared" si="208"/>
        <v>86</v>
      </c>
      <c r="R1270" s="34">
        <f t="shared" si="208"/>
        <v>98</v>
      </c>
      <c r="S1270" s="35">
        <f t="shared" si="201"/>
        <v>60</v>
      </c>
    </row>
    <row r="1271" spans="2:19" hidden="1" outlineLevel="1">
      <c r="B1271" s="14" t="s">
        <v>116</v>
      </c>
      <c r="C1271" s="15" t="s">
        <v>65</v>
      </c>
      <c r="D1271" s="52">
        <v>2054</v>
      </c>
      <c r="E1271" s="34">
        <v>12</v>
      </c>
      <c r="F1271" s="38">
        <f t="shared" si="198"/>
        <v>19935.760286132016</v>
      </c>
      <c r="G1271" s="34">
        <f t="shared" si="199"/>
        <v>9</v>
      </c>
      <c r="H1271" s="34">
        <f t="shared" si="200"/>
        <v>3</v>
      </c>
      <c r="I1271" s="34" t="str">
        <f t="shared" si="208"/>
        <v/>
      </c>
      <c r="J1271" s="34" t="str">
        <f t="shared" si="208"/>
        <v/>
      </c>
      <c r="K1271" s="34" t="str">
        <f t="shared" si="208"/>
        <v/>
      </c>
      <c r="L1271" s="34" t="str">
        <f t="shared" si="208"/>
        <v/>
      </c>
      <c r="M1271" s="34" t="str">
        <f t="shared" si="208"/>
        <v/>
      </c>
      <c r="N1271" s="34">
        <f t="shared" si="208"/>
        <v>60</v>
      </c>
      <c r="O1271" s="34">
        <f t="shared" si="208"/>
        <v>61</v>
      </c>
      <c r="P1271" s="34">
        <f t="shared" si="208"/>
        <v>73</v>
      </c>
      <c r="Q1271" s="34">
        <f t="shared" si="208"/>
        <v>85</v>
      </c>
      <c r="R1271" s="34">
        <f t="shared" si="208"/>
        <v>97</v>
      </c>
      <c r="S1271" s="35">
        <f t="shared" si="201"/>
        <v>60</v>
      </c>
    </row>
    <row r="1272" spans="2:19" hidden="1" outlineLevel="1">
      <c r="B1272" s="14" t="s">
        <v>116</v>
      </c>
      <c r="C1272" s="15" t="s">
        <v>65</v>
      </c>
      <c r="D1272" s="52">
        <v>2055</v>
      </c>
      <c r="E1272" s="34">
        <v>1</v>
      </c>
      <c r="F1272" s="38">
        <f t="shared" ref="F1272:F1335" si="209">IF($C1272="Homens",INDEX($C$5:$C$55,MATCH($D1272,$B$5:$B$55,0)),INDEX($F$5:$F$55,MATCH($D1272,$B$5:$B$55,0)))/12</f>
        <v>20024.064753062685</v>
      </c>
      <c r="G1272" s="34">
        <f t="shared" ref="G1272:G1335" si="210">IF($C1272="Homens",$Z$17,$AA$17)</f>
        <v>9</v>
      </c>
      <c r="H1272" s="34">
        <f t="shared" ref="H1272:H1335" si="211">1+2*($B1272="Com Transição")+($C1272="Mulheres")</f>
        <v>3</v>
      </c>
      <c r="I1272" s="34" t="str">
        <f t="shared" si="208"/>
        <v/>
      </c>
      <c r="J1272" s="34" t="str">
        <f t="shared" si="208"/>
        <v/>
      </c>
      <c r="K1272" s="34" t="str">
        <f t="shared" si="208"/>
        <v/>
      </c>
      <c r="L1272" s="34" t="str">
        <f t="shared" si="208"/>
        <v/>
      </c>
      <c r="M1272" s="34" t="str">
        <f t="shared" si="208"/>
        <v/>
      </c>
      <c r="N1272" s="34">
        <f t="shared" si="208"/>
        <v>60</v>
      </c>
      <c r="O1272" s="34">
        <f t="shared" si="208"/>
        <v>72</v>
      </c>
      <c r="P1272" s="34">
        <f t="shared" si="208"/>
        <v>84</v>
      </c>
      <c r="Q1272" s="34">
        <f t="shared" si="208"/>
        <v>96</v>
      </c>
      <c r="R1272" s="34">
        <f t="shared" si="208"/>
        <v>108</v>
      </c>
      <c r="S1272" s="35">
        <f t="shared" ref="S1272:S1335" si="212">IF($D1272&lt;$Z$18,$G1272,MIN(I1272:R1272))</f>
        <v>60</v>
      </c>
    </row>
    <row r="1273" spans="2:19" hidden="1" outlineLevel="1">
      <c r="B1273" s="14" t="s">
        <v>116</v>
      </c>
      <c r="C1273" s="15" t="s">
        <v>65</v>
      </c>
      <c r="D1273" s="52">
        <v>2055</v>
      </c>
      <c r="E1273" s="34">
        <v>2</v>
      </c>
      <c r="F1273" s="38">
        <f t="shared" si="209"/>
        <v>20024.064753062685</v>
      </c>
      <c r="G1273" s="34">
        <f t="shared" si="210"/>
        <v>9</v>
      </c>
      <c r="H1273" s="34">
        <f t="shared" si="211"/>
        <v>3</v>
      </c>
      <c r="I1273" s="34" t="str">
        <f t="shared" si="208"/>
        <v/>
      </c>
      <c r="J1273" s="34" t="str">
        <f t="shared" si="208"/>
        <v/>
      </c>
      <c r="K1273" s="34" t="str">
        <f t="shared" si="208"/>
        <v/>
      </c>
      <c r="L1273" s="34" t="str">
        <f t="shared" si="208"/>
        <v/>
      </c>
      <c r="M1273" s="34" t="str">
        <f t="shared" si="208"/>
        <v/>
      </c>
      <c r="N1273" s="34">
        <f t="shared" si="208"/>
        <v>60</v>
      </c>
      <c r="O1273" s="34">
        <f t="shared" si="208"/>
        <v>71</v>
      </c>
      <c r="P1273" s="34">
        <f t="shared" si="208"/>
        <v>83</v>
      </c>
      <c r="Q1273" s="34">
        <f t="shared" si="208"/>
        <v>95</v>
      </c>
      <c r="R1273" s="34">
        <f t="shared" si="208"/>
        <v>107</v>
      </c>
      <c r="S1273" s="35">
        <f t="shared" si="212"/>
        <v>60</v>
      </c>
    </row>
    <row r="1274" spans="2:19" hidden="1" outlineLevel="1">
      <c r="B1274" s="14" t="s">
        <v>116</v>
      </c>
      <c r="C1274" s="15" t="s">
        <v>65</v>
      </c>
      <c r="D1274" s="52">
        <v>2055</v>
      </c>
      <c r="E1274" s="34">
        <v>3</v>
      </c>
      <c r="F1274" s="38">
        <f t="shared" si="209"/>
        <v>20024.064753062685</v>
      </c>
      <c r="G1274" s="34">
        <f t="shared" si="210"/>
        <v>9</v>
      </c>
      <c r="H1274" s="34">
        <f t="shared" si="211"/>
        <v>3</v>
      </c>
      <c r="I1274" s="34" t="str">
        <f t="shared" si="208"/>
        <v/>
      </c>
      <c r="J1274" s="34" t="str">
        <f t="shared" si="208"/>
        <v/>
      </c>
      <c r="K1274" s="34" t="str">
        <f t="shared" si="208"/>
        <v/>
      </c>
      <c r="L1274" s="34" t="str">
        <f t="shared" si="208"/>
        <v/>
      </c>
      <c r="M1274" s="34" t="str">
        <f t="shared" si="208"/>
        <v/>
      </c>
      <c r="N1274" s="34">
        <f t="shared" si="208"/>
        <v>60</v>
      </c>
      <c r="O1274" s="34">
        <f t="shared" si="208"/>
        <v>70</v>
      </c>
      <c r="P1274" s="34">
        <f t="shared" si="208"/>
        <v>82</v>
      </c>
      <c r="Q1274" s="34">
        <f t="shared" si="208"/>
        <v>94</v>
      </c>
      <c r="R1274" s="34">
        <f t="shared" si="208"/>
        <v>106</v>
      </c>
      <c r="S1274" s="35">
        <f t="shared" si="212"/>
        <v>60</v>
      </c>
    </row>
    <row r="1275" spans="2:19" hidden="1" outlineLevel="1">
      <c r="B1275" s="14" t="s">
        <v>116</v>
      </c>
      <c r="C1275" s="15" t="s">
        <v>65</v>
      </c>
      <c r="D1275" s="52">
        <v>2055</v>
      </c>
      <c r="E1275" s="34">
        <v>4</v>
      </c>
      <c r="F1275" s="38">
        <f t="shared" si="209"/>
        <v>20024.064753062685</v>
      </c>
      <c r="G1275" s="34">
        <f t="shared" si="210"/>
        <v>9</v>
      </c>
      <c r="H1275" s="34">
        <f t="shared" si="211"/>
        <v>3</v>
      </c>
      <c r="I1275" s="34" t="str">
        <f t="shared" si="208"/>
        <v/>
      </c>
      <c r="J1275" s="34" t="str">
        <f t="shared" si="208"/>
        <v/>
      </c>
      <c r="K1275" s="34" t="str">
        <f t="shared" si="208"/>
        <v/>
      </c>
      <c r="L1275" s="34" t="str">
        <f t="shared" si="208"/>
        <v/>
      </c>
      <c r="M1275" s="34" t="str">
        <f t="shared" si="208"/>
        <v/>
      </c>
      <c r="N1275" s="34">
        <f t="shared" si="208"/>
        <v>60</v>
      </c>
      <c r="O1275" s="34">
        <f t="shared" si="208"/>
        <v>69</v>
      </c>
      <c r="P1275" s="34">
        <f t="shared" si="208"/>
        <v>81</v>
      </c>
      <c r="Q1275" s="34">
        <f t="shared" si="208"/>
        <v>93</v>
      </c>
      <c r="R1275" s="34">
        <f t="shared" si="208"/>
        <v>105</v>
      </c>
      <c r="S1275" s="35">
        <f t="shared" si="212"/>
        <v>60</v>
      </c>
    </row>
    <row r="1276" spans="2:19" hidden="1" outlineLevel="1">
      <c r="B1276" s="14" t="s">
        <v>116</v>
      </c>
      <c r="C1276" s="15" t="s">
        <v>65</v>
      </c>
      <c r="D1276" s="52">
        <v>2055</v>
      </c>
      <c r="E1276" s="34">
        <v>5</v>
      </c>
      <c r="F1276" s="38">
        <f t="shared" si="209"/>
        <v>20024.064753062685</v>
      </c>
      <c r="G1276" s="34">
        <f t="shared" si="210"/>
        <v>9</v>
      </c>
      <c r="H1276" s="34">
        <f t="shared" si="211"/>
        <v>3</v>
      </c>
      <c r="I1276" s="34" t="str">
        <f t="shared" si="208"/>
        <v/>
      </c>
      <c r="J1276" s="34" t="str">
        <f t="shared" si="208"/>
        <v/>
      </c>
      <c r="K1276" s="34" t="str">
        <f t="shared" si="208"/>
        <v/>
      </c>
      <c r="L1276" s="34" t="str">
        <f t="shared" si="208"/>
        <v/>
      </c>
      <c r="M1276" s="34" t="str">
        <f t="shared" si="208"/>
        <v/>
      </c>
      <c r="N1276" s="34">
        <f t="shared" si="208"/>
        <v>60</v>
      </c>
      <c r="O1276" s="34">
        <f t="shared" si="208"/>
        <v>68</v>
      </c>
      <c r="P1276" s="34">
        <f t="shared" si="208"/>
        <v>80</v>
      </c>
      <c r="Q1276" s="34">
        <f t="shared" si="208"/>
        <v>92</v>
      </c>
      <c r="R1276" s="34">
        <f t="shared" si="208"/>
        <v>104</v>
      </c>
      <c r="S1276" s="35">
        <f t="shared" si="212"/>
        <v>60</v>
      </c>
    </row>
    <row r="1277" spans="2:19" hidden="1" outlineLevel="1">
      <c r="B1277" s="14" t="s">
        <v>116</v>
      </c>
      <c r="C1277" s="15" t="s">
        <v>65</v>
      </c>
      <c r="D1277" s="52">
        <v>2055</v>
      </c>
      <c r="E1277" s="34">
        <v>6</v>
      </c>
      <c r="F1277" s="38">
        <f t="shared" si="209"/>
        <v>20024.064753062685</v>
      </c>
      <c r="G1277" s="34">
        <f t="shared" si="210"/>
        <v>9</v>
      </c>
      <c r="H1277" s="34">
        <f t="shared" si="211"/>
        <v>3</v>
      </c>
      <c r="I1277" s="34" t="str">
        <f t="shared" si="208"/>
        <v/>
      </c>
      <c r="J1277" s="34" t="str">
        <f t="shared" si="208"/>
        <v/>
      </c>
      <c r="K1277" s="34" t="str">
        <f t="shared" si="208"/>
        <v/>
      </c>
      <c r="L1277" s="34" t="str">
        <f t="shared" si="208"/>
        <v/>
      </c>
      <c r="M1277" s="34" t="str">
        <f t="shared" si="208"/>
        <v/>
      </c>
      <c r="N1277" s="34">
        <f t="shared" si="208"/>
        <v>60</v>
      </c>
      <c r="O1277" s="34">
        <f t="shared" si="208"/>
        <v>67</v>
      </c>
      <c r="P1277" s="34">
        <f t="shared" si="208"/>
        <v>79</v>
      </c>
      <c r="Q1277" s="34">
        <f t="shared" si="208"/>
        <v>91</v>
      </c>
      <c r="R1277" s="34">
        <f t="shared" si="208"/>
        <v>103</v>
      </c>
      <c r="S1277" s="35">
        <f t="shared" si="212"/>
        <v>60</v>
      </c>
    </row>
    <row r="1278" spans="2:19" hidden="1" outlineLevel="1">
      <c r="B1278" s="14" t="s">
        <v>116</v>
      </c>
      <c r="C1278" s="15" t="s">
        <v>65</v>
      </c>
      <c r="D1278" s="52">
        <v>2055</v>
      </c>
      <c r="E1278" s="34">
        <v>7</v>
      </c>
      <c r="F1278" s="38">
        <f t="shared" si="209"/>
        <v>20024.064753062685</v>
      </c>
      <c r="G1278" s="34">
        <f t="shared" si="210"/>
        <v>9</v>
      </c>
      <c r="H1278" s="34">
        <f t="shared" si="211"/>
        <v>3</v>
      </c>
      <c r="I1278" s="34" t="str">
        <f t="shared" si="208"/>
        <v/>
      </c>
      <c r="J1278" s="34" t="str">
        <f t="shared" si="208"/>
        <v/>
      </c>
      <c r="K1278" s="34" t="str">
        <f t="shared" si="208"/>
        <v/>
      </c>
      <c r="L1278" s="34" t="str">
        <f t="shared" si="208"/>
        <v/>
      </c>
      <c r="M1278" s="34" t="str">
        <f t="shared" si="208"/>
        <v/>
      </c>
      <c r="N1278" s="34">
        <f t="shared" si="208"/>
        <v>60</v>
      </c>
      <c r="O1278" s="34">
        <f t="shared" si="208"/>
        <v>66</v>
      </c>
      <c r="P1278" s="34">
        <f t="shared" si="208"/>
        <v>78</v>
      </c>
      <c r="Q1278" s="34">
        <f t="shared" si="208"/>
        <v>90</v>
      </c>
      <c r="R1278" s="34">
        <f t="shared" si="208"/>
        <v>102</v>
      </c>
      <c r="S1278" s="35">
        <f t="shared" si="212"/>
        <v>60</v>
      </c>
    </row>
    <row r="1279" spans="2:19" hidden="1" outlineLevel="1">
      <c r="B1279" s="14" t="s">
        <v>116</v>
      </c>
      <c r="C1279" s="15" t="s">
        <v>65</v>
      </c>
      <c r="D1279" s="52">
        <v>2055</v>
      </c>
      <c r="E1279" s="34">
        <v>8</v>
      </c>
      <c r="F1279" s="38">
        <f t="shared" si="209"/>
        <v>20024.064753062685</v>
      </c>
      <c r="G1279" s="34">
        <f t="shared" si="210"/>
        <v>9</v>
      </c>
      <c r="H1279" s="34">
        <f t="shared" si="211"/>
        <v>3</v>
      </c>
      <c r="I1279" s="34" t="str">
        <f t="shared" si="208"/>
        <v/>
      </c>
      <c r="J1279" s="34" t="str">
        <f t="shared" si="208"/>
        <v/>
      </c>
      <c r="K1279" s="34" t="str">
        <f t="shared" si="208"/>
        <v/>
      </c>
      <c r="L1279" s="34" t="str">
        <f t="shared" si="208"/>
        <v/>
      </c>
      <c r="M1279" s="34" t="str">
        <f t="shared" si="208"/>
        <v/>
      </c>
      <c r="N1279" s="34">
        <f t="shared" si="208"/>
        <v>60</v>
      </c>
      <c r="O1279" s="34">
        <f t="shared" si="208"/>
        <v>65</v>
      </c>
      <c r="P1279" s="34">
        <f t="shared" si="208"/>
        <v>77</v>
      </c>
      <c r="Q1279" s="34">
        <f t="shared" si="208"/>
        <v>89</v>
      </c>
      <c r="R1279" s="34">
        <f t="shared" si="208"/>
        <v>101</v>
      </c>
      <c r="S1279" s="35">
        <f t="shared" si="212"/>
        <v>60</v>
      </c>
    </row>
    <row r="1280" spans="2:19" hidden="1" outlineLevel="1">
      <c r="B1280" s="14" t="s">
        <v>116</v>
      </c>
      <c r="C1280" s="15" t="s">
        <v>65</v>
      </c>
      <c r="D1280" s="52">
        <v>2055</v>
      </c>
      <c r="E1280" s="34">
        <v>9</v>
      </c>
      <c r="F1280" s="38">
        <f t="shared" si="209"/>
        <v>20024.064753062685</v>
      </c>
      <c r="G1280" s="34">
        <f t="shared" si="210"/>
        <v>9</v>
      </c>
      <c r="H1280" s="34">
        <f t="shared" si="211"/>
        <v>3</v>
      </c>
      <c r="I1280" s="34" t="str">
        <f t="shared" ref="I1280:R1289" si="213">IF($D1280&lt;$Z$18,"",IF(MAX($G1280,INDEX($C$65:$F$108,$D1280+I$119-2026,$H1280))&lt;=12*I$119-$E1280+12,MAX($G1280,12*I$119-$E1280+1,INDEX($C$65:$F$108,$D1280+I$119-2026,$H1280)),""))</f>
        <v/>
      </c>
      <c r="J1280" s="34" t="str">
        <f t="shared" si="213"/>
        <v/>
      </c>
      <c r="K1280" s="34" t="str">
        <f t="shared" si="213"/>
        <v/>
      </c>
      <c r="L1280" s="34" t="str">
        <f t="shared" si="213"/>
        <v/>
      </c>
      <c r="M1280" s="34" t="str">
        <f t="shared" si="213"/>
        <v/>
      </c>
      <c r="N1280" s="34">
        <f t="shared" si="213"/>
        <v>60</v>
      </c>
      <c r="O1280" s="34">
        <f t="shared" si="213"/>
        <v>64</v>
      </c>
      <c r="P1280" s="34">
        <f t="shared" si="213"/>
        <v>76</v>
      </c>
      <c r="Q1280" s="34">
        <f t="shared" si="213"/>
        <v>88</v>
      </c>
      <c r="R1280" s="34">
        <f t="shared" si="213"/>
        <v>100</v>
      </c>
      <c r="S1280" s="35">
        <f t="shared" si="212"/>
        <v>60</v>
      </c>
    </row>
    <row r="1281" spans="2:19" hidden="1" outlineLevel="1">
      <c r="B1281" s="14" t="s">
        <v>116</v>
      </c>
      <c r="C1281" s="15" t="s">
        <v>65</v>
      </c>
      <c r="D1281" s="52">
        <v>2055</v>
      </c>
      <c r="E1281" s="34">
        <v>10</v>
      </c>
      <c r="F1281" s="38">
        <f t="shared" si="209"/>
        <v>20024.064753062685</v>
      </c>
      <c r="G1281" s="34">
        <f t="shared" si="210"/>
        <v>9</v>
      </c>
      <c r="H1281" s="34">
        <f t="shared" si="211"/>
        <v>3</v>
      </c>
      <c r="I1281" s="34" t="str">
        <f t="shared" si="213"/>
        <v/>
      </c>
      <c r="J1281" s="34" t="str">
        <f t="shared" si="213"/>
        <v/>
      </c>
      <c r="K1281" s="34" t="str">
        <f t="shared" si="213"/>
        <v/>
      </c>
      <c r="L1281" s="34" t="str">
        <f t="shared" si="213"/>
        <v/>
      </c>
      <c r="M1281" s="34" t="str">
        <f t="shared" si="213"/>
        <v/>
      </c>
      <c r="N1281" s="34">
        <f t="shared" si="213"/>
        <v>60</v>
      </c>
      <c r="O1281" s="34">
        <f t="shared" si="213"/>
        <v>63</v>
      </c>
      <c r="P1281" s="34">
        <f t="shared" si="213"/>
        <v>75</v>
      </c>
      <c r="Q1281" s="34">
        <f t="shared" si="213"/>
        <v>87</v>
      </c>
      <c r="R1281" s="34">
        <f t="shared" si="213"/>
        <v>99</v>
      </c>
      <c r="S1281" s="35">
        <f t="shared" si="212"/>
        <v>60</v>
      </c>
    </row>
    <row r="1282" spans="2:19" hidden="1" outlineLevel="1">
      <c r="B1282" s="14" t="s">
        <v>116</v>
      </c>
      <c r="C1282" s="15" t="s">
        <v>65</v>
      </c>
      <c r="D1282" s="52">
        <v>2055</v>
      </c>
      <c r="E1282" s="34">
        <v>11</v>
      </c>
      <c r="F1282" s="38">
        <f t="shared" si="209"/>
        <v>20024.064753062685</v>
      </c>
      <c r="G1282" s="34">
        <f t="shared" si="210"/>
        <v>9</v>
      </c>
      <c r="H1282" s="34">
        <f t="shared" si="211"/>
        <v>3</v>
      </c>
      <c r="I1282" s="34" t="str">
        <f t="shared" si="213"/>
        <v/>
      </c>
      <c r="J1282" s="34" t="str">
        <f t="shared" si="213"/>
        <v/>
      </c>
      <c r="K1282" s="34" t="str">
        <f t="shared" si="213"/>
        <v/>
      </c>
      <c r="L1282" s="34" t="str">
        <f t="shared" si="213"/>
        <v/>
      </c>
      <c r="M1282" s="34" t="str">
        <f t="shared" si="213"/>
        <v/>
      </c>
      <c r="N1282" s="34">
        <f t="shared" si="213"/>
        <v>60</v>
      </c>
      <c r="O1282" s="34">
        <f t="shared" si="213"/>
        <v>62</v>
      </c>
      <c r="P1282" s="34">
        <f t="shared" si="213"/>
        <v>74</v>
      </c>
      <c r="Q1282" s="34">
        <f t="shared" si="213"/>
        <v>86</v>
      </c>
      <c r="R1282" s="34">
        <f t="shared" si="213"/>
        <v>98</v>
      </c>
      <c r="S1282" s="35">
        <f t="shared" si="212"/>
        <v>60</v>
      </c>
    </row>
    <row r="1283" spans="2:19" hidden="1" outlineLevel="1">
      <c r="B1283" s="14" t="s">
        <v>116</v>
      </c>
      <c r="C1283" s="15" t="s">
        <v>65</v>
      </c>
      <c r="D1283" s="52">
        <v>2055</v>
      </c>
      <c r="E1283" s="34">
        <v>12</v>
      </c>
      <c r="F1283" s="38">
        <f t="shared" si="209"/>
        <v>20024.064753062685</v>
      </c>
      <c r="G1283" s="34">
        <f t="shared" si="210"/>
        <v>9</v>
      </c>
      <c r="H1283" s="34">
        <f t="shared" si="211"/>
        <v>3</v>
      </c>
      <c r="I1283" s="34" t="str">
        <f t="shared" si="213"/>
        <v/>
      </c>
      <c r="J1283" s="34" t="str">
        <f t="shared" si="213"/>
        <v/>
      </c>
      <c r="K1283" s="34" t="str">
        <f t="shared" si="213"/>
        <v/>
      </c>
      <c r="L1283" s="34" t="str">
        <f t="shared" si="213"/>
        <v/>
      </c>
      <c r="M1283" s="34" t="str">
        <f t="shared" si="213"/>
        <v/>
      </c>
      <c r="N1283" s="34">
        <f t="shared" si="213"/>
        <v>60</v>
      </c>
      <c r="O1283" s="34">
        <f t="shared" si="213"/>
        <v>61</v>
      </c>
      <c r="P1283" s="34">
        <f t="shared" si="213"/>
        <v>73</v>
      </c>
      <c r="Q1283" s="34">
        <f t="shared" si="213"/>
        <v>85</v>
      </c>
      <c r="R1283" s="34">
        <f t="shared" si="213"/>
        <v>97</v>
      </c>
      <c r="S1283" s="35">
        <f t="shared" si="212"/>
        <v>60</v>
      </c>
    </row>
    <row r="1284" spans="2:19" hidden="1" outlineLevel="1">
      <c r="B1284" s="14" t="s">
        <v>116</v>
      </c>
      <c r="C1284" s="15" t="s">
        <v>65</v>
      </c>
      <c r="D1284" s="52">
        <v>2056</v>
      </c>
      <c r="E1284" s="34">
        <v>1</v>
      </c>
      <c r="F1284" s="38">
        <f t="shared" si="209"/>
        <v>20113.627748809431</v>
      </c>
      <c r="G1284" s="34">
        <f t="shared" si="210"/>
        <v>9</v>
      </c>
      <c r="H1284" s="34">
        <f t="shared" si="211"/>
        <v>3</v>
      </c>
      <c r="I1284" s="34" t="str">
        <f t="shared" si="213"/>
        <v/>
      </c>
      <c r="J1284" s="34" t="str">
        <f t="shared" si="213"/>
        <v/>
      </c>
      <c r="K1284" s="34" t="str">
        <f t="shared" si="213"/>
        <v/>
      </c>
      <c r="L1284" s="34" t="str">
        <f t="shared" si="213"/>
        <v/>
      </c>
      <c r="M1284" s="34" t="str">
        <f t="shared" si="213"/>
        <v/>
      </c>
      <c r="N1284" s="34">
        <f t="shared" si="213"/>
        <v>60</v>
      </c>
      <c r="O1284" s="34">
        <f t="shared" si="213"/>
        <v>72</v>
      </c>
      <c r="P1284" s="34">
        <f t="shared" si="213"/>
        <v>84</v>
      </c>
      <c r="Q1284" s="34">
        <f t="shared" si="213"/>
        <v>96</v>
      </c>
      <c r="R1284" s="34">
        <f t="shared" si="213"/>
        <v>108</v>
      </c>
      <c r="S1284" s="35">
        <f t="shared" si="212"/>
        <v>60</v>
      </c>
    </row>
    <row r="1285" spans="2:19" hidden="1" outlineLevel="1">
      <c r="B1285" s="14" t="s">
        <v>116</v>
      </c>
      <c r="C1285" s="15" t="s">
        <v>65</v>
      </c>
      <c r="D1285" s="52">
        <v>2056</v>
      </c>
      <c r="E1285" s="34">
        <v>2</v>
      </c>
      <c r="F1285" s="38">
        <f t="shared" si="209"/>
        <v>20113.627748809431</v>
      </c>
      <c r="G1285" s="34">
        <f t="shared" si="210"/>
        <v>9</v>
      </c>
      <c r="H1285" s="34">
        <f t="shared" si="211"/>
        <v>3</v>
      </c>
      <c r="I1285" s="34" t="str">
        <f t="shared" si="213"/>
        <v/>
      </c>
      <c r="J1285" s="34" t="str">
        <f t="shared" si="213"/>
        <v/>
      </c>
      <c r="K1285" s="34" t="str">
        <f t="shared" si="213"/>
        <v/>
      </c>
      <c r="L1285" s="34" t="str">
        <f t="shared" si="213"/>
        <v/>
      </c>
      <c r="M1285" s="34" t="str">
        <f t="shared" si="213"/>
        <v/>
      </c>
      <c r="N1285" s="34">
        <f t="shared" si="213"/>
        <v>60</v>
      </c>
      <c r="O1285" s="34">
        <f t="shared" si="213"/>
        <v>71</v>
      </c>
      <c r="P1285" s="34">
        <f t="shared" si="213"/>
        <v>83</v>
      </c>
      <c r="Q1285" s="34">
        <f t="shared" si="213"/>
        <v>95</v>
      </c>
      <c r="R1285" s="34">
        <f t="shared" si="213"/>
        <v>107</v>
      </c>
      <c r="S1285" s="35">
        <f t="shared" si="212"/>
        <v>60</v>
      </c>
    </row>
    <row r="1286" spans="2:19" hidden="1" outlineLevel="1">
      <c r="B1286" s="14" t="s">
        <v>116</v>
      </c>
      <c r="C1286" s="15" t="s">
        <v>65</v>
      </c>
      <c r="D1286" s="52">
        <v>2056</v>
      </c>
      <c r="E1286" s="34">
        <v>3</v>
      </c>
      <c r="F1286" s="38">
        <f t="shared" si="209"/>
        <v>20113.627748809431</v>
      </c>
      <c r="G1286" s="34">
        <f t="shared" si="210"/>
        <v>9</v>
      </c>
      <c r="H1286" s="34">
        <f t="shared" si="211"/>
        <v>3</v>
      </c>
      <c r="I1286" s="34" t="str">
        <f t="shared" si="213"/>
        <v/>
      </c>
      <c r="J1286" s="34" t="str">
        <f t="shared" si="213"/>
        <v/>
      </c>
      <c r="K1286" s="34" t="str">
        <f t="shared" si="213"/>
        <v/>
      </c>
      <c r="L1286" s="34" t="str">
        <f t="shared" si="213"/>
        <v/>
      </c>
      <c r="M1286" s="34" t="str">
        <f t="shared" si="213"/>
        <v/>
      </c>
      <c r="N1286" s="34">
        <f t="shared" si="213"/>
        <v>60</v>
      </c>
      <c r="O1286" s="34">
        <f t="shared" si="213"/>
        <v>70</v>
      </c>
      <c r="P1286" s="34">
        <f t="shared" si="213"/>
        <v>82</v>
      </c>
      <c r="Q1286" s="34">
        <f t="shared" si="213"/>
        <v>94</v>
      </c>
      <c r="R1286" s="34">
        <f t="shared" si="213"/>
        <v>106</v>
      </c>
      <c r="S1286" s="35">
        <f t="shared" si="212"/>
        <v>60</v>
      </c>
    </row>
    <row r="1287" spans="2:19" hidden="1" outlineLevel="1">
      <c r="B1287" s="14" t="s">
        <v>116</v>
      </c>
      <c r="C1287" s="15" t="s">
        <v>65</v>
      </c>
      <c r="D1287" s="52">
        <v>2056</v>
      </c>
      <c r="E1287" s="34">
        <v>4</v>
      </c>
      <c r="F1287" s="38">
        <f t="shared" si="209"/>
        <v>20113.627748809431</v>
      </c>
      <c r="G1287" s="34">
        <f t="shared" si="210"/>
        <v>9</v>
      </c>
      <c r="H1287" s="34">
        <f t="shared" si="211"/>
        <v>3</v>
      </c>
      <c r="I1287" s="34" t="str">
        <f t="shared" si="213"/>
        <v/>
      </c>
      <c r="J1287" s="34" t="str">
        <f t="shared" si="213"/>
        <v/>
      </c>
      <c r="K1287" s="34" t="str">
        <f t="shared" si="213"/>
        <v/>
      </c>
      <c r="L1287" s="34" t="str">
        <f t="shared" si="213"/>
        <v/>
      </c>
      <c r="M1287" s="34" t="str">
        <f t="shared" si="213"/>
        <v/>
      </c>
      <c r="N1287" s="34">
        <f t="shared" si="213"/>
        <v>60</v>
      </c>
      <c r="O1287" s="34">
        <f t="shared" si="213"/>
        <v>69</v>
      </c>
      <c r="P1287" s="34">
        <f t="shared" si="213"/>
        <v>81</v>
      </c>
      <c r="Q1287" s="34">
        <f t="shared" si="213"/>
        <v>93</v>
      </c>
      <c r="R1287" s="34">
        <f t="shared" si="213"/>
        <v>105</v>
      </c>
      <c r="S1287" s="35">
        <f t="shared" si="212"/>
        <v>60</v>
      </c>
    </row>
    <row r="1288" spans="2:19" hidden="1" outlineLevel="1">
      <c r="B1288" s="14" t="s">
        <v>116</v>
      </c>
      <c r="C1288" s="15" t="s">
        <v>65</v>
      </c>
      <c r="D1288" s="52">
        <v>2056</v>
      </c>
      <c r="E1288" s="34">
        <v>5</v>
      </c>
      <c r="F1288" s="38">
        <f t="shared" si="209"/>
        <v>20113.627748809431</v>
      </c>
      <c r="G1288" s="34">
        <f t="shared" si="210"/>
        <v>9</v>
      </c>
      <c r="H1288" s="34">
        <f t="shared" si="211"/>
        <v>3</v>
      </c>
      <c r="I1288" s="34" t="str">
        <f t="shared" si="213"/>
        <v/>
      </c>
      <c r="J1288" s="34" t="str">
        <f t="shared" si="213"/>
        <v/>
      </c>
      <c r="K1288" s="34" t="str">
        <f t="shared" si="213"/>
        <v/>
      </c>
      <c r="L1288" s="34" t="str">
        <f t="shared" si="213"/>
        <v/>
      </c>
      <c r="M1288" s="34" t="str">
        <f t="shared" si="213"/>
        <v/>
      </c>
      <c r="N1288" s="34">
        <f t="shared" si="213"/>
        <v>60</v>
      </c>
      <c r="O1288" s="34">
        <f t="shared" si="213"/>
        <v>68</v>
      </c>
      <c r="P1288" s="34">
        <f t="shared" si="213"/>
        <v>80</v>
      </c>
      <c r="Q1288" s="34">
        <f t="shared" si="213"/>
        <v>92</v>
      </c>
      <c r="R1288" s="34">
        <f t="shared" si="213"/>
        <v>104</v>
      </c>
      <c r="S1288" s="35">
        <f t="shared" si="212"/>
        <v>60</v>
      </c>
    </row>
    <row r="1289" spans="2:19" hidden="1" outlineLevel="1">
      <c r="B1289" s="14" t="s">
        <v>116</v>
      </c>
      <c r="C1289" s="15" t="s">
        <v>65</v>
      </c>
      <c r="D1289" s="52">
        <v>2056</v>
      </c>
      <c r="E1289" s="34">
        <v>6</v>
      </c>
      <c r="F1289" s="38">
        <f t="shared" si="209"/>
        <v>20113.627748809431</v>
      </c>
      <c r="G1289" s="34">
        <f t="shared" si="210"/>
        <v>9</v>
      </c>
      <c r="H1289" s="34">
        <f t="shared" si="211"/>
        <v>3</v>
      </c>
      <c r="I1289" s="34" t="str">
        <f t="shared" si="213"/>
        <v/>
      </c>
      <c r="J1289" s="34" t="str">
        <f t="shared" si="213"/>
        <v/>
      </c>
      <c r="K1289" s="34" t="str">
        <f t="shared" si="213"/>
        <v/>
      </c>
      <c r="L1289" s="34" t="str">
        <f t="shared" si="213"/>
        <v/>
      </c>
      <c r="M1289" s="34" t="str">
        <f t="shared" si="213"/>
        <v/>
      </c>
      <c r="N1289" s="34">
        <f t="shared" si="213"/>
        <v>60</v>
      </c>
      <c r="O1289" s="34">
        <f t="shared" si="213"/>
        <v>67</v>
      </c>
      <c r="P1289" s="34">
        <f t="shared" si="213"/>
        <v>79</v>
      </c>
      <c r="Q1289" s="34">
        <f t="shared" si="213"/>
        <v>91</v>
      </c>
      <c r="R1289" s="34">
        <f t="shared" si="213"/>
        <v>103</v>
      </c>
      <c r="S1289" s="35">
        <f t="shared" si="212"/>
        <v>60</v>
      </c>
    </row>
    <row r="1290" spans="2:19" hidden="1" outlineLevel="1">
      <c r="B1290" s="14" t="s">
        <v>116</v>
      </c>
      <c r="C1290" s="15" t="s">
        <v>65</v>
      </c>
      <c r="D1290" s="52">
        <v>2056</v>
      </c>
      <c r="E1290" s="34">
        <v>7</v>
      </c>
      <c r="F1290" s="38">
        <f t="shared" si="209"/>
        <v>20113.627748809431</v>
      </c>
      <c r="G1290" s="34">
        <f t="shared" si="210"/>
        <v>9</v>
      </c>
      <c r="H1290" s="34">
        <f t="shared" si="211"/>
        <v>3</v>
      </c>
      <c r="I1290" s="34" t="str">
        <f t="shared" ref="I1290:R1299" si="214">IF($D1290&lt;$Z$18,"",IF(MAX($G1290,INDEX($C$65:$F$108,$D1290+I$119-2026,$H1290))&lt;=12*I$119-$E1290+12,MAX($G1290,12*I$119-$E1290+1,INDEX($C$65:$F$108,$D1290+I$119-2026,$H1290)),""))</f>
        <v/>
      </c>
      <c r="J1290" s="34" t="str">
        <f t="shared" si="214"/>
        <v/>
      </c>
      <c r="K1290" s="34" t="str">
        <f t="shared" si="214"/>
        <v/>
      </c>
      <c r="L1290" s="34" t="str">
        <f t="shared" si="214"/>
        <v/>
      </c>
      <c r="M1290" s="34" t="str">
        <f t="shared" si="214"/>
        <v/>
      </c>
      <c r="N1290" s="34">
        <f t="shared" si="214"/>
        <v>60</v>
      </c>
      <c r="O1290" s="34">
        <f t="shared" si="214"/>
        <v>66</v>
      </c>
      <c r="P1290" s="34">
        <f t="shared" si="214"/>
        <v>78</v>
      </c>
      <c r="Q1290" s="34">
        <f t="shared" si="214"/>
        <v>90</v>
      </c>
      <c r="R1290" s="34">
        <f t="shared" si="214"/>
        <v>102</v>
      </c>
      <c r="S1290" s="35">
        <f t="shared" si="212"/>
        <v>60</v>
      </c>
    </row>
    <row r="1291" spans="2:19" hidden="1" outlineLevel="1">
      <c r="B1291" s="14" t="s">
        <v>116</v>
      </c>
      <c r="C1291" s="15" t="s">
        <v>65</v>
      </c>
      <c r="D1291" s="52">
        <v>2056</v>
      </c>
      <c r="E1291" s="34">
        <v>8</v>
      </c>
      <c r="F1291" s="38">
        <f t="shared" si="209"/>
        <v>20113.627748809431</v>
      </c>
      <c r="G1291" s="34">
        <f t="shared" si="210"/>
        <v>9</v>
      </c>
      <c r="H1291" s="34">
        <f t="shared" si="211"/>
        <v>3</v>
      </c>
      <c r="I1291" s="34" t="str">
        <f t="shared" si="214"/>
        <v/>
      </c>
      <c r="J1291" s="34" t="str">
        <f t="shared" si="214"/>
        <v/>
      </c>
      <c r="K1291" s="34" t="str">
        <f t="shared" si="214"/>
        <v/>
      </c>
      <c r="L1291" s="34" t="str">
        <f t="shared" si="214"/>
        <v/>
      </c>
      <c r="M1291" s="34" t="str">
        <f t="shared" si="214"/>
        <v/>
      </c>
      <c r="N1291" s="34">
        <f t="shared" si="214"/>
        <v>60</v>
      </c>
      <c r="O1291" s="34">
        <f t="shared" si="214"/>
        <v>65</v>
      </c>
      <c r="P1291" s="34">
        <f t="shared" si="214"/>
        <v>77</v>
      </c>
      <c r="Q1291" s="34">
        <f t="shared" si="214"/>
        <v>89</v>
      </c>
      <c r="R1291" s="34">
        <f t="shared" si="214"/>
        <v>101</v>
      </c>
      <c r="S1291" s="35">
        <f t="shared" si="212"/>
        <v>60</v>
      </c>
    </row>
    <row r="1292" spans="2:19" hidden="1" outlineLevel="1">
      <c r="B1292" s="14" t="s">
        <v>116</v>
      </c>
      <c r="C1292" s="15" t="s">
        <v>65</v>
      </c>
      <c r="D1292" s="52">
        <v>2056</v>
      </c>
      <c r="E1292" s="34">
        <v>9</v>
      </c>
      <c r="F1292" s="38">
        <f t="shared" si="209"/>
        <v>20113.627748809431</v>
      </c>
      <c r="G1292" s="34">
        <f t="shared" si="210"/>
        <v>9</v>
      </c>
      <c r="H1292" s="34">
        <f t="shared" si="211"/>
        <v>3</v>
      </c>
      <c r="I1292" s="34" t="str">
        <f t="shared" si="214"/>
        <v/>
      </c>
      <c r="J1292" s="34" t="str">
        <f t="shared" si="214"/>
        <v/>
      </c>
      <c r="K1292" s="34" t="str">
        <f t="shared" si="214"/>
        <v/>
      </c>
      <c r="L1292" s="34" t="str">
        <f t="shared" si="214"/>
        <v/>
      </c>
      <c r="M1292" s="34" t="str">
        <f t="shared" si="214"/>
        <v/>
      </c>
      <c r="N1292" s="34">
        <f t="shared" si="214"/>
        <v>60</v>
      </c>
      <c r="O1292" s="34">
        <f t="shared" si="214"/>
        <v>64</v>
      </c>
      <c r="P1292" s="34">
        <f t="shared" si="214"/>
        <v>76</v>
      </c>
      <c r="Q1292" s="34">
        <f t="shared" si="214"/>
        <v>88</v>
      </c>
      <c r="R1292" s="34">
        <f t="shared" si="214"/>
        <v>100</v>
      </c>
      <c r="S1292" s="35">
        <f t="shared" si="212"/>
        <v>60</v>
      </c>
    </row>
    <row r="1293" spans="2:19" hidden="1" outlineLevel="1">
      <c r="B1293" s="14" t="s">
        <v>116</v>
      </c>
      <c r="C1293" s="15" t="s">
        <v>65</v>
      </c>
      <c r="D1293" s="52">
        <v>2056</v>
      </c>
      <c r="E1293" s="34">
        <v>10</v>
      </c>
      <c r="F1293" s="38">
        <f t="shared" si="209"/>
        <v>20113.627748809431</v>
      </c>
      <c r="G1293" s="34">
        <f t="shared" si="210"/>
        <v>9</v>
      </c>
      <c r="H1293" s="34">
        <f t="shared" si="211"/>
        <v>3</v>
      </c>
      <c r="I1293" s="34" t="str">
        <f t="shared" si="214"/>
        <v/>
      </c>
      <c r="J1293" s="34" t="str">
        <f t="shared" si="214"/>
        <v/>
      </c>
      <c r="K1293" s="34" t="str">
        <f t="shared" si="214"/>
        <v/>
      </c>
      <c r="L1293" s="34" t="str">
        <f t="shared" si="214"/>
        <v/>
      </c>
      <c r="M1293" s="34" t="str">
        <f t="shared" si="214"/>
        <v/>
      </c>
      <c r="N1293" s="34">
        <f t="shared" si="214"/>
        <v>60</v>
      </c>
      <c r="O1293" s="34">
        <f t="shared" si="214"/>
        <v>63</v>
      </c>
      <c r="P1293" s="34">
        <f t="shared" si="214"/>
        <v>75</v>
      </c>
      <c r="Q1293" s="34">
        <f t="shared" si="214"/>
        <v>87</v>
      </c>
      <c r="R1293" s="34">
        <f t="shared" si="214"/>
        <v>99</v>
      </c>
      <c r="S1293" s="35">
        <f t="shared" si="212"/>
        <v>60</v>
      </c>
    </row>
    <row r="1294" spans="2:19" hidden="1" outlineLevel="1">
      <c r="B1294" s="14" t="s">
        <v>116</v>
      </c>
      <c r="C1294" s="15" t="s">
        <v>65</v>
      </c>
      <c r="D1294" s="52">
        <v>2056</v>
      </c>
      <c r="E1294" s="34">
        <v>11</v>
      </c>
      <c r="F1294" s="38">
        <f t="shared" si="209"/>
        <v>20113.627748809431</v>
      </c>
      <c r="G1294" s="34">
        <f t="shared" si="210"/>
        <v>9</v>
      </c>
      <c r="H1294" s="34">
        <f t="shared" si="211"/>
        <v>3</v>
      </c>
      <c r="I1294" s="34" t="str">
        <f t="shared" si="214"/>
        <v/>
      </c>
      <c r="J1294" s="34" t="str">
        <f t="shared" si="214"/>
        <v/>
      </c>
      <c r="K1294" s="34" t="str">
        <f t="shared" si="214"/>
        <v/>
      </c>
      <c r="L1294" s="34" t="str">
        <f t="shared" si="214"/>
        <v/>
      </c>
      <c r="M1294" s="34" t="str">
        <f t="shared" si="214"/>
        <v/>
      </c>
      <c r="N1294" s="34">
        <f t="shared" si="214"/>
        <v>60</v>
      </c>
      <c r="O1294" s="34">
        <f t="shared" si="214"/>
        <v>62</v>
      </c>
      <c r="P1294" s="34">
        <f t="shared" si="214"/>
        <v>74</v>
      </c>
      <c r="Q1294" s="34">
        <f t="shared" si="214"/>
        <v>86</v>
      </c>
      <c r="R1294" s="34">
        <f t="shared" si="214"/>
        <v>98</v>
      </c>
      <c r="S1294" s="35">
        <f t="shared" si="212"/>
        <v>60</v>
      </c>
    </row>
    <row r="1295" spans="2:19" hidden="1" outlineLevel="1">
      <c r="B1295" s="14" t="s">
        <v>116</v>
      </c>
      <c r="C1295" s="15" t="s">
        <v>65</v>
      </c>
      <c r="D1295" s="52">
        <v>2056</v>
      </c>
      <c r="E1295" s="34">
        <v>12</v>
      </c>
      <c r="F1295" s="38">
        <f t="shared" si="209"/>
        <v>20113.627748809431</v>
      </c>
      <c r="G1295" s="34">
        <f t="shared" si="210"/>
        <v>9</v>
      </c>
      <c r="H1295" s="34">
        <f t="shared" si="211"/>
        <v>3</v>
      </c>
      <c r="I1295" s="34" t="str">
        <f t="shared" si="214"/>
        <v/>
      </c>
      <c r="J1295" s="34" t="str">
        <f t="shared" si="214"/>
        <v/>
      </c>
      <c r="K1295" s="34" t="str">
        <f t="shared" si="214"/>
        <v/>
      </c>
      <c r="L1295" s="34" t="str">
        <f t="shared" si="214"/>
        <v/>
      </c>
      <c r="M1295" s="34" t="str">
        <f t="shared" si="214"/>
        <v/>
      </c>
      <c r="N1295" s="34">
        <f t="shared" si="214"/>
        <v>60</v>
      </c>
      <c r="O1295" s="34">
        <f t="shared" si="214"/>
        <v>61</v>
      </c>
      <c r="P1295" s="34">
        <f t="shared" si="214"/>
        <v>73</v>
      </c>
      <c r="Q1295" s="34">
        <f t="shared" si="214"/>
        <v>85</v>
      </c>
      <c r="R1295" s="34">
        <f t="shared" si="214"/>
        <v>97</v>
      </c>
      <c r="S1295" s="35">
        <f t="shared" si="212"/>
        <v>60</v>
      </c>
    </row>
    <row r="1296" spans="2:19" hidden="1" outlineLevel="1">
      <c r="B1296" s="14" t="s">
        <v>116</v>
      </c>
      <c r="C1296" s="15" t="s">
        <v>65</v>
      </c>
      <c r="D1296" s="52">
        <v>2057</v>
      </c>
      <c r="E1296" s="34">
        <v>1</v>
      </c>
      <c r="F1296" s="38">
        <f t="shared" si="209"/>
        <v>20193.081024066549</v>
      </c>
      <c r="G1296" s="34">
        <f t="shared" si="210"/>
        <v>9</v>
      </c>
      <c r="H1296" s="34">
        <f t="shared" si="211"/>
        <v>3</v>
      </c>
      <c r="I1296" s="34" t="str">
        <f t="shared" si="214"/>
        <v/>
      </c>
      <c r="J1296" s="34" t="str">
        <f t="shared" si="214"/>
        <v/>
      </c>
      <c r="K1296" s="34" t="str">
        <f t="shared" si="214"/>
        <v/>
      </c>
      <c r="L1296" s="34" t="str">
        <f t="shared" si="214"/>
        <v/>
      </c>
      <c r="M1296" s="34" t="str">
        <f t="shared" si="214"/>
        <v/>
      </c>
      <c r="N1296" s="34">
        <f t="shared" si="214"/>
        <v>60</v>
      </c>
      <c r="O1296" s="34">
        <f t="shared" si="214"/>
        <v>72</v>
      </c>
      <c r="P1296" s="34">
        <f t="shared" si="214"/>
        <v>84</v>
      </c>
      <c r="Q1296" s="34">
        <f t="shared" si="214"/>
        <v>96</v>
      </c>
      <c r="R1296" s="34">
        <f t="shared" si="214"/>
        <v>108</v>
      </c>
      <c r="S1296" s="35">
        <f t="shared" si="212"/>
        <v>60</v>
      </c>
    </row>
    <row r="1297" spans="2:19" hidden="1" outlineLevel="1">
      <c r="B1297" s="14" t="s">
        <v>116</v>
      </c>
      <c r="C1297" s="15" t="s">
        <v>65</v>
      </c>
      <c r="D1297" s="52">
        <v>2057</v>
      </c>
      <c r="E1297" s="34">
        <v>2</v>
      </c>
      <c r="F1297" s="38">
        <f t="shared" si="209"/>
        <v>20193.081024066549</v>
      </c>
      <c r="G1297" s="34">
        <f t="shared" si="210"/>
        <v>9</v>
      </c>
      <c r="H1297" s="34">
        <f t="shared" si="211"/>
        <v>3</v>
      </c>
      <c r="I1297" s="34" t="str">
        <f t="shared" si="214"/>
        <v/>
      </c>
      <c r="J1297" s="34" t="str">
        <f t="shared" si="214"/>
        <v/>
      </c>
      <c r="K1297" s="34" t="str">
        <f t="shared" si="214"/>
        <v/>
      </c>
      <c r="L1297" s="34" t="str">
        <f t="shared" si="214"/>
        <v/>
      </c>
      <c r="M1297" s="34" t="str">
        <f t="shared" si="214"/>
        <v/>
      </c>
      <c r="N1297" s="34">
        <f t="shared" si="214"/>
        <v>60</v>
      </c>
      <c r="O1297" s="34">
        <f t="shared" si="214"/>
        <v>71</v>
      </c>
      <c r="P1297" s="34">
        <f t="shared" si="214"/>
        <v>83</v>
      </c>
      <c r="Q1297" s="34">
        <f t="shared" si="214"/>
        <v>95</v>
      </c>
      <c r="R1297" s="34">
        <f t="shared" si="214"/>
        <v>107</v>
      </c>
      <c r="S1297" s="35">
        <f t="shared" si="212"/>
        <v>60</v>
      </c>
    </row>
    <row r="1298" spans="2:19" hidden="1" outlineLevel="1">
      <c r="B1298" s="14" t="s">
        <v>116</v>
      </c>
      <c r="C1298" s="15" t="s">
        <v>65</v>
      </c>
      <c r="D1298" s="52">
        <v>2057</v>
      </c>
      <c r="E1298" s="34">
        <v>3</v>
      </c>
      <c r="F1298" s="38">
        <f t="shared" si="209"/>
        <v>20193.081024066549</v>
      </c>
      <c r="G1298" s="34">
        <f t="shared" si="210"/>
        <v>9</v>
      </c>
      <c r="H1298" s="34">
        <f t="shared" si="211"/>
        <v>3</v>
      </c>
      <c r="I1298" s="34" t="str">
        <f t="shared" si="214"/>
        <v/>
      </c>
      <c r="J1298" s="34" t="str">
        <f t="shared" si="214"/>
        <v/>
      </c>
      <c r="K1298" s="34" t="str">
        <f t="shared" si="214"/>
        <v/>
      </c>
      <c r="L1298" s="34" t="str">
        <f t="shared" si="214"/>
        <v/>
      </c>
      <c r="M1298" s="34" t="str">
        <f t="shared" si="214"/>
        <v/>
      </c>
      <c r="N1298" s="34">
        <f t="shared" si="214"/>
        <v>60</v>
      </c>
      <c r="O1298" s="34">
        <f t="shared" si="214"/>
        <v>70</v>
      </c>
      <c r="P1298" s="34">
        <f t="shared" si="214"/>
        <v>82</v>
      </c>
      <c r="Q1298" s="34">
        <f t="shared" si="214"/>
        <v>94</v>
      </c>
      <c r="R1298" s="34">
        <f t="shared" si="214"/>
        <v>106</v>
      </c>
      <c r="S1298" s="35">
        <f t="shared" si="212"/>
        <v>60</v>
      </c>
    </row>
    <row r="1299" spans="2:19" hidden="1" outlineLevel="1">
      <c r="B1299" s="14" t="s">
        <v>116</v>
      </c>
      <c r="C1299" s="15" t="s">
        <v>65</v>
      </c>
      <c r="D1299" s="52">
        <v>2057</v>
      </c>
      <c r="E1299" s="34">
        <v>4</v>
      </c>
      <c r="F1299" s="38">
        <f t="shared" si="209"/>
        <v>20193.081024066549</v>
      </c>
      <c r="G1299" s="34">
        <f t="shared" si="210"/>
        <v>9</v>
      </c>
      <c r="H1299" s="34">
        <f t="shared" si="211"/>
        <v>3</v>
      </c>
      <c r="I1299" s="34" t="str">
        <f t="shared" si="214"/>
        <v/>
      </c>
      <c r="J1299" s="34" t="str">
        <f t="shared" si="214"/>
        <v/>
      </c>
      <c r="K1299" s="34" t="str">
        <f t="shared" si="214"/>
        <v/>
      </c>
      <c r="L1299" s="34" t="str">
        <f t="shared" si="214"/>
        <v/>
      </c>
      <c r="M1299" s="34" t="str">
        <f t="shared" si="214"/>
        <v/>
      </c>
      <c r="N1299" s="34">
        <f t="shared" si="214"/>
        <v>60</v>
      </c>
      <c r="O1299" s="34">
        <f t="shared" si="214"/>
        <v>69</v>
      </c>
      <c r="P1299" s="34">
        <f t="shared" si="214"/>
        <v>81</v>
      </c>
      <c r="Q1299" s="34">
        <f t="shared" si="214"/>
        <v>93</v>
      </c>
      <c r="R1299" s="34">
        <f t="shared" si="214"/>
        <v>105</v>
      </c>
      <c r="S1299" s="35">
        <f t="shared" si="212"/>
        <v>60</v>
      </c>
    </row>
    <row r="1300" spans="2:19" hidden="1" outlineLevel="1">
      <c r="B1300" s="14" t="s">
        <v>116</v>
      </c>
      <c r="C1300" s="15" t="s">
        <v>65</v>
      </c>
      <c r="D1300" s="52">
        <v>2057</v>
      </c>
      <c r="E1300" s="34">
        <v>5</v>
      </c>
      <c r="F1300" s="38">
        <f t="shared" si="209"/>
        <v>20193.081024066549</v>
      </c>
      <c r="G1300" s="34">
        <f t="shared" si="210"/>
        <v>9</v>
      </c>
      <c r="H1300" s="34">
        <f t="shared" si="211"/>
        <v>3</v>
      </c>
      <c r="I1300" s="34" t="str">
        <f t="shared" ref="I1300:R1309" si="215">IF($D1300&lt;$Z$18,"",IF(MAX($G1300,INDEX($C$65:$F$108,$D1300+I$119-2026,$H1300))&lt;=12*I$119-$E1300+12,MAX($G1300,12*I$119-$E1300+1,INDEX($C$65:$F$108,$D1300+I$119-2026,$H1300)),""))</f>
        <v/>
      </c>
      <c r="J1300" s="34" t="str">
        <f t="shared" si="215"/>
        <v/>
      </c>
      <c r="K1300" s="34" t="str">
        <f t="shared" si="215"/>
        <v/>
      </c>
      <c r="L1300" s="34" t="str">
        <f t="shared" si="215"/>
        <v/>
      </c>
      <c r="M1300" s="34" t="str">
        <f t="shared" si="215"/>
        <v/>
      </c>
      <c r="N1300" s="34">
        <f t="shared" si="215"/>
        <v>60</v>
      </c>
      <c r="O1300" s="34">
        <f t="shared" si="215"/>
        <v>68</v>
      </c>
      <c r="P1300" s="34">
        <f t="shared" si="215"/>
        <v>80</v>
      </c>
      <c r="Q1300" s="34">
        <f t="shared" si="215"/>
        <v>92</v>
      </c>
      <c r="R1300" s="34">
        <f t="shared" si="215"/>
        <v>104</v>
      </c>
      <c r="S1300" s="35">
        <f t="shared" si="212"/>
        <v>60</v>
      </c>
    </row>
    <row r="1301" spans="2:19" hidden="1" outlineLevel="1">
      <c r="B1301" s="14" t="s">
        <v>116</v>
      </c>
      <c r="C1301" s="15" t="s">
        <v>65</v>
      </c>
      <c r="D1301" s="52">
        <v>2057</v>
      </c>
      <c r="E1301" s="34">
        <v>6</v>
      </c>
      <c r="F1301" s="38">
        <f t="shared" si="209"/>
        <v>20193.081024066549</v>
      </c>
      <c r="G1301" s="34">
        <f t="shared" si="210"/>
        <v>9</v>
      </c>
      <c r="H1301" s="34">
        <f t="shared" si="211"/>
        <v>3</v>
      </c>
      <c r="I1301" s="34" t="str">
        <f t="shared" si="215"/>
        <v/>
      </c>
      <c r="J1301" s="34" t="str">
        <f t="shared" si="215"/>
        <v/>
      </c>
      <c r="K1301" s="34" t="str">
        <f t="shared" si="215"/>
        <v/>
      </c>
      <c r="L1301" s="34" t="str">
        <f t="shared" si="215"/>
        <v/>
      </c>
      <c r="M1301" s="34" t="str">
        <f t="shared" si="215"/>
        <v/>
      </c>
      <c r="N1301" s="34">
        <f t="shared" si="215"/>
        <v>60</v>
      </c>
      <c r="O1301" s="34">
        <f t="shared" si="215"/>
        <v>67</v>
      </c>
      <c r="P1301" s="34">
        <f t="shared" si="215"/>
        <v>79</v>
      </c>
      <c r="Q1301" s="34">
        <f t="shared" si="215"/>
        <v>91</v>
      </c>
      <c r="R1301" s="34">
        <f t="shared" si="215"/>
        <v>103</v>
      </c>
      <c r="S1301" s="35">
        <f t="shared" si="212"/>
        <v>60</v>
      </c>
    </row>
    <row r="1302" spans="2:19" hidden="1" outlineLevel="1">
      <c r="B1302" s="14" t="s">
        <v>116</v>
      </c>
      <c r="C1302" s="15" t="s">
        <v>65</v>
      </c>
      <c r="D1302" s="52">
        <v>2057</v>
      </c>
      <c r="E1302" s="34">
        <v>7</v>
      </c>
      <c r="F1302" s="38">
        <f t="shared" si="209"/>
        <v>20193.081024066549</v>
      </c>
      <c r="G1302" s="34">
        <f t="shared" si="210"/>
        <v>9</v>
      </c>
      <c r="H1302" s="34">
        <f t="shared" si="211"/>
        <v>3</v>
      </c>
      <c r="I1302" s="34" t="str">
        <f t="shared" si="215"/>
        <v/>
      </c>
      <c r="J1302" s="34" t="str">
        <f t="shared" si="215"/>
        <v/>
      </c>
      <c r="K1302" s="34" t="str">
        <f t="shared" si="215"/>
        <v/>
      </c>
      <c r="L1302" s="34" t="str">
        <f t="shared" si="215"/>
        <v/>
      </c>
      <c r="M1302" s="34" t="str">
        <f t="shared" si="215"/>
        <v/>
      </c>
      <c r="N1302" s="34">
        <f t="shared" si="215"/>
        <v>60</v>
      </c>
      <c r="O1302" s="34">
        <f t="shared" si="215"/>
        <v>66</v>
      </c>
      <c r="P1302" s="34">
        <f t="shared" si="215"/>
        <v>78</v>
      </c>
      <c r="Q1302" s="34">
        <f t="shared" si="215"/>
        <v>90</v>
      </c>
      <c r="R1302" s="34">
        <f t="shared" si="215"/>
        <v>102</v>
      </c>
      <c r="S1302" s="35">
        <f t="shared" si="212"/>
        <v>60</v>
      </c>
    </row>
    <row r="1303" spans="2:19" hidden="1" outlineLevel="1">
      <c r="B1303" s="14" t="s">
        <v>116</v>
      </c>
      <c r="C1303" s="15" t="s">
        <v>65</v>
      </c>
      <c r="D1303" s="52">
        <v>2057</v>
      </c>
      <c r="E1303" s="34">
        <v>8</v>
      </c>
      <c r="F1303" s="38">
        <f t="shared" si="209"/>
        <v>20193.081024066549</v>
      </c>
      <c r="G1303" s="34">
        <f t="shared" si="210"/>
        <v>9</v>
      </c>
      <c r="H1303" s="34">
        <f t="shared" si="211"/>
        <v>3</v>
      </c>
      <c r="I1303" s="34" t="str">
        <f t="shared" si="215"/>
        <v/>
      </c>
      <c r="J1303" s="34" t="str">
        <f t="shared" si="215"/>
        <v/>
      </c>
      <c r="K1303" s="34" t="str">
        <f t="shared" si="215"/>
        <v/>
      </c>
      <c r="L1303" s="34" t="str">
        <f t="shared" si="215"/>
        <v/>
      </c>
      <c r="M1303" s="34" t="str">
        <f t="shared" si="215"/>
        <v/>
      </c>
      <c r="N1303" s="34">
        <f t="shared" si="215"/>
        <v>60</v>
      </c>
      <c r="O1303" s="34">
        <f t="shared" si="215"/>
        <v>65</v>
      </c>
      <c r="P1303" s="34">
        <f t="shared" si="215"/>
        <v>77</v>
      </c>
      <c r="Q1303" s="34">
        <f t="shared" si="215"/>
        <v>89</v>
      </c>
      <c r="R1303" s="34">
        <f t="shared" si="215"/>
        <v>101</v>
      </c>
      <c r="S1303" s="35">
        <f t="shared" si="212"/>
        <v>60</v>
      </c>
    </row>
    <row r="1304" spans="2:19" hidden="1" outlineLevel="1">
      <c r="B1304" s="14" t="s">
        <v>116</v>
      </c>
      <c r="C1304" s="15" t="s">
        <v>65</v>
      </c>
      <c r="D1304" s="52">
        <v>2057</v>
      </c>
      <c r="E1304" s="34">
        <v>9</v>
      </c>
      <c r="F1304" s="38">
        <f t="shared" si="209"/>
        <v>20193.081024066549</v>
      </c>
      <c r="G1304" s="34">
        <f t="shared" si="210"/>
        <v>9</v>
      </c>
      <c r="H1304" s="34">
        <f t="shared" si="211"/>
        <v>3</v>
      </c>
      <c r="I1304" s="34" t="str">
        <f t="shared" si="215"/>
        <v/>
      </c>
      <c r="J1304" s="34" t="str">
        <f t="shared" si="215"/>
        <v/>
      </c>
      <c r="K1304" s="34" t="str">
        <f t="shared" si="215"/>
        <v/>
      </c>
      <c r="L1304" s="34" t="str">
        <f t="shared" si="215"/>
        <v/>
      </c>
      <c r="M1304" s="34" t="str">
        <f t="shared" si="215"/>
        <v/>
      </c>
      <c r="N1304" s="34">
        <f t="shared" si="215"/>
        <v>60</v>
      </c>
      <c r="O1304" s="34">
        <f t="shared" si="215"/>
        <v>64</v>
      </c>
      <c r="P1304" s="34">
        <f t="shared" si="215"/>
        <v>76</v>
      </c>
      <c r="Q1304" s="34">
        <f t="shared" si="215"/>
        <v>88</v>
      </c>
      <c r="R1304" s="34">
        <f t="shared" si="215"/>
        <v>100</v>
      </c>
      <c r="S1304" s="35">
        <f t="shared" si="212"/>
        <v>60</v>
      </c>
    </row>
    <row r="1305" spans="2:19" hidden="1" outlineLevel="1">
      <c r="B1305" s="14" t="s">
        <v>116</v>
      </c>
      <c r="C1305" s="15" t="s">
        <v>65</v>
      </c>
      <c r="D1305" s="52">
        <v>2057</v>
      </c>
      <c r="E1305" s="34">
        <v>10</v>
      </c>
      <c r="F1305" s="38">
        <f t="shared" si="209"/>
        <v>20193.081024066549</v>
      </c>
      <c r="G1305" s="34">
        <f t="shared" si="210"/>
        <v>9</v>
      </c>
      <c r="H1305" s="34">
        <f t="shared" si="211"/>
        <v>3</v>
      </c>
      <c r="I1305" s="34" t="str">
        <f t="shared" si="215"/>
        <v/>
      </c>
      <c r="J1305" s="34" t="str">
        <f t="shared" si="215"/>
        <v/>
      </c>
      <c r="K1305" s="34" t="str">
        <f t="shared" si="215"/>
        <v/>
      </c>
      <c r="L1305" s="34" t="str">
        <f t="shared" si="215"/>
        <v/>
      </c>
      <c r="M1305" s="34" t="str">
        <f t="shared" si="215"/>
        <v/>
      </c>
      <c r="N1305" s="34">
        <f t="shared" si="215"/>
        <v>60</v>
      </c>
      <c r="O1305" s="34">
        <f t="shared" si="215"/>
        <v>63</v>
      </c>
      <c r="P1305" s="34">
        <f t="shared" si="215"/>
        <v>75</v>
      </c>
      <c r="Q1305" s="34">
        <f t="shared" si="215"/>
        <v>87</v>
      </c>
      <c r="R1305" s="34">
        <f t="shared" si="215"/>
        <v>99</v>
      </c>
      <c r="S1305" s="35">
        <f t="shared" si="212"/>
        <v>60</v>
      </c>
    </row>
    <row r="1306" spans="2:19" hidden="1" outlineLevel="1">
      <c r="B1306" s="14" t="s">
        <v>116</v>
      </c>
      <c r="C1306" s="15" t="s">
        <v>65</v>
      </c>
      <c r="D1306" s="52">
        <v>2057</v>
      </c>
      <c r="E1306" s="34">
        <v>11</v>
      </c>
      <c r="F1306" s="38">
        <f t="shared" si="209"/>
        <v>20193.081024066549</v>
      </c>
      <c r="G1306" s="34">
        <f t="shared" si="210"/>
        <v>9</v>
      </c>
      <c r="H1306" s="34">
        <f t="shared" si="211"/>
        <v>3</v>
      </c>
      <c r="I1306" s="34" t="str">
        <f t="shared" si="215"/>
        <v/>
      </c>
      <c r="J1306" s="34" t="str">
        <f t="shared" si="215"/>
        <v/>
      </c>
      <c r="K1306" s="34" t="str">
        <f t="shared" si="215"/>
        <v/>
      </c>
      <c r="L1306" s="34" t="str">
        <f t="shared" si="215"/>
        <v/>
      </c>
      <c r="M1306" s="34" t="str">
        <f t="shared" si="215"/>
        <v/>
      </c>
      <c r="N1306" s="34">
        <f t="shared" si="215"/>
        <v>60</v>
      </c>
      <c r="O1306" s="34">
        <f t="shared" si="215"/>
        <v>62</v>
      </c>
      <c r="P1306" s="34">
        <f t="shared" si="215"/>
        <v>74</v>
      </c>
      <c r="Q1306" s="34">
        <f t="shared" si="215"/>
        <v>86</v>
      </c>
      <c r="R1306" s="34">
        <f t="shared" si="215"/>
        <v>98</v>
      </c>
      <c r="S1306" s="35">
        <f t="shared" si="212"/>
        <v>60</v>
      </c>
    </row>
    <row r="1307" spans="2:19" hidden="1" outlineLevel="1">
      <c r="B1307" s="14" t="s">
        <v>116</v>
      </c>
      <c r="C1307" s="15" t="s">
        <v>65</v>
      </c>
      <c r="D1307" s="52">
        <v>2057</v>
      </c>
      <c r="E1307" s="34">
        <v>12</v>
      </c>
      <c r="F1307" s="38">
        <f t="shared" si="209"/>
        <v>20193.081024066549</v>
      </c>
      <c r="G1307" s="34">
        <f t="shared" si="210"/>
        <v>9</v>
      </c>
      <c r="H1307" s="34">
        <f t="shared" si="211"/>
        <v>3</v>
      </c>
      <c r="I1307" s="34" t="str">
        <f t="shared" si="215"/>
        <v/>
      </c>
      <c r="J1307" s="34" t="str">
        <f t="shared" si="215"/>
        <v/>
      </c>
      <c r="K1307" s="34" t="str">
        <f t="shared" si="215"/>
        <v/>
      </c>
      <c r="L1307" s="34" t="str">
        <f t="shared" si="215"/>
        <v/>
      </c>
      <c r="M1307" s="34" t="str">
        <f t="shared" si="215"/>
        <v/>
      </c>
      <c r="N1307" s="34">
        <f t="shared" si="215"/>
        <v>60</v>
      </c>
      <c r="O1307" s="34">
        <f t="shared" si="215"/>
        <v>61</v>
      </c>
      <c r="P1307" s="34">
        <f t="shared" si="215"/>
        <v>73</v>
      </c>
      <c r="Q1307" s="34">
        <f t="shared" si="215"/>
        <v>85</v>
      </c>
      <c r="R1307" s="34">
        <f t="shared" si="215"/>
        <v>97</v>
      </c>
      <c r="S1307" s="35">
        <f t="shared" si="212"/>
        <v>60</v>
      </c>
    </row>
    <row r="1308" spans="2:19" hidden="1" outlineLevel="1">
      <c r="B1308" s="14" t="s">
        <v>116</v>
      </c>
      <c r="C1308" s="15" t="s">
        <v>65</v>
      </c>
      <c r="D1308" s="52">
        <v>2058</v>
      </c>
      <c r="E1308" s="34">
        <v>1</v>
      </c>
      <c r="F1308" s="38">
        <f t="shared" si="209"/>
        <v>20283.70892881152</v>
      </c>
      <c r="G1308" s="34">
        <f t="shared" si="210"/>
        <v>9</v>
      </c>
      <c r="H1308" s="34">
        <f t="shared" si="211"/>
        <v>3</v>
      </c>
      <c r="I1308" s="34" t="str">
        <f t="shared" si="215"/>
        <v/>
      </c>
      <c r="J1308" s="34" t="str">
        <f t="shared" si="215"/>
        <v/>
      </c>
      <c r="K1308" s="34" t="str">
        <f t="shared" si="215"/>
        <v/>
      </c>
      <c r="L1308" s="34" t="str">
        <f t="shared" si="215"/>
        <v/>
      </c>
      <c r="M1308" s="34" t="str">
        <f t="shared" si="215"/>
        <v/>
      </c>
      <c r="N1308" s="34">
        <f t="shared" si="215"/>
        <v>60</v>
      </c>
      <c r="O1308" s="34">
        <f t="shared" si="215"/>
        <v>72</v>
      </c>
      <c r="P1308" s="34">
        <f t="shared" si="215"/>
        <v>84</v>
      </c>
      <c r="Q1308" s="34">
        <f t="shared" si="215"/>
        <v>96</v>
      </c>
      <c r="R1308" s="34">
        <f t="shared" si="215"/>
        <v>108</v>
      </c>
      <c r="S1308" s="35">
        <f t="shared" si="212"/>
        <v>60</v>
      </c>
    </row>
    <row r="1309" spans="2:19" hidden="1" outlineLevel="1">
      <c r="B1309" s="14" t="s">
        <v>116</v>
      </c>
      <c r="C1309" s="15" t="s">
        <v>65</v>
      </c>
      <c r="D1309" s="52">
        <v>2058</v>
      </c>
      <c r="E1309" s="34">
        <v>2</v>
      </c>
      <c r="F1309" s="38">
        <f t="shared" si="209"/>
        <v>20283.70892881152</v>
      </c>
      <c r="G1309" s="34">
        <f t="shared" si="210"/>
        <v>9</v>
      </c>
      <c r="H1309" s="34">
        <f t="shared" si="211"/>
        <v>3</v>
      </c>
      <c r="I1309" s="34" t="str">
        <f t="shared" si="215"/>
        <v/>
      </c>
      <c r="J1309" s="34" t="str">
        <f t="shared" si="215"/>
        <v/>
      </c>
      <c r="K1309" s="34" t="str">
        <f t="shared" si="215"/>
        <v/>
      </c>
      <c r="L1309" s="34" t="str">
        <f t="shared" si="215"/>
        <v/>
      </c>
      <c r="M1309" s="34" t="str">
        <f t="shared" si="215"/>
        <v/>
      </c>
      <c r="N1309" s="34">
        <f t="shared" si="215"/>
        <v>60</v>
      </c>
      <c r="O1309" s="34">
        <f t="shared" si="215"/>
        <v>71</v>
      </c>
      <c r="P1309" s="34">
        <f t="shared" si="215"/>
        <v>83</v>
      </c>
      <c r="Q1309" s="34">
        <f t="shared" si="215"/>
        <v>95</v>
      </c>
      <c r="R1309" s="34">
        <f t="shared" si="215"/>
        <v>107</v>
      </c>
      <c r="S1309" s="35">
        <f t="shared" si="212"/>
        <v>60</v>
      </c>
    </row>
    <row r="1310" spans="2:19" hidden="1" outlineLevel="1">
      <c r="B1310" s="14" t="s">
        <v>116</v>
      </c>
      <c r="C1310" s="15" t="s">
        <v>65</v>
      </c>
      <c r="D1310" s="52">
        <v>2058</v>
      </c>
      <c r="E1310" s="34">
        <v>3</v>
      </c>
      <c r="F1310" s="38">
        <f t="shared" si="209"/>
        <v>20283.70892881152</v>
      </c>
      <c r="G1310" s="34">
        <f t="shared" si="210"/>
        <v>9</v>
      </c>
      <c r="H1310" s="34">
        <f t="shared" si="211"/>
        <v>3</v>
      </c>
      <c r="I1310" s="34" t="str">
        <f t="shared" ref="I1310:R1319" si="216">IF($D1310&lt;$Z$18,"",IF(MAX($G1310,INDEX($C$65:$F$108,$D1310+I$119-2026,$H1310))&lt;=12*I$119-$E1310+12,MAX($G1310,12*I$119-$E1310+1,INDEX($C$65:$F$108,$D1310+I$119-2026,$H1310)),""))</f>
        <v/>
      </c>
      <c r="J1310" s="34" t="str">
        <f t="shared" si="216"/>
        <v/>
      </c>
      <c r="K1310" s="34" t="str">
        <f t="shared" si="216"/>
        <v/>
      </c>
      <c r="L1310" s="34" t="str">
        <f t="shared" si="216"/>
        <v/>
      </c>
      <c r="M1310" s="34" t="str">
        <f t="shared" si="216"/>
        <v/>
      </c>
      <c r="N1310" s="34">
        <f t="shared" si="216"/>
        <v>60</v>
      </c>
      <c r="O1310" s="34">
        <f t="shared" si="216"/>
        <v>70</v>
      </c>
      <c r="P1310" s="34">
        <f t="shared" si="216"/>
        <v>82</v>
      </c>
      <c r="Q1310" s="34">
        <f t="shared" si="216"/>
        <v>94</v>
      </c>
      <c r="R1310" s="34">
        <f t="shared" si="216"/>
        <v>106</v>
      </c>
      <c r="S1310" s="35">
        <f t="shared" si="212"/>
        <v>60</v>
      </c>
    </row>
    <row r="1311" spans="2:19" hidden="1" outlineLevel="1">
      <c r="B1311" s="14" t="s">
        <v>116</v>
      </c>
      <c r="C1311" s="15" t="s">
        <v>65</v>
      </c>
      <c r="D1311" s="52">
        <v>2058</v>
      </c>
      <c r="E1311" s="34">
        <v>4</v>
      </c>
      <c r="F1311" s="38">
        <f t="shared" si="209"/>
        <v>20283.70892881152</v>
      </c>
      <c r="G1311" s="34">
        <f t="shared" si="210"/>
        <v>9</v>
      </c>
      <c r="H1311" s="34">
        <f t="shared" si="211"/>
        <v>3</v>
      </c>
      <c r="I1311" s="34" t="str">
        <f t="shared" si="216"/>
        <v/>
      </c>
      <c r="J1311" s="34" t="str">
        <f t="shared" si="216"/>
        <v/>
      </c>
      <c r="K1311" s="34" t="str">
        <f t="shared" si="216"/>
        <v/>
      </c>
      <c r="L1311" s="34" t="str">
        <f t="shared" si="216"/>
        <v/>
      </c>
      <c r="M1311" s="34" t="str">
        <f t="shared" si="216"/>
        <v/>
      </c>
      <c r="N1311" s="34">
        <f t="shared" si="216"/>
        <v>60</v>
      </c>
      <c r="O1311" s="34">
        <f t="shared" si="216"/>
        <v>69</v>
      </c>
      <c r="P1311" s="34">
        <f t="shared" si="216"/>
        <v>81</v>
      </c>
      <c r="Q1311" s="34">
        <f t="shared" si="216"/>
        <v>93</v>
      </c>
      <c r="R1311" s="34">
        <f t="shared" si="216"/>
        <v>105</v>
      </c>
      <c r="S1311" s="35">
        <f t="shared" si="212"/>
        <v>60</v>
      </c>
    </row>
    <row r="1312" spans="2:19" hidden="1" outlineLevel="1">
      <c r="B1312" s="14" t="s">
        <v>116</v>
      </c>
      <c r="C1312" s="15" t="s">
        <v>65</v>
      </c>
      <c r="D1312" s="52">
        <v>2058</v>
      </c>
      <c r="E1312" s="34">
        <v>5</v>
      </c>
      <c r="F1312" s="38">
        <f t="shared" si="209"/>
        <v>20283.70892881152</v>
      </c>
      <c r="G1312" s="34">
        <f t="shared" si="210"/>
        <v>9</v>
      </c>
      <c r="H1312" s="34">
        <f t="shared" si="211"/>
        <v>3</v>
      </c>
      <c r="I1312" s="34" t="str">
        <f t="shared" si="216"/>
        <v/>
      </c>
      <c r="J1312" s="34" t="str">
        <f t="shared" si="216"/>
        <v/>
      </c>
      <c r="K1312" s="34" t="str">
        <f t="shared" si="216"/>
        <v/>
      </c>
      <c r="L1312" s="34" t="str">
        <f t="shared" si="216"/>
        <v/>
      </c>
      <c r="M1312" s="34" t="str">
        <f t="shared" si="216"/>
        <v/>
      </c>
      <c r="N1312" s="34">
        <f t="shared" si="216"/>
        <v>60</v>
      </c>
      <c r="O1312" s="34">
        <f t="shared" si="216"/>
        <v>68</v>
      </c>
      <c r="P1312" s="34">
        <f t="shared" si="216"/>
        <v>80</v>
      </c>
      <c r="Q1312" s="34">
        <f t="shared" si="216"/>
        <v>92</v>
      </c>
      <c r="R1312" s="34">
        <f t="shared" si="216"/>
        <v>104</v>
      </c>
      <c r="S1312" s="35">
        <f t="shared" si="212"/>
        <v>60</v>
      </c>
    </row>
    <row r="1313" spans="2:19" hidden="1" outlineLevel="1">
      <c r="B1313" s="14" t="s">
        <v>116</v>
      </c>
      <c r="C1313" s="15" t="s">
        <v>65</v>
      </c>
      <c r="D1313" s="52">
        <v>2058</v>
      </c>
      <c r="E1313" s="34">
        <v>6</v>
      </c>
      <c r="F1313" s="38">
        <f t="shared" si="209"/>
        <v>20283.70892881152</v>
      </c>
      <c r="G1313" s="34">
        <f t="shared" si="210"/>
        <v>9</v>
      </c>
      <c r="H1313" s="34">
        <f t="shared" si="211"/>
        <v>3</v>
      </c>
      <c r="I1313" s="34" t="str">
        <f t="shared" si="216"/>
        <v/>
      </c>
      <c r="J1313" s="34" t="str">
        <f t="shared" si="216"/>
        <v/>
      </c>
      <c r="K1313" s="34" t="str">
        <f t="shared" si="216"/>
        <v/>
      </c>
      <c r="L1313" s="34" t="str">
        <f t="shared" si="216"/>
        <v/>
      </c>
      <c r="M1313" s="34" t="str">
        <f t="shared" si="216"/>
        <v/>
      </c>
      <c r="N1313" s="34">
        <f t="shared" si="216"/>
        <v>60</v>
      </c>
      <c r="O1313" s="34">
        <f t="shared" si="216"/>
        <v>67</v>
      </c>
      <c r="P1313" s="34">
        <f t="shared" si="216"/>
        <v>79</v>
      </c>
      <c r="Q1313" s="34">
        <f t="shared" si="216"/>
        <v>91</v>
      </c>
      <c r="R1313" s="34">
        <f t="shared" si="216"/>
        <v>103</v>
      </c>
      <c r="S1313" s="35">
        <f t="shared" si="212"/>
        <v>60</v>
      </c>
    </row>
    <row r="1314" spans="2:19" hidden="1" outlineLevel="1">
      <c r="B1314" s="14" t="s">
        <v>116</v>
      </c>
      <c r="C1314" s="15" t="s">
        <v>65</v>
      </c>
      <c r="D1314" s="52">
        <v>2058</v>
      </c>
      <c r="E1314" s="34">
        <v>7</v>
      </c>
      <c r="F1314" s="38">
        <f t="shared" si="209"/>
        <v>20283.70892881152</v>
      </c>
      <c r="G1314" s="34">
        <f t="shared" si="210"/>
        <v>9</v>
      </c>
      <c r="H1314" s="34">
        <f t="shared" si="211"/>
        <v>3</v>
      </c>
      <c r="I1314" s="34" t="str">
        <f t="shared" si="216"/>
        <v/>
      </c>
      <c r="J1314" s="34" t="str">
        <f t="shared" si="216"/>
        <v/>
      </c>
      <c r="K1314" s="34" t="str">
        <f t="shared" si="216"/>
        <v/>
      </c>
      <c r="L1314" s="34" t="str">
        <f t="shared" si="216"/>
        <v/>
      </c>
      <c r="M1314" s="34" t="str">
        <f t="shared" si="216"/>
        <v/>
      </c>
      <c r="N1314" s="34">
        <f t="shared" si="216"/>
        <v>60</v>
      </c>
      <c r="O1314" s="34">
        <f t="shared" si="216"/>
        <v>66</v>
      </c>
      <c r="P1314" s="34">
        <f t="shared" si="216"/>
        <v>78</v>
      </c>
      <c r="Q1314" s="34">
        <f t="shared" si="216"/>
        <v>90</v>
      </c>
      <c r="R1314" s="34">
        <f t="shared" si="216"/>
        <v>102</v>
      </c>
      <c r="S1314" s="35">
        <f t="shared" si="212"/>
        <v>60</v>
      </c>
    </row>
    <row r="1315" spans="2:19" hidden="1" outlineLevel="1">
      <c r="B1315" s="14" t="s">
        <v>116</v>
      </c>
      <c r="C1315" s="15" t="s">
        <v>65</v>
      </c>
      <c r="D1315" s="52">
        <v>2058</v>
      </c>
      <c r="E1315" s="34">
        <v>8</v>
      </c>
      <c r="F1315" s="38">
        <f t="shared" si="209"/>
        <v>20283.70892881152</v>
      </c>
      <c r="G1315" s="34">
        <f t="shared" si="210"/>
        <v>9</v>
      </c>
      <c r="H1315" s="34">
        <f t="shared" si="211"/>
        <v>3</v>
      </c>
      <c r="I1315" s="34" t="str">
        <f t="shared" si="216"/>
        <v/>
      </c>
      <c r="J1315" s="34" t="str">
        <f t="shared" si="216"/>
        <v/>
      </c>
      <c r="K1315" s="34" t="str">
        <f t="shared" si="216"/>
        <v/>
      </c>
      <c r="L1315" s="34" t="str">
        <f t="shared" si="216"/>
        <v/>
      </c>
      <c r="M1315" s="34" t="str">
        <f t="shared" si="216"/>
        <v/>
      </c>
      <c r="N1315" s="34">
        <f t="shared" si="216"/>
        <v>60</v>
      </c>
      <c r="O1315" s="34">
        <f t="shared" si="216"/>
        <v>65</v>
      </c>
      <c r="P1315" s="34">
        <f t="shared" si="216"/>
        <v>77</v>
      </c>
      <c r="Q1315" s="34">
        <f t="shared" si="216"/>
        <v>89</v>
      </c>
      <c r="R1315" s="34">
        <f t="shared" si="216"/>
        <v>101</v>
      </c>
      <c r="S1315" s="35">
        <f t="shared" si="212"/>
        <v>60</v>
      </c>
    </row>
    <row r="1316" spans="2:19" hidden="1" outlineLevel="1">
      <c r="B1316" s="14" t="s">
        <v>116</v>
      </c>
      <c r="C1316" s="15" t="s">
        <v>65</v>
      </c>
      <c r="D1316" s="52">
        <v>2058</v>
      </c>
      <c r="E1316" s="34">
        <v>9</v>
      </c>
      <c r="F1316" s="38">
        <f t="shared" si="209"/>
        <v>20283.70892881152</v>
      </c>
      <c r="G1316" s="34">
        <f t="shared" si="210"/>
        <v>9</v>
      </c>
      <c r="H1316" s="34">
        <f t="shared" si="211"/>
        <v>3</v>
      </c>
      <c r="I1316" s="34" t="str">
        <f t="shared" si="216"/>
        <v/>
      </c>
      <c r="J1316" s="34" t="str">
        <f t="shared" si="216"/>
        <v/>
      </c>
      <c r="K1316" s="34" t="str">
        <f t="shared" si="216"/>
        <v/>
      </c>
      <c r="L1316" s="34" t="str">
        <f t="shared" si="216"/>
        <v/>
      </c>
      <c r="M1316" s="34" t="str">
        <f t="shared" si="216"/>
        <v/>
      </c>
      <c r="N1316" s="34">
        <f t="shared" si="216"/>
        <v>60</v>
      </c>
      <c r="O1316" s="34">
        <f t="shared" si="216"/>
        <v>64</v>
      </c>
      <c r="P1316" s="34">
        <f t="shared" si="216"/>
        <v>76</v>
      </c>
      <c r="Q1316" s="34">
        <f t="shared" si="216"/>
        <v>88</v>
      </c>
      <c r="R1316" s="34">
        <f t="shared" si="216"/>
        <v>100</v>
      </c>
      <c r="S1316" s="35">
        <f t="shared" si="212"/>
        <v>60</v>
      </c>
    </row>
    <row r="1317" spans="2:19" hidden="1" outlineLevel="1">
      <c r="B1317" s="14" t="s">
        <v>116</v>
      </c>
      <c r="C1317" s="15" t="s">
        <v>65</v>
      </c>
      <c r="D1317" s="52">
        <v>2058</v>
      </c>
      <c r="E1317" s="34">
        <v>10</v>
      </c>
      <c r="F1317" s="38">
        <f t="shared" si="209"/>
        <v>20283.70892881152</v>
      </c>
      <c r="G1317" s="34">
        <f t="shared" si="210"/>
        <v>9</v>
      </c>
      <c r="H1317" s="34">
        <f t="shared" si="211"/>
        <v>3</v>
      </c>
      <c r="I1317" s="34" t="str">
        <f t="shared" si="216"/>
        <v/>
      </c>
      <c r="J1317" s="34" t="str">
        <f t="shared" si="216"/>
        <v/>
      </c>
      <c r="K1317" s="34" t="str">
        <f t="shared" si="216"/>
        <v/>
      </c>
      <c r="L1317" s="34" t="str">
        <f t="shared" si="216"/>
        <v/>
      </c>
      <c r="M1317" s="34" t="str">
        <f t="shared" si="216"/>
        <v/>
      </c>
      <c r="N1317" s="34">
        <f t="shared" si="216"/>
        <v>60</v>
      </c>
      <c r="O1317" s="34">
        <f t="shared" si="216"/>
        <v>63</v>
      </c>
      <c r="P1317" s="34">
        <f t="shared" si="216"/>
        <v>75</v>
      </c>
      <c r="Q1317" s="34">
        <f t="shared" si="216"/>
        <v>87</v>
      </c>
      <c r="R1317" s="34">
        <f t="shared" si="216"/>
        <v>99</v>
      </c>
      <c r="S1317" s="35">
        <f t="shared" si="212"/>
        <v>60</v>
      </c>
    </row>
    <row r="1318" spans="2:19" hidden="1" outlineLevel="1">
      <c r="B1318" s="14" t="s">
        <v>116</v>
      </c>
      <c r="C1318" s="15" t="s">
        <v>65</v>
      </c>
      <c r="D1318" s="52">
        <v>2058</v>
      </c>
      <c r="E1318" s="34">
        <v>11</v>
      </c>
      <c r="F1318" s="38">
        <f t="shared" si="209"/>
        <v>20283.70892881152</v>
      </c>
      <c r="G1318" s="34">
        <f t="shared" si="210"/>
        <v>9</v>
      </c>
      <c r="H1318" s="34">
        <f t="shared" si="211"/>
        <v>3</v>
      </c>
      <c r="I1318" s="34" t="str">
        <f t="shared" si="216"/>
        <v/>
      </c>
      <c r="J1318" s="34" t="str">
        <f t="shared" si="216"/>
        <v/>
      </c>
      <c r="K1318" s="34" t="str">
        <f t="shared" si="216"/>
        <v/>
      </c>
      <c r="L1318" s="34" t="str">
        <f t="shared" si="216"/>
        <v/>
      </c>
      <c r="M1318" s="34" t="str">
        <f t="shared" si="216"/>
        <v/>
      </c>
      <c r="N1318" s="34">
        <f t="shared" si="216"/>
        <v>60</v>
      </c>
      <c r="O1318" s="34">
        <f t="shared" si="216"/>
        <v>62</v>
      </c>
      <c r="P1318" s="34">
        <f t="shared" si="216"/>
        <v>74</v>
      </c>
      <c r="Q1318" s="34">
        <f t="shared" si="216"/>
        <v>86</v>
      </c>
      <c r="R1318" s="34">
        <f t="shared" si="216"/>
        <v>98</v>
      </c>
      <c r="S1318" s="35">
        <f t="shared" si="212"/>
        <v>60</v>
      </c>
    </row>
    <row r="1319" spans="2:19" hidden="1" outlineLevel="1">
      <c r="B1319" s="14" t="s">
        <v>116</v>
      </c>
      <c r="C1319" s="15" t="s">
        <v>65</v>
      </c>
      <c r="D1319" s="52">
        <v>2058</v>
      </c>
      <c r="E1319" s="34">
        <v>12</v>
      </c>
      <c r="F1319" s="38">
        <f t="shared" si="209"/>
        <v>20283.70892881152</v>
      </c>
      <c r="G1319" s="34">
        <f t="shared" si="210"/>
        <v>9</v>
      </c>
      <c r="H1319" s="34">
        <f t="shared" si="211"/>
        <v>3</v>
      </c>
      <c r="I1319" s="34" t="str">
        <f t="shared" si="216"/>
        <v/>
      </c>
      <c r="J1319" s="34" t="str">
        <f t="shared" si="216"/>
        <v/>
      </c>
      <c r="K1319" s="34" t="str">
        <f t="shared" si="216"/>
        <v/>
      </c>
      <c r="L1319" s="34" t="str">
        <f t="shared" si="216"/>
        <v/>
      </c>
      <c r="M1319" s="34" t="str">
        <f t="shared" si="216"/>
        <v/>
      </c>
      <c r="N1319" s="34">
        <f t="shared" si="216"/>
        <v>60</v>
      </c>
      <c r="O1319" s="34">
        <f t="shared" si="216"/>
        <v>61</v>
      </c>
      <c r="P1319" s="34">
        <f t="shared" si="216"/>
        <v>73</v>
      </c>
      <c r="Q1319" s="34">
        <f t="shared" si="216"/>
        <v>85</v>
      </c>
      <c r="R1319" s="34">
        <f t="shared" si="216"/>
        <v>97</v>
      </c>
      <c r="S1319" s="35">
        <f t="shared" si="212"/>
        <v>60</v>
      </c>
    </row>
    <row r="1320" spans="2:19" hidden="1" outlineLevel="1">
      <c r="B1320" s="14" t="s">
        <v>116</v>
      </c>
      <c r="C1320" s="15" t="s">
        <v>65</v>
      </c>
      <c r="D1320" s="52">
        <v>2059</v>
      </c>
      <c r="E1320" s="34">
        <v>1</v>
      </c>
      <c r="F1320" s="38">
        <f t="shared" si="209"/>
        <v>20348.211988132531</v>
      </c>
      <c r="G1320" s="34">
        <f t="shared" si="210"/>
        <v>9</v>
      </c>
      <c r="H1320" s="34">
        <f t="shared" si="211"/>
        <v>3</v>
      </c>
      <c r="I1320" s="34" t="str">
        <f t="shared" ref="I1320:R1329" si="217">IF($D1320&lt;$Z$18,"",IF(MAX($G1320,INDEX($C$65:$F$108,$D1320+I$119-2026,$H1320))&lt;=12*I$119-$E1320+12,MAX($G1320,12*I$119-$E1320+1,INDEX($C$65:$F$108,$D1320+I$119-2026,$H1320)),""))</f>
        <v/>
      </c>
      <c r="J1320" s="34" t="str">
        <f t="shared" si="217"/>
        <v/>
      </c>
      <c r="K1320" s="34" t="str">
        <f t="shared" si="217"/>
        <v/>
      </c>
      <c r="L1320" s="34" t="str">
        <f t="shared" si="217"/>
        <v/>
      </c>
      <c r="M1320" s="34" t="str">
        <f t="shared" si="217"/>
        <v/>
      </c>
      <c r="N1320" s="34">
        <f t="shared" si="217"/>
        <v>60</v>
      </c>
      <c r="O1320" s="34">
        <f t="shared" si="217"/>
        <v>72</v>
      </c>
      <c r="P1320" s="34">
        <f t="shared" si="217"/>
        <v>84</v>
      </c>
      <c r="Q1320" s="34">
        <f t="shared" si="217"/>
        <v>96</v>
      </c>
      <c r="R1320" s="34">
        <f t="shared" si="217"/>
        <v>108</v>
      </c>
      <c r="S1320" s="35">
        <f t="shared" si="212"/>
        <v>60</v>
      </c>
    </row>
    <row r="1321" spans="2:19" hidden="1" outlineLevel="1">
      <c r="B1321" s="14" t="s">
        <v>116</v>
      </c>
      <c r="C1321" s="15" t="s">
        <v>65</v>
      </c>
      <c r="D1321" s="52">
        <v>2059</v>
      </c>
      <c r="E1321" s="34">
        <v>2</v>
      </c>
      <c r="F1321" s="38">
        <f t="shared" si="209"/>
        <v>20348.211988132531</v>
      </c>
      <c r="G1321" s="34">
        <f t="shared" si="210"/>
        <v>9</v>
      </c>
      <c r="H1321" s="34">
        <f t="shared" si="211"/>
        <v>3</v>
      </c>
      <c r="I1321" s="34" t="str">
        <f t="shared" si="217"/>
        <v/>
      </c>
      <c r="J1321" s="34" t="str">
        <f t="shared" si="217"/>
        <v/>
      </c>
      <c r="K1321" s="34" t="str">
        <f t="shared" si="217"/>
        <v/>
      </c>
      <c r="L1321" s="34" t="str">
        <f t="shared" si="217"/>
        <v/>
      </c>
      <c r="M1321" s="34" t="str">
        <f t="shared" si="217"/>
        <v/>
      </c>
      <c r="N1321" s="34">
        <f t="shared" si="217"/>
        <v>60</v>
      </c>
      <c r="O1321" s="34">
        <f t="shared" si="217"/>
        <v>71</v>
      </c>
      <c r="P1321" s="34">
        <f t="shared" si="217"/>
        <v>83</v>
      </c>
      <c r="Q1321" s="34">
        <f t="shared" si="217"/>
        <v>95</v>
      </c>
      <c r="R1321" s="34">
        <f t="shared" si="217"/>
        <v>107</v>
      </c>
      <c r="S1321" s="35">
        <f t="shared" si="212"/>
        <v>60</v>
      </c>
    </row>
    <row r="1322" spans="2:19" hidden="1" outlineLevel="1">
      <c r="B1322" s="14" t="s">
        <v>116</v>
      </c>
      <c r="C1322" s="15" t="s">
        <v>65</v>
      </c>
      <c r="D1322" s="52">
        <v>2059</v>
      </c>
      <c r="E1322" s="34">
        <v>3</v>
      </c>
      <c r="F1322" s="38">
        <f t="shared" si="209"/>
        <v>20348.211988132531</v>
      </c>
      <c r="G1322" s="34">
        <f t="shared" si="210"/>
        <v>9</v>
      </c>
      <c r="H1322" s="34">
        <f t="shared" si="211"/>
        <v>3</v>
      </c>
      <c r="I1322" s="34" t="str">
        <f t="shared" si="217"/>
        <v/>
      </c>
      <c r="J1322" s="34" t="str">
        <f t="shared" si="217"/>
        <v/>
      </c>
      <c r="K1322" s="34" t="str">
        <f t="shared" si="217"/>
        <v/>
      </c>
      <c r="L1322" s="34" t="str">
        <f t="shared" si="217"/>
        <v/>
      </c>
      <c r="M1322" s="34" t="str">
        <f t="shared" si="217"/>
        <v/>
      </c>
      <c r="N1322" s="34">
        <f t="shared" si="217"/>
        <v>60</v>
      </c>
      <c r="O1322" s="34">
        <f t="shared" si="217"/>
        <v>70</v>
      </c>
      <c r="P1322" s="34">
        <f t="shared" si="217"/>
        <v>82</v>
      </c>
      <c r="Q1322" s="34">
        <f t="shared" si="217"/>
        <v>94</v>
      </c>
      <c r="R1322" s="34">
        <f t="shared" si="217"/>
        <v>106</v>
      </c>
      <c r="S1322" s="35">
        <f t="shared" si="212"/>
        <v>60</v>
      </c>
    </row>
    <row r="1323" spans="2:19" hidden="1" outlineLevel="1">
      <c r="B1323" s="14" t="s">
        <v>116</v>
      </c>
      <c r="C1323" s="15" t="s">
        <v>65</v>
      </c>
      <c r="D1323" s="52">
        <v>2059</v>
      </c>
      <c r="E1323" s="34">
        <v>4</v>
      </c>
      <c r="F1323" s="38">
        <f t="shared" si="209"/>
        <v>20348.211988132531</v>
      </c>
      <c r="G1323" s="34">
        <f t="shared" si="210"/>
        <v>9</v>
      </c>
      <c r="H1323" s="34">
        <f t="shared" si="211"/>
        <v>3</v>
      </c>
      <c r="I1323" s="34" t="str">
        <f t="shared" si="217"/>
        <v/>
      </c>
      <c r="J1323" s="34" t="str">
        <f t="shared" si="217"/>
        <v/>
      </c>
      <c r="K1323" s="34" t="str">
        <f t="shared" si="217"/>
        <v/>
      </c>
      <c r="L1323" s="34" t="str">
        <f t="shared" si="217"/>
        <v/>
      </c>
      <c r="M1323" s="34" t="str">
        <f t="shared" si="217"/>
        <v/>
      </c>
      <c r="N1323" s="34">
        <f t="shared" si="217"/>
        <v>60</v>
      </c>
      <c r="O1323" s="34">
        <f t="shared" si="217"/>
        <v>69</v>
      </c>
      <c r="P1323" s="34">
        <f t="shared" si="217"/>
        <v>81</v>
      </c>
      <c r="Q1323" s="34">
        <f t="shared" si="217"/>
        <v>93</v>
      </c>
      <c r="R1323" s="34">
        <f t="shared" si="217"/>
        <v>105</v>
      </c>
      <c r="S1323" s="35">
        <f t="shared" si="212"/>
        <v>60</v>
      </c>
    </row>
    <row r="1324" spans="2:19" hidden="1" outlineLevel="1">
      <c r="B1324" s="14" t="s">
        <v>116</v>
      </c>
      <c r="C1324" s="15" t="s">
        <v>65</v>
      </c>
      <c r="D1324" s="52">
        <v>2059</v>
      </c>
      <c r="E1324" s="34">
        <v>5</v>
      </c>
      <c r="F1324" s="38">
        <f t="shared" si="209"/>
        <v>20348.211988132531</v>
      </c>
      <c r="G1324" s="34">
        <f t="shared" si="210"/>
        <v>9</v>
      </c>
      <c r="H1324" s="34">
        <f t="shared" si="211"/>
        <v>3</v>
      </c>
      <c r="I1324" s="34" t="str">
        <f t="shared" si="217"/>
        <v/>
      </c>
      <c r="J1324" s="34" t="str">
        <f t="shared" si="217"/>
        <v/>
      </c>
      <c r="K1324" s="34" t="str">
        <f t="shared" si="217"/>
        <v/>
      </c>
      <c r="L1324" s="34" t="str">
        <f t="shared" si="217"/>
        <v/>
      </c>
      <c r="M1324" s="34" t="str">
        <f t="shared" si="217"/>
        <v/>
      </c>
      <c r="N1324" s="34">
        <f t="shared" si="217"/>
        <v>60</v>
      </c>
      <c r="O1324" s="34">
        <f t="shared" si="217"/>
        <v>68</v>
      </c>
      <c r="P1324" s="34">
        <f t="shared" si="217"/>
        <v>80</v>
      </c>
      <c r="Q1324" s="34">
        <f t="shared" si="217"/>
        <v>92</v>
      </c>
      <c r="R1324" s="34">
        <f t="shared" si="217"/>
        <v>104</v>
      </c>
      <c r="S1324" s="35">
        <f t="shared" si="212"/>
        <v>60</v>
      </c>
    </row>
    <row r="1325" spans="2:19" hidden="1" outlineLevel="1">
      <c r="B1325" s="14" t="s">
        <v>116</v>
      </c>
      <c r="C1325" s="15" t="s">
        <v>65</v>
      </c>
      <c r="D1325" s="52">
        <v>2059</v>
      </c>
      <c r="E1325" s="34">
        <v>6</v>
      </c>
      <c r="F1325" s="38">
        <f t="shared" si="209"/>
        <v>20348.211988132531</v>
      </c>
      <c r="G1325" s="34">
        <f t="shared" si="210"/>
        <v>9</v>
      </c>
      <c r="H1325" s="34">
        <f t="shared" si="211"/>
        <v>3</v>
      </c>
      <c r="I1325" s="34" t="str">
        <f t="shared" si="217"/>
        <v/>
      </c>
      <c r="J1325" s="34" t="str">
        <f t="shared" si="217"/>
        <v/>
      </c>
      <c r="K1325" s="34" t="str">
        <f t="shared" si="217"/>
        <v/>
      </c>
      <c r="L1325" s="34" t="str">
        <f t="shared" si="217"/>
        <v/>
      </c>
      <c r="M1325" s="34" t="str">
        <f t="shared" si="217"/>
        <v/>
      </c>
      <c r="N1325" s="34">
        <f t="shared" si="217"/>
        <v>60</v>
      </c>
      <c r="O1325" s="34">
        <f t="shared" si="217"/>
        <v>67</v>
      </c>
      <c r="P1325" s="34">
        <f t="shared" si="217"/>
        <v>79</v>
      </c>
      <c r="Q1325" s="34">
        <f t="shared" si="217"/>
        <v>91</v>
      </c>
      <c r="R1325" s="34">
        <f t="shared" si="217"/>
        <v>103</v>
      </c>
      <c r="S1325" s="35">
        <f t="shared" si="212"/>
        <v>60</v>
      </c>
    </row>
    <row r="1326" spans="2:19" hidden="1" outlineLevel="1">
      <c r="B1326" s="14" t="s">
        <v>116</v>
      </c>
      <c r="C1326" s="15" t="s">
        <v>65</v>
      </c>
      <c r="D1326" s="52">
        <v>2059</v>
      </c>
      <c r="E1326" s="34">
        <v>7</v>
      </c>
      <c r="F1326" s="38">
        <f t="shared" si="209"/>
        <v>20348.211988132531</v>
      </c>
      <c r="G1326" s="34">
        <f t="shared" si="210"/>
        <v>9</v>
      </c>
      <c r="H1326" s="34">
        <f t="shared" si="211"/>
        <v>3</v>
      </c>
      <c r="I1326" s="34" t="str">
        <f t="shared" si="217"/>
        <v/>
      </c>
      <c r="J1326" s="34" t="str">
        <f t="shared" si="217"/>
        <v/>
      </c>
      <c r="K1326" s="34" t="str">
        <f t="shared" si="217"/>
        <v/>
      </c>
      <c r="L1326" s="34" t="str">
        <f t="shared" si="217"/>
        <v/>
      </c>
      <c r="M1326" s="34" t="str">
        <f t="shared" si="217"/>
        <v/>
      </c>
      <c r="N1326" s="34">
        <f t="shared" si="217"/>
        <v>60</v>
      </c>
      <c r="O1326" s="34">
        <f t="shared" si="217"/>
        <v>66</v>
      </c>
      <c r="P1326" s="34">
        <f t="shared" si="217"/>
        <v>78</v>
      </c>
      <c r="Q1326" s="34">
        <f t="shared" si="217"/>
        <v>90</v>
      </c>
      <c r="R1326" s="34">
        <f t="shared" si="217"/>
        <v>102</v>
      </c>
      <c r="S1326" s="35">
        <f t="shared" si="212"/>
        <v>60</v>
      </c>
    </row>
    <row r="1327" spans="2:19" hidden="1" outlineLevel="1">
      <c r="B1327" s="14" t="s">
        <v>116</v>
      </c>
      <c r="C1327" s="15" t="s">
        <v>65</v>
      </c>
      <c r="D1327" s="52">
        <v>2059</v>
      </c>
      <c r="E1327" s="34">
        <v>8</v>
      </c>
      <c r="F1327" s="38">
        <f t="shared" si="209"/>
        <v>20348.211988132531</v>
      </c>
      <c r="G1327" s="34">
        <f t="shared" si="210"/>
        <v>9</v>
      </c>
      <c r="H1327" s="34">
        <f t="shared" si="211"/>
        <v>3</v>
      </c>
      <c r="I1327" s="34" t="str">
        <f t="shared" si="217"/>
        <v/>
      </c>
      <c r="J1327" s="34" t="str">
        <f t="shared" si="217"/>
        <v/>
      </c>
      <c r="K1327" s="34" t="str">
        <f t="shared" si="217"/>
        <v/>
      </c>
      <c r="L1327" s="34" t="str">
        <f t="shared" si="217"/>
        <v/>
      </c>
      <c r="M1327" s="34" t="str">
        <f t="shared" si="217"/>
        <v/>
      </c>
      <c r="N1327" s="34">
        <f t="shared" si="217"/>
        <v>60</v>
      </c>
      <c r="O1327" s="34">
        <f t="shared" si="217"/>
        <v>65</v>
      </c>
      <c r="P1327" s="34">
        <f t="shared" si="217"/>
        <v>77</v>
      </c>
      <c r="Q1327" s="34">
        <f t="shared" si="217"/>
        <v>89</v>
      </c>
      <c r="R1327" s="34">
        <f t="shared" si="217"/>
        <v>101</v>
      </c>
      <c r="S1327" s="35">
        <f t="shared" si="212"/>
        <v>60</v>
      </c>
    </row>
    <row r="1328" spans="2:19" hidden="1" outlineLevel="1">
      <c r="B1328" s="14" t="s">
        <v>116</v>
      </c>
      <c r="C1328" s="15" t="s">
        <v>65</v>
      </c>
      <c r="D1328" s="52">
        <v>2059</v>
      </c>
      <c r="E1328" s="34">
        <v>9</v>
      </c>
      <c r="F1328" s="38">
        <f t="shared" si="209"/>
        <v>20348.211988132531</v>
      </c>
      <c r="G1328" s="34">
        <f t="shared" si="210"/>
        <v>9</v>
      </c>
      <c r="H1328" s="34">
        <f t="shared" si="211"/>
        <v>3</v>
      </c>
      <c r="I1328" s="34" t="str">
        <f t="shared" si="217"/>
        <v/>
      </c>
      <c r="J1328" s="34" t="str">
        <f t="shared" si="217"/>
        <v/>
      </c>
      <c r="K1328" s="34" t="str">
        <f t="shared" si="217"/>
        <v/>
      </c>
      <c r="L1328" s="34" t="str">
        <f t="shared" si="217"/>
        <v/>
      </c>
      <c r="M1328" s="34" t="str">
        <f t="shared" si="217"/>
        <v/>
      </c>
      <c r="N1328" s="34">
        <f t="shared" si="217"/>
        <v>60</v>
      </c>
      <c r="O1328" s="34">
        <f t="shared" si="217"/>
        <v>64</v>
      </c>
      <c r="P1328" s="34">
        <f t="shared" si="217"/>
        <v>76</v>
      </c>
      <c r="Q1328" s="34">
        <f t="shared" si="217"/>
        <v>88</v>
      </c>
      <c r="R1328" s="34">
        <f t="shared" si="217"/>
        <v>100</v>
      </c>
      <c r="S1328" s="35">
        <f t="shared" si="212"/>
        <v>60</v>
      </c>
    </row>
    <row r="1329" spans="2:19" hidden="1" outlineLevel="1">
      <c r="B1329" s="14" t="s">
        <v>116</v>
      </c>
      <c r="C1329" s="15" t="s">
        <v>65</v>
      </c>
      <c r="D1329" s="52">
        <v>2059</v>
      </c>
      <c r="E1329" s="34">
        <v>10</v>
      </c>
      <c r="F1329" s="38">
        <f t="shared" si="209"/>
        <v>20348.211988132531</v>
      </c>
      <c r="G1329" s="34">
        <f t="shared" si="210"/>
        <v>9</v>
      </c>
      <c r="H1329" s="34">
        <f t="shared" si="211"/>
        <v>3</v>
      </c>
      <c r="I1329" s="34" t="str">
        <f t="shared" si="217"/>
        <v/>
      </c>
      <c r="J1329" s="34" t="str">
        <f t="shared" si="217"/>
        <v/>
      </c>
      <c r="K1329" s="34" t="str">
        <f t="shared" si="217"/>
        <v/>
      </c>
      <c r="L1329" s="34" t="str">
        <f t="shared" si="217"/>
        <v/>
      </c>
      <c r="M1329" s="34" t="str">
        <f t="shared" si="217"/>
        <v/>
      </c>
      <c r="N1329" s="34">
        <f t="shared" si="217"/>
        <v>60</v>
      </c>
      <c r="O1329" s="34">
        <f t="shared" si="217"/>
        <v>63</v>
      </c>
      <c r="P1329" s="34">
        <f t="shared" si="217"/>
        <v>75</v>
      </c>
      <c r="Q1329" s="34">
        <f t="shared" si="217"/>
        <v>87</v>
      </c>
      <c r="R1329" s="34">
        <f t="shared" si="217"/>
        <v>99</v>
      </c>
      <c r="S1329" s="35">
        <f t="shared" si="212"/>
        <v>60</v>
      </c>
    </row>
    <row r="1330" spans="2:19" hidden="1" outlineLevel="1">
      <c r="B1330" s="14" t="s">
        <v>116</v>
      </c>
      <c r="C1330" s="15" t="s">
        <v>65</v>
      </c>
      <c r="D1330" s="52">
        <v>2059</v>
      </c>
      <c r="E1330" s="34">
        <v>11</v>
      </c>
      <c r="F1330" s="38">
        <f t="shared" si="209"/>
        <v>20348.211988132531</v>
      </c>
      <c r="G1330" s="34">
        <f t="shared" si="210"/>
        <v>9</v>
      </c>
      <c r="H1330" s="34">
        <f t="shared" si="211"/>
        <v>3</v>
      </c>
      <c r="I1330" s="34" t="str">
        <f t="shared" ref="I1330:R1339" si="218">IF($D1330&lt;$Z$18,"",IF(MAX($G1330,INDEX($C$65:$F$108,$D1330+I$119-2026,$H1330))&lt;=12*I$119-$E1330+12,MAX($G1330,12*I$119-$E1330+1,INDEX($C$65:$F$108,$D1330+I$119-2026,$H1330)),""))</f>
        <v/>
      </c>
      <c r="J1330" s="34" t="str">
        <f t="shared" si="218"/>
        <v/>
      </c>
      <c r="K1330" s="34" t="str">
        <f t="shared" si="218"/>
        <v/>
      </c>
      <c r="L1330" s="34" t="str">
        <f t="shared" si="218"/>
        <v/>
      </c>
      <c r="M1330" s="34" t="str">
        <f t="shared" si="218"/>
        <v/>
      </c>
      <c r="N1330" s="34">
        <f t="shared" si="218"/>
        <v>60</v>
      </c>
      <c r="O1330" s="34">
        <f t="shared" si="218"/>
        <v>62</v>
      </c>
      <c r="P1330" s="34">
        <f t="shared" si="218"/>
        <v>74</v>
      </c>
      <c r="Q1330" s="34">
        <f t="shared" si="218"/>
        <v>86</v>
      </c>
      <c r="R1330" s="34">
        <f t="shared" si="218"/>
        <v>98</v>
      </c>
      <c r="S1330" s="35">
        <f t="shared" si="212"/>
        <v>60</v>
      </c>
    </row>
    <row r="1331" spans="2:19" hidden="1" outlineLevel="1">
      <c r="B1331" s="14" t="s">
        <v>116</v>
      </c>
      <c r="C1331" s="15" t="s">
        <v>65</v>
      </c>
      <c r="D1331" s="52">
        <v>2059</v>
      </c>
      <c r="E1331" s="34">
        <v>12</v>
      </c>
      <c r="F1331" s="38">
        <f t="shared" si="209"/>
        <v>20348.211988132531</v>
      </c>
      <c r="G1331" s="34">
        <f t="shared" si="210"/>
        <v>9</v>
      </c>
      <c r="H1331" s="34">
        <f t="shared" si="211"/>
        <v>3</v>
      </c>
      <c r="I1331" s="34" t="str">
        <f t="shared" si="218"/>
        <v/>
      </c>
      <c r="J1331" s="34" t="str">
        <f t="shared" si="218"/>
        <v/>
      </c>
      <c r="K1331" s="34" t="str">
        <f t="shared" si="218"/>
        <v/>
      </c>
      <c r="L1331" s="34" t="str">
        <f t="shared" si="218"/>
        <v/>
      </c>
      <c r="M1331" s="34" t="str">
        <f t="shared" si="218"/>
        <v/>
      </c>
      <c r="N1331" s="34">
        <f t="shared" si="218"/>
        <v>60</v>
      </c>
      <c r="O1331" s="34">
        <f t="shared" si="218"/>
        <v>61</v>
      </c>
      <c r="P1331" s="34">
        <f t="shared" si="218"/>
        <v>73</v>
      </c>
      <c r="Q1331" s="34">
        <f t="shared" si="218"/>
        <v>85</v>
      </c>
      <c r="R1331" s="34">
        <f t="shared" si="218"/>
        <v>97</v>
      </c>
      <c r="S1331" s="35">
        <f t="shared" si="212"/>
        <v>60</v>
      </c>
    </row>
    <row r="1332" spans="2:19" hidden="1" outlineLevel="1">
      <c r="B1332" s="14" t="s">
        <v>116</v>
      </c>
      <c r="C1332" s="15" t="s">
        <v>65</v>
      </c>
      <c r="D1332" s="52">
        <v>2060</v>
      </c>
      <c r="E1332" s="34">
        <v>1</v>
      </c>
      <c r="F1332" s="38">
        <f t="shared" si="209"/>
        <v>20257.777703205415</v>
      </c>
      <c r="G1332" s="34">
        <f t="shared" si="210"/>
        <v>9</v>
      </c>
      <c r="H1332" s="34">
        <f t="shared" si="211"/>
        <v>3</v>
      </c>
      <c r="I1332" s="34" t="str">
        <f t="shared" si="218"/>
        <v/>
      </c>
      <c r="J1332" s="34" t="str">
        <f t="shared" si="218"/>
        <v/>
      </c>
      <c r="K1332" s="34" t="str">
        <f t="shared" si="218"/>
        <v/>
      </c>
      <c r="L1332" s="34" t="str">
        <f t="shared" si="218"/>
        <v/>
      </c>
      <c r="M1332" s="34" t="str">
        <f t="shared" si="218"/>
        <v/>
      </c>
      <c r="N1332" s="34">
        <f t="shared" si="218"/>
        <v>60</v>
      </c>
      <c r="O1332" s="34">
        <f t="shared" si="218"/>
        <v>72</v>
      </c>
      <c r="P1332" s="34">
        <f t="shared" si="218"/>
        <v>84</v>
      </c>
      <c r="Q1332" s="34">
        <f t="shared" si="218"/>
        <v>96</v>
      </c>
      <c r="R1332" s="34">
        <f t="shared" si="218"/>
        <v>108</v>
      </c>
      <c r="S1332" s="35">
        <f t="shared" si="212"/>
        <v>60</v>
      </c>
    </row>
    <row r="1333" spans="2:19" hidden="1" outlineLevel="1">
      <c r="B1333" s="14" t="s">
        <v>116</v>
      </c>
      <c r="C1333" s="15" t="s">
        <v>65</v>
      </c>
      <c r="D1333" s="52">
        <v>2060</v>
      </c>
      <c r="E1333" s="34">
        <v>2</v>
      </c>
      <c r="F1333" s="38">
        <f t="shared" si="209"/>
        <v>20257.777703205415</v>
      </c>
      <c r="G1333" s="34">
        <f t="shared" si="210"/>
        <v>9</v>
      </c>
      <c r="H1333" s="34">
        <f t="shared" si="211"/>
        <v>3</v>
      </c>
      <c r="I1333" s="34" t="str">
        <f t="shared" si="218"/>
        <v/>
      </c>
      <c r="J1333" s="34" t="str">
        <f t="shared" si="218"/>
        <v/>
      </c>
      <c r="K1333" s="34" t="str">
        <f t="shared" si="218"/>
        <v/>
      </c>
      <c r="L1333" s="34" t="str">
        <f t="shared" si="218"/>
        <v/>
      </c>
      <c r="M1333" s="34" t="str">
        <f t="shared" si="218"/>
        <v/>
      </c>
      <c r="N1333" s="34">
        <f t="shared" si="218"/>
        <v>60</v>
      </c>
      <c r="O1333" s="34">
        <f t="shared" si="218"/>
        <v>71</v>
      </c>
      <c r="P1333" s="34">
        <f t="shared" si="218"/>
        <v>83</v>
      </c>
      <c r="Q1333" s="34">
        <f t="shared" si="218"/>
        <v>95</v>
      </c>
      <c r="R1333" s="34">
        <f t="shared" si="218"/>
        <v>107</v>
      </c>
      <c r="S1333" s="35">
        <f t="shared" si="212"/>
        <v>60</v>
      </c>
    </row>
    <row r="1334" spans="2:19" hidden="1" outlineLevel="1">
      <c r="B1334" s="14" t="s">
        <v>116</v>
      </c>
      <c r="C1334" s="15" t="s">
        <v>65</v>
      </c>
      <c r="D1334" s="52">
        <v>2060</v>
      </c>
      <c r="E1334" s="34">
        <v>3</v>
      </c>
      <c r="F1334" s="38">
        <f t="shared" si="209"/>
        <v>20257.777703205415</v>
      </c>
      <c r="G1334" s="34">
        <f t="shared" si="210"/>
        <v>9</v>
      </c>
      <c r="H1334" s="34">
        <f t="shared" si="211"/>
        <v>3</v>
      </c>
      <c r="I1334" s="34" t="str">
        <f t="shared" si="218"/>
        <v/>
      </c>
      <c r="J1334" s="34" t="str">
        <f t="shared" si="218"/>
        <v/>
      </c>
      <c r="K1334" s="34" t="str">
        <f t="shared" si="218"/>
        <v/>
      </c>
      <c r="L1334" s="34" t="str">
        <f t="shared" si="218"/>
        <v/>
      </c>
      <c r="M1334" s="34" t="str">
        <f t="shared" si="218"/>
        <v/>
      </c>
      <c r="N1334" s="34">
        <f t="shared" si="218"/>
        <v>60</v>
      </c>
      <c r="O1334" s="34">
        <f t="shared" si="218"/>
        <v>70</v>
      </c>
      <c r="P1334" s="34">
        <f t="shared" si="218"/>
        <v>82</v>
      </c>
      <c r="Q1334" s="34">
        <f t="shared" si="218"/>
        <v>94</v>
      </c>
      <c r="R1334" s="34">
        <f t="shared" si="218"/>
        <v>106</v>
      </c>
      <c r="S1334" s="35">
        <f t="shared" si="212"/>
        <v>60</v>
      </c>
    </row>
    <row r="1335" spans="2:19" hidden="1" outlineLevel="1">
      <c r="B1335" s="14" t="s">
        <v>116</v>
      </c>
      <c r="C1335" s="15" t="s">
        <v>65</v>
      </c>
      <c r="D1335" s="52">
        <v>2060</v>
      </c>
      <c r="E1335" s="34">
        <v>4</v>
      </c>
      <c r="F1335" s="38">
        <f t="shared" si="209"/>
        <v>20257.777703205415</v>
      </c>
      <c r="G1335" s="34">
        <f t="shared" si="210"/>
        <v>9</v>
      </c>
      <c r="H1335" s="34">
        <f t="shared" si="211"/>
        <v>3</v>
      </c>
      <c r="I1335" s="34" t="str">
        <f t="shared" si="218"/>
        <v/>
      </c>
      <c r="J1335" s="34" t="str">
        <f t="shared" si="218"/>
        <v/>
      </c>
      <c r="K1335" s="34" t="str">
        <f t="shared" si="218"/>
        <v/>
      </c>
      <c r="L1335" s="34" t="str">
        <f t="shared" si="218"/>
        <v/>
      </c>
      <c r="M1335" s="34" t="str">
        <f t="shared" si="218"/>
        <v/>
      </c>
      <c r="N1335" s="34">
        <f t="shared" si="218"/>
        <v>60</v>
      </c>
      <c r="O1335" s="34">
        <f t="shared" si="218"/>
        <v>69</v>
      </c>
      <c r="P1335" s="34">
        <f t="shared" si="218"/>
        <v>81</v>
      </c>
      <c r="Q1335" s="34">
        <f t="shared" si="218"/>
        <v>93</v>
      </c>
      <c r="R1335" s="34">
        <f t="shared" si="218"/>
        <v>105</v>
      </c>
      <c r="S1335" s="35">
        <f t="shared" si="212"/>
        <v>60</v>
      </c>
    </row>
    <row r="1336" spans="2:19" hidden="1" outlineLevel="1">
      <c r="B1336" s="14" t="s">
        <v>116</v>
      </c>
      <c r="C1336" s="15" t="s">
        <v>65</v>
      </c>
      <c r="D1336" s="52">
        <v>2060</v>
      </c>
      <c r="E1336" s="34">
        <v>5</v>
      </c>
      <c r="F1336" s="38">
        <f t="shared" ref="F1336:F1399" si="219">IF($C1336="Homens",INDEX($C$5:$C$55,MATCH($D1336,$B$5:$B$55,0)),INDEX($F$5:$F$55,MATCH($D1336,$B$5:$B$55,0)))/12</f>
        <v>20257.777703205415</v>
      </c>
      <c r="G1336" s="34">
        <f t="shared" ref="G1336:G1399" si="220">IF($C1336="Homens",$Z$17,$AA$17)</f>
        <v>9</v>
      </c>
      <c r="H1336" s="34">
        <f t="shared" ref="H1336:H1399" si="221">1+2*($B1336="Com Transição")+($C1336="Mulheres")</f>
        <v>3</v>
      </c>
      <c r="I1336" s="34" t="str">
        <f t="shared" si="218"/>
        <v/>
      </c>
      <c r="J1336" s="34" t="str">
        <f t="shared" si="218"/>
        <v/>
      </c>
      <c r="K1336" s="34" t="str">
        <f t="shared" si="218"/>
        <v/>
      </c>
      <c r="L1336" s="34" t="str">
        <f t="shared" si="218"/>
        <v/>
      </c>
      <c r="M1336" s="34" t="str">
        <f t="shared" si="218"/>
        <v/>
      </c>
      <c r="N1336" s="34">
        <f t="shared" si="218"/>
        <v>60</v>
      </c>
      <c r="O1336" s="34">
        <f t="shared" si="218"/>
        <v>68</v>
      </c>
      <c r="P1336" s="34">
        <f t="shared" si="218"/>
        <v>80</v>
      </c>
      <c r="Q1336" s="34">
        <f t="shared" si="218"/>
        <v>92</v>
      </c>
      <c r="R1336" s="34">
        <f t="shared" si="218"/>
        <v>104</v>
      </c>
      <c r="S1336" s="35">
        <f t="shared" ref="S1336:S1399" si="222">IF($D1336&lt;$Z$18,$G1336,MIN(I1336:R1336))</f>
        <v>60</v>
      </c>
    </row>
    <row r="1337" spans="2:19" hidden="1" outlineLevel="1">
      <c r="B1337" s="14" t="s">
        <v>116</v>
      </c>
      <c r="C1337" s="15" t="s">
        <v>65</v>
      </c>
      <c r="D1337" s="52">
        <v>2060</v>
      </c>
      <c r="E1337" s="34">
        <v>6</v>
      </c>
      <c r="F1337" s="38">
        <f t="shared" si="219"/>
        <v>20257.777703205415</v>
      </c>
      <c r="G1337" s="34">
        <f t="shared" si="220"/>
        <v>9</v>
      </c>
      <c r="H1337" s="34">
        <f t="shared" si="221"/>
        <v>3</v>
      </c>
      <c r="I1337" s="34" t="str">
        <f t="shared" si="218"/>
        <v/>
      </c>
      <c r="J1337" s="34" t="str">
        <f t="shared" si="218"/>
        <v/>
      </c>
      <c r="K1337" s="34" t="str">
        <f t="shared" si="218"/>
        <v/>
      </c>
      <c r="L1337" s="34" t="str">
        <f t="shared" si="218"/>
        <v/>
      </c>
      <c r="M1337" s="34" t="str">
        <f t="shared" si="218"/>
        <v/>
      </c>
      <c r="N1337" s="34">
        <f t="shared" si="218"/>
        <v>60</v>
      </c>
      <c r="O1337" s="34">
        <f t="shared" si="218"/>
        <v>67</v>
      </c>
      <c r="P1337" s="34">
        <f t="shared" si="218"/>
        <v>79</v>
      </c>
      <c r="Q1337" s="34">
        <f t="shared" si="218"/>
        <v>91</v>
      </c>
      <c r="R1337" s="34">
        <f t="shared" si="218"/>
        <v>103</v>
      </c>
      <c r="S1337" s="35">
        <f t="shared" si="222"/>
        <v>60</v>
      </c>
    </row>
    <row r="1338" spans="2:19" hidden="1" outlineLevel="1">
      <c r="B1338" s="14" t="s">
        <v>116</v>
      </c>
      <c r="C1338" s="15" t="s">
        <v>65</v>
      </c>
      <c r="D1338" s="52">
        <v>2060</v>
      </c>
      <c r="E1338" s="34">
        <v>7</v>
      </c>
      <c r="F1338" s="38">
        <f t="shared" si="219"/>
        <v>20257.777703205415</v>
      </c>
      <c r="G1338" s="34">
        <f t="shared" si="220"/>
        <v>9</v>
      </c>
      <c r="H1338" s="34">
        <f t="shared" si="221"/>
        <v>3</v>
      </c>
      <c r="I1338" s="34" t="str">
        <f t="shared" si="218"/>
        <v/>
      </c>
      <c r="J1338" s="34" t="str">
        <f t="shared" si="218"/>
        <v/>
      </c>
      <c r="K1338" s="34" t="str">
        <f t="shared" si="218"/>
        <v/>
      </c>
      <c r="L1338" s="34" t="str">
        <f t="shared" si="218"/>
        <v/>
      </c>
      <c r="M1338" s="34" t="str">
        <f t="shared" si="218"/>
        <v/>
      </c>
      <c r="N1338" s="34">
        <f t="shared" si="218"/>
        <v>60</v>
      </c>
      <c r="O1338" s="34">
        <f t="shared" si="218"/>
        <v>66</v>
      </c>
      <c r="P1338" s="34">
        <f t="shared" si="218"/>
        <v>78</v>
      </c>
      <c r="Q1338" s="34">
        <f t="shared" si="218"/>
        <v>90</v>
      </c>
      <c r="R1338" s="34">
        <f t="shared" si="218"/>
        <v>102</v>
      </c>
      <c r="S1338" s="35">
        <f t="shared" si="222"/>
        <v>60</v>
      </c>
    </row>
    <row r="1339" spans="2:19" hidden="1" outlineLevel="1">
      <c r="B1339" s="14" t="s">
        <v>116</v>
      </c>
      <c r="C1339" s="15" t="s">
        <v>65</v>
      </c>
      <c r="D1339" s="52">
        <v>2060</v>
      </c>
      <c r="E1339" s="34">
        <v>8</v>
      </c>
      <c r="F1339" s="38">
        <f t="shared" si="219"/>
        <v>20257.777703205415</v>
      </c>
      <c r="G1339" s="34">
        <f t="shared" si="220"/>
        <v>9</v>
      </c>
      <c r="H1339" s="34">
        <f t="shared" si="221"/>
        <v>3</v>
      </c>
      <c r="I1339" s="34" t="str">
        <f t="shared" si="218"/>
        <v/>
      </c>
      <c r="J1339" s="34" t="str">
        <f t="shared" si="218"/>
        <v/>
      </c>
      <c r="K1339" s="34" t="str">
        <f t="shared" si="218"/>
        <v/>
      </c>
      <c r="L1339" s="34" t="str">
        <f t="shared" si="218"/>
        <v/>
      </c>
      <c r="M1339" s="34" t="str">
        <f t="shared" si="218"/>
        <v/>
      </c>
      <c r="N1339" s="34">
        <f t="shared" si="218"/>
        <v>60</v>
      </c>
      <c r="O1339" s="34">
        <f t="shared" si="218"/>
        <v>65</v>
      </c>
      <c r="P1339" s="34">
        <f t="shared" si="218"/>
        <v>77</v>
      </c>
      <c r="Q1339" s="34">
        <f t="shared" si="218"/>
        <v>89</v>
      </c>
      <c r="R1339" s="34">
        <f t="shared" si="218"/>
        <v>101</v>
      </c>
      <c r="S1339" s="35">
        <f t="shared" si="222"/>
        <v>60</v>
      </c>
    </row>
    <row r="1340" spans="2:19" hidden="1" outlineLevel="1">
      <c r="B1340" s="14" t="s">
        <v>116</v>
      </c>
      <c r="C1340" s="15" t="s">
        <v>65</v>
      </c>
      <c r="D1340" s="52">
        <v>2060</v>
      </c>
      <c r="E1340" s="34">
        <v>9</v>
      </c>
      <c r="F1340" s="38">
        <f t="shared" si="219"/>
        <v>20257.777703205415</v>
      </c>
      <c r="G1340" s="34">
        <f t="shared" si="220"/>
        <v>9</v>
      </c>
      <c r="H1340" s="34">
        <f t="shared" si="221"/>
        <v>3</v>
      </c>
      <c r="I1340" s="34" t="str">
        <f t="shared" ref="I1340:R1349" si="223">IF($D1340&lt;$Z$18,"",IF(MAX($G1340,INDEX($C$65:$F$108,$D1340+I$119-2026,$H1340))&lt;=12*I$119-$E1340+12,MAX($G1340,12*I$119-$E1340+1,INDEX($C$65:$F$108,$D1340+I$119-2026,$H1340)),""))</f>
        <v/>
      </c>
      <c r="J1340" s="34" t="str">
        <f t="shared" si="223"/>
        <v/>
      </c>
      <c r="K1340" s="34" t="str">
        <f t="shared" si="223"/>
        <v/>
      </c>
      <c r="L1340" s="34" t="str">
        <f t="shared" si="223"/>
        <v/>
      </c>
      <c r="M1340" s="34" t="str">
        <f t="shared" si="223"/>
        <v/>
      </c>
      <c r="N1340" s="34">
        <f t="shared" si="223"/>
        <v>60</v>
      </c>
      <c r="O1340" s="34">
        <f t="shared" si="223"/>
        <v>64</v>
      </c>
      <c r="P1340" s="34">
        <f t="shared" si="223"/>
        <v>76</v>
      </c>
      <c r="Q1340" s="34">
        <f t="shared" si="223"/>
        <v>88</v>
      </c>
      <c r="R1340" s="34">
        <f t="shared" si="223"/>
        <v>100</v>
      </c>
      <c r="S1340" s="35">
        <f t="shared" si="222"/>
        <v>60</v>
      </c>
    </row>
    <row r="1341" spans="2:19" hidden="1" outlineLevel="1">
      <c r="B1341" s="14" t="s">
        <v>116</v>
      </c>
      <c r="C1341" s="15" t="s">
        <v>65</v>
      </c>
      <c r="D1341" s="52">
        <v>2060</v>
      </c>
      <c r="E1341" s="34">
        <v>10</v>
      </c>
      <c r="F1341" s="38">
        <f t="shared" si="219"/>
        <v>20257.777703205415</v>
      </c>
      <c r="G1341" s="34">
        <f t="shared" si="220"/>
        <v>9</v>
      </c>
      <c r="H1341" s="34">
        <f t="shared" si="221"/>
        <v>3</v>
      </c>
      <c r="I1341" s="34" t="str">
        <f t="shared" si="223"/>
        <v/>
      </c>
      <c r="J1341" s="34" t="str">
        <f t="shared" si="223"/>
        <v/>
      </c>
      <c r="K1341" s="34" t="str">
        <f t="shared" si="223"/>
        <v/>
      </c>
      <c r="L1341" s="34" t="str">
        <f t="shared" si="223"/>
        <v/>
      </c>
      <c r="M1341" s="34" t="str">
        <f t="shared" si="223"/>
        <v/>
      </c>
      <c r="N1341" s="34">
        <f t="shared" si="223"/>
        <v>60</v>
      </c>
      <c r="O1341" s="34">
        <f t="shared" si="223"/>
        <v>63</v>
      </c>
      <c r="P1341" s="34">
        <f t="shared" si="223"/>
        <v>75</v>
      </c>
      <c r="Q1341" s="34">
        <f t="shared" si="223"/>
        <v>87</v>
      </c>
      <c r="R1341" s="34">
        <f t="shared" si="223"/>
        <v>99</v>
      </c>
      <c r="S1341" s="35">
        <f t="shared" si="222"/>
        <v>60</v>
      </c>
    </row>
    <row r="1342" spans="2:19" hidden="1" outlineLevel="1">
      <c r="B1342" s="14" t="s">
        <v>116</v>
      </c>
      <c r="C1342" s="15" t="s">
        <v>65</v>
      </c>
      <c r="D1342" s="52">
        <v>2060</v>
      </c>
      <c r="E1342" s="34">
        <v>11</v>
      </c>
      <c r="F1342" s="38">
        <f t="shared" si="219"/>
        <v>20257.777703205415</v>
      </c>
      <c r="G1342" s="34">
        <f t="shared" si="220"/>
        <v>9</v>
      </c>
      <c r="H1342" s="34">
        <f t="shared" si="221"/>
        <v>3</v>
      </c>
      <c r="I1342" s="34" t="str">
        <f t="shared" si="223"/>
        <v/>
      </c>
      <c r="J1342" s="34" t="str">
        <f t="shared" si="223"/>
        <v/>
      </c>
      <c r="K1342" s="34" t="str">
        <f t="shared" si="223"/>
        <v/>
      </c>
      <c r="L1342" s="34" t="str">
        <f t="shared" si="223"/>
        <v/>
      </c>
      <c r="M1342" s="34" t="str">
        <f t="shared" si="223"/>
        <v/>
      </c>
      <c r="N1342" s="34">
        <f t="shared" si="223"/>
        <v>60</v>
      </c>
      <c r="O1342" s="34">
        <f t="shared" si="223"/>
        <v>62</v>
      </c>
      <c r="P1342" s="34">
        <f t="shared" si="223"/>
        <v>74</v>
      </c>
      <c r="Q1342" s="34">
        <f t="shared" si="223"/>
        <v>86</v>
      </c>
      <c r="R1342" s="34">
        <f t="shared" si="223"/>
        <v>98</v>
      </c>
      <c r="S1342" s="35">
        <f t="shared" si="222"/>
        <v>60</v>
      </c>
    </row>
    <row r="1343" spans="2:19" hidden="1" outlineLevel="1">
      <c r="B1343" s="14" t="s">
        <v>116</v>
      </c>
      <c r="C1343" s="15" t="s">
        <v>65</v>
      </c>
      <c r="D1343" s="52">
        <v>2060</v>
      </c>
      <c r="E1343" s="34">
        <v>12</v>
      </c>
      <c r="F1343" s="38">
        <f t="shared" si="219"/>
        <v>20257.777703205415</v>
      </c>
      <c r="G1343" s="34">
        <f t="shared" si="220"/>
        <v>9</v>
      </c>
      <c r="H1343" s="34">
        <f t="shared" si="221"/>
        <v>3</v>
      </c>
      <c r="I1343" s="34" t="str">
        <f t="shared" si="223"/>
        <v/>
      </c>
      <c r="J1343" s="34" t="str">
        <f t="shared" si="223"/>
        <v/>
      </c>
      <c r="K1343" s="34" t="str">
        <f t="shared" si="223"/>
        <v/>
      </c>
      <c r="L1343" s="34" t="str">
        <f t="shared" si="223"/>
        <v/>
      </c>
      <c r="M1343" s="34" t="str">
        <f t="shared" si="223"/>
        <v/>
      </c>
      <c r="N1343" s="34">
        <f t="shared" si="223"/>
        <v>60</v>
      </c>
      <c r="O1343" s="34">
        <f t="shared" si="223"/>
        <v>61</v>
      </c>
      <c r="P1343" s="34">
        <f t="shared" si="223"/>
        <v>73</v>
      </c>
      <c r="Q1343" s="34">
        <f t="shared" si="223"/>
        <v>85</v>
      </c>
      <c r="R1343" s="34">
        <f t="shared" si="223"/>
        <v>97</v>
      </c>
      <c r="S1343" s="35">
        <f t="shared" si="222"/>
        <v>60</v>
      </c>
    </row>
    <row r="1344" spans="2:19" hidden="1" outlineLevel="1">
      <c r="B1344" s="14" t="s">
        <v>116</v>
      </c>
      <c r="C1344" s="15" t="s">
        <v>66</v>
      </c>
      <c r="D1344" s="52">
        <v>2027</v>
      </c>
      <c r="E1344" s="34">
        <v>1</v>
      </c>
      <c r="F1344" s="38">
        <f t="shared" si="219"/>
        <v>17571.5902694551</v>
      </c>
      <c r="G1344" s="34">
        <f t="shared" si="220"/>
        <v>16</v>
      </c>
      <c r="H1344" s="34">
        <f t="shared" si="221"/>
        <v>4</v>
      </c>
      <c r="I1344" s="34" t="str">
        <f t="shared" si="223"/>
        <v/>
      </c>
      <c r="J1344" s="34">
        <f t="shared" si="223"/>
        <v>17</v>
      </c>
      <c r="K1344" s="34">
        <f t="shared" si="223"/>
        <v>25</v>
      </c>
      <c r="L1344" s="34">
        <f t="shared" si="223"/>
        <v>36</v>
      </c>
      <c r="M1344" s="34">
        <f t="shared" si="223"/>
        <v>48</v>
      </c>
      <c r="N1344" s="34">
        <f t="shared" si="223"/>
        <v>60</v>
      </c>
      <c r="O1344" s="34">
        <f t="shared" si="223"/>
        <v>72</v>
      </c>
      <c r="P1344" s="34">
        <f t="shared" si="223"/>
        <v>84</v>
      </c>
      <c r="Q1344" s="34">
        <f t="shared" si="223"/>
        <v>96</v>
      </c>
      <c r="R1344" s="34">
        <f t="shared" si="223"/>
        <v>108</v>
      </c>
      <c r="S1344" s="35">
        <f t="shared" si="222"/>
        <v>17</v>
      </c>
    </row>
    <row r="1345" spans="2:19" hidden="1" outlineLevel="1">
      <c r="B1345" s="14" t="s">
        <v>116</v>
      </c>
      <c r="C1345" s="15" t="s">
        <v>66</v>
      </c>
      <c r="D1345" s="52">
        <v>2027</v>
      </c>
      <c r="E1345" s="34">
        <v>2</v>
      </c>
      <c r="F1345" s="38">
        <f t="shared" si="219"/>
        <v>17571.5902694551</v>
      </c>
      <c r="G1345" s="34">
        <f t="shared" si="220"/>
        <v>16</v>
      </c>
      <c r="H1345" s="34">
        <f t="shared" si="221"/>
        <v>4</v>
      </c>
      <c r="I1345" s="34" t="str">
        <f t="shared" si="223"/>
        <v/>
      </c>
      <c r="J1345" s="34">
        <f t="shared" si="223"/>
        <v>17</v>
      </c>
      <c r="K1345" s="34">
        <f t="shared" si="223"/>
        <v>25</v>
      </c>
      <c r="L1345" s="34">
        <f t="shared" si="223"/>
        <v>35</v>
      </c>
      <c r="M1345" s="34">
        <f t="shared" si="223"/>
        <v>47</v>
      </c>
      <c r="N1345" s="34">
        <f t="shared" si="223"/>
        <v>59</v>
      </c>
      <c r="O1345" s="34">
        <f t="shared" si="223"/>
        <v>71</v>
      </c>
      <c r="P1345" s="34">
        <f t="shared" si="223"/>
        <v>83</v>
      </c>
      <c r="Q1345" s="34">
        <f t="shared" si="223"/>
        <v>95</v>
      </c>
      <c r="R1345" s="34">
        <f t="shared" si="223"/>
        <v>107</v>
      </c>
      <c r="S1345" s="35">
        <f t="shared" si="222"/>
        <v>17</v>
      </c>
    </row>
    <row r="1346" spans="2:19" hidden="1" outlineLevel="1">
      <c r="B1346" s="14" t="s">
        <v>116</v>
      </c>
      <c r="C1346" s="15" t="s">
        <v>66</v>
      </c>
      <c r="D1346" s="52">
        <v>2027</v>
      </c>
      <c r="E1346" s="34">
        <v>3</v>
      </c>
      <c r="F1346" s="38">
        <f t="shared" si="219"/>
        <v>17571.5902694551</v>
      </c>
      <c r="G1346" s="34">
        <f t="shared" si="220"/>
        <v>16</v>
      </c>
      <c r="H1346" s="34">
        <f t="shared" si="221"/>
        <v>4</v>
      </c>
      <c r="I1346" s="34" t="str">
        <f t="shared" si="223"/>
        <v/>
      </c>
      <c r="J1346" s="34">
        <f t="shared" si="223"/>
        <v>17</v>
      </c>
      <c r="K1346" s="34">
        <f t="shared" si="223"/>
        <v>25</v>
      </c>
      <c r="L1346" s="34">
        <f t="shared" si="223"/>
        <v>34</v>
      </c>
      <c r="M1346" s="34">
        <f t="shared" si="223"/>
        <v>46</v>
      </c>
      <c r="N1346" s="34">
        <f t="shared" si="223"/>
        <v>58</v>
      </c>
      <c r="O1346" s="34">
        <f t="shared" si="223"/>
        <v>70</v>
      </c>
      <c r="P1346" s="34">
        <f t="shared" si="223"/>
        <v>82</v>
      </c>
      <c r="Q1346" s="34">
        <f t="shared" si="223"/>
        <v>94</v>
      </c>
      <c r="R1346" s="34">
        <f t="shared" si="223"/>
        <v>106</v>
      </c>
      <c r="S1346" s="35">
        <f t="shared" si="222"/>
        <v>17</v>
      </c>
    </row>
    <row r="1347" spans="2:19" hidden="1" outlineLevel="1">
      <c r="B1347" s="14" t="s">
        <v>116</v>
      </c>
      <c r="C1347" s="15" t="s">
        <v>66</v>
      </c>
      <c r="D1347" s="52">
        <v>2027</v>
      </c>
      <c r="E1347" s="34">
        <v>4</v>
      </c>
      <c r="F1347" s="38">
        <f t="shared" si="219"/>
        <v>17571.5902694551</v>
      </c>
      <c r="G1347" s="34">
        <f t="shared" si="220"/>
        <v>16</v>
      </c>
      <c r="H1347" s="34">
        <f t="shared" si="221"/>
        <v>4</v>
      </c>
      <c r="I1347" s="34" t="str">
        <f t="shared" si="223"/>
        <v/>
      </c>
      <c r="J1347" s="34">
        <f t="shared" si="223"/>
        <v>17</v>
      </c>
      <c r="K1347" s="34">
        <f t="shared" si="223"/>
        <v>25</v>
      </c>
      <c r="L1347" s="34">
        <f t="shared" si="223"/>
        <v>34</v>
      </c>
      <c r="M1347" s="34">
        <f t="shared" si="223"/>
        <v>45</v>
      </c>
      <c r="N1347" s="34">
        <f t="shared" si="223"/>
        <v>57</v>
      </c>
      <c r="O1347" s="34">
        <f t="shared" si="223"/>
        <v>69</v>
      </c>
      <c r="P1347" s="34">
        <f t="shared" si="223"/>
        <v>81</v>
      </c>
      <c r="Q1347" s="34">
        <f t="shared" si="223"/>
        <v>93</v>
      </c>
      <c r="R1347" s="34">
        <f t="shared" si="223"/>
        <v>105</v>
      </c>
      <c r="S1347" s="35">
        <f t="shared" si="222"/>
        <v>17</v>
      </c>
    </row>
    <row r="1348" spans="2:19" hidden="1" outlineLevel="1">
      <c r="B1348" s="14" t="s">
        <v>116</v>
      </c>
      <c r="C1348" s="15" t="s">
        <v>66</v>
      </c>
      <c r="D1348" s="52">
        <v>2027</v>
      </c>
      <c r="E1348" s="34">
        <v>5</v>
      </c>
      <c r="F1348" s="38">
        <f t="shared" si="219"/>
        <v>17571.5902694551</v>
      </c>
      <c r="G1348" s="34">
        <f t="shared" si="220"/>
        <v>16</v>
      </c>
      <c r="H1348" s="34">
        <f t="shared" si="221"/>
        <v>4</v>
      </c>
      <c r="I1348" s="34" t="str">
        <f t="shared" si="223"/>
        <v/>
      </c>
      <c r="J1348" s="34">
        <f t="shared" si="223"/>
        <v>17</v>
      </c>
      <c r="K1348" s="34">
        <f t="shared" si="223"/>
        <v>25</v>
      </c>
      <c r="L1348" s="34">
        <f t="shared" si="223"/>
        <v>34</v>
      </c>
      <c r="M1348" s="34">
        <f t="shared" si="223"/>
        <v>44</v>
      </c>
      <c r="N1348" s="34">
        <f t="shared" si="223"/>
        <v>56</v>
      </c>
      <c r="O1348" s="34">
        <f t="shared" si="223"/>
        <v>68</v>
      </c>
      <c r="P1348" s="34">
        <f t="shared" si="223"/>
        <v>80</v>
      </c>
      <c r="Q1348" s="34">
        <f t="shared" si="223"/>
        <v>92</v>
      </c>
      <c r="R1348" s="34">
        <f t="shared" si="223"/>
        <v>104</v>
      </c>
      <c r="S1348" s="35">
        <f t="shared" si="222"/>
        <v>17</v>
      </c>
    </row>
    <row r="1349" spans="2:19" hidden="1" outlineLevel="1">
      <c r="B1349" s="14" t="s">
        <v>116</v>
      </c>
      <c r="C1349" s="15" t="s">
        <v>66</v>
      </c>
      <c r="D1349" s="52">
        <v>2027</v>
      </c>
      <c r="E1349" s="34">
        <v>6</v>
      </c>
      <c r="F1349" s="38">
        <f t="shared" si="219"/>
        <v>17571.5902694551</v>
      </c>
      <c r="G1349" s="34">
        <f t="shared" si="220"/>
        <v>16</v>
      </c>
      <c r="H1349" s="34">
        <f t="shared" si="221"/>
        <v>4</v>
      </c>
      <c r="I1349" s="34" t="str">
        <f t="shared" si="223"/>
        <v/>
      </c>
      <c r="J1349" s="34">
        <f t="shared" si="223"/>
        <v>17</v>
      </c>
      <c r="K1349" s="34">
        <f t="shared" si="223"/>
        <v>25</v>
      </c>
      <c r="L1349" s="34">
        <f t="shared" si="223"/>
        <v>34</v>
      </c>
      <c r="M1349" s="34">
        <f t="shared" si="223"/>
        <v>43</v>
      </c>
      <c r="N1349" s="34">
        <f t="shared" si="223"/>
        <v>55</v>
      </c>
      <c r="O1349" s="34">
        <f t="shared" si="223"/>
        <v>67</v>
      </c>
      <c r="P1349" s="34">
        <f t="shared" si="223"/>
        <v>79</v>
      </c>
      <c r="Q1349" s="34">
        <f t="shared" si="223"/>
        <v>91</v>
      </c>
      <c r="R1349" s="34">
        <f t="shared" si="223"/>
        <v>103</v>
      </c>
      <c r="S1349" s="35">
        <f t="shared" si="222"/>
        <v>17</v>
      </c>
    </row>
    <row r="1350" spans="2:19" hidden="1" outlineLevel="1">
      <c r="B1350" s="14" t="s">
        <v>116</v>
      </c>
      <c r="C1350" s="15" t="s">
        <v>66</v>
      </c>
      <c r="D1350" s="52">
        <v>2027</v>
      </c>
      <c r="E1350" s="34">
        <v>7</v>
      </c>
      <c r="F1350" s="38">
        <f t="shared" si="219"/>
        <v>17571.5902694551</v>
      </c>
      <c r="G1350" s="34">
        <f t="shared" si="220"/>
        <v>16</v>
      </c>
      <c r="H1350" s="34">
        <f t="shared" si="221"/>
        <v>4</v>
      </c>
      <c r="I1350" s="34" t="str">
        <f t="shared" ref="I1350:R1359" si="224">IF($D1350&lt;$Z$18,"",IF(MAX($G1350,INDEX($C$65:$F$108,$D1350+I$119-2026,$H1350))&lt;=12*I$119-$E1350+12,MAX($G1350,12*I$119-$E1350+1,INDEX($C$65:$F$108,$D1350+I$119-2026,$H1350)),""))</f>
        <v/>
      </c>
      <c r="J1350" s="34">
        <f t="shared" si="224"/>
        <v>17</v>
      </c>
      <c r="K1350" s="34">
        <f t="shared" si="224"/>
        <v>25</v>
      </c>
      <c r="L1350" s="34">
        <f t="shared" si="224"/>
        <v>34</v>
      </c>
      <c r="M1350" s="34">
        <f t="shared" si="224"/>
        <v>42</v>
      </c>
      <c r="N1350" s="34">
        <f t="shared" si="224"/>
        <v>54</v>
      </c>
      <c r="O1350" s="34">
        <f t="shared" si="224"/>
        <v>66</v>
      </c>
      <c r="P1350" s="34">
        <f t="shared" si="224"/>
        <v>78</v>
      </c>
      <c r="Q1350" s="34">
        <f t="shared" si="224"/>
        <v>90</v>
      </c>
      <c r="R1350" s="34">
        <f t="shared" si="224"/>
        <v>102</v>
      </c>
      <c r="S1350" s="35">
        <f t="shared" si="222"/>
        <v>17</v>
      </c>
    </row>
    <row r="1351" spans="2:19" hidden="1" outlineLevel="1">
      <c r="B1351" s="14" t="s">
        <v>116</v>
      </c>
      <c r="C1351" s="15" t="s">
        <v>66</v>
      </c>
      <c r="D1351" s="52">
        <v>2027</v>
      </c>
      <c r="E1351" s="34">
        <v>8</v>
      </c>
      <c r="F1351" s="38">
        <f t="shared" si="219"/>
        <v>17571.5902694551</v>
      </c>
      <c r="G1351" s="34">
        <f t="shared" si="220"/>
        <v>16</v>
      </c>
      <c r="H1351" s="34">
        <f t="shared" si="221"/>
        <v>4</v>
      </c>
      <c r="I1351" s="34" t="str">
        <f t="shared" si="224"/>
        <v/>
      </c>
      <c r="J1351" s="34" t="str">
        <f t="shared" si="224"/>
        <v/>
      </c>
      <c r="K1351" s="34">
        <f t="shared" si="224"/>
        <v>25</v>
      </c>
      <c r="L1351" s="34">
        <f t="shared" si="224"/>
        <v>34</v>
      </c>
      <c r="M1351" s="34">
        <f t="shared" si="224"/>
        <v>42</v>
      </c>
      <c r="N1351" s="34">
        <f t="shared" si="224"/>
        <v>53</v>
      </c>
      <c r="O1351" s="34">
        <f t="shared" si="224"/>
        <v>65</v>
      </c>
      <c r="P1351" s="34">
        <f t="shared" si="224"/>
        <v>77</v>
      </c>
      <c r="Q1351" s="34">
        <f t="shared" si="224"/>
        <v>89</v>
      </c>
      <c r="R1351" s="34">
        <f t="shared" si="224"/>
        <v>101</v>
      </c>
      <c r="S1351" s="35">
        <f t="shared" si="222"/>
        <v>25</v>
      </c>
    </row>
    <row r="1352" spans="2:19" hidden="1" outlineLevel="1">
      <c r="B1352" s="14" t="s">
        <v>116</v>
      </c>
      <c r="C1352" s="15" t="s">
        <v>66</v>
      </c>
      <c r="D1352" s="52">
        <v>2027</v>
      </c>
      <c r="E1352" s="34">
        <v>9</v>
      </c>
      <c r="F1352" s="38">
        <f t="shared" si="219"/>
        <v>17571.5902694551</v>
      </c>
      <c r="G1352" s="34">
        <f t="shared" si="220"/>
        <v>16</v>
      </c>
      <c r="H1352" s="34">
        <f t="shared" si="221"/>
        <v>4</v>
      </c>
      <c r="I1352" s="34" t="str">
        <f t="shared" si="224"/>
        <v/>
      </c>
      <c r="J1352" s="34" t="str">
        <f t="shared" si="224"/>
        <v/>
      </c>
      <c r="K1352" s="34">
        <f t="shared" si="224"/>
        <v>25</v>
      </c>
      <c r="L1352" s="34">
        <f t="shared" si="224"/>
        <v>34</v>
      </c>
      <c r="M1352" s="34">
        <f t="shared" si="224"/>
        <v>42</v>
      </c>
      <c r="N1352" s="34">
        <f t="shared" si="224"/>
        <v>52</v>
      </c>
      <c r="O1352" s="34">
        <f t="shared" si="224"/>
        <v>64</v>
      </c>
      <c r="P1352" s="34">
        <f t="shared" si="224"/>
        <v>76</v>
      </c>
      <c r="Q1352" s="34">
        <f t="shared" si="224"/>
        <v>88</v>
      </c>
      <c r="R1352" s="34">
        <f t="shared" si="224"/>
        <v>100</v>
      </c>
      <c r="S1352" s="35">
        <f t="shared" si="222"/>
        <v>25</v>
      </c>
    </row>
    <row r="1353" spans="2:19" hidden="1" outlineLevel="1">
      <c r="B1353" s="14" t="s">
        <v>116</v>
      </c>
      <c r="C1353" s="15" t="s">
        <v>66</v>
      </c>
      <c r="D1353" s="52">
        <v>2027</v>
      </c>
      <c r="E1353" s="34">
        <v>10</v>
      </c>
      <c r="F1353" s="38">
        <f t="shared" si="219"/>
        <v>17571.5902694551</v>
      </c>
      <c r="G1353" s="34">
        <f t="shared" si="220"/>
        <v>16</v>
      </c>
      <c r="H1353" s="34">
        <f t="shared" si="221"/>
        <v>4</v>
      </c>
      <c r="I1353" s="34" t="str">
        <f t="shared" si="224"/>
        <v/>
      </c>
      <c r="J1353" s="34" t="str">
        <f t="shared" si="224"/>
        <v/>
      </c>
      <c r="K1353" s="34">
        <f t="shared" si="224"/>
        <v>25</v>
      </c>
      <c r="L1353" s="34">
        <f t="shared" si="224"/>
        <v>34</v>
      </c>
      <c r="M1353" s="34">
        <f t="shared" si="224"/>
        <v>42</v>
      </c>
      <c r="N1353" s="34">
        <f t="shared" si="224"/>
        <v>51</v>
      </c>
      <c r="O1353" s="34">
        <f t="shared" si="224"/>
        <v>63</v>
      </c>
      <c r="P1353" s="34">
        <f t="shared" si="224"/>
        <v>75</v>
      </c>
      <c r="Q1353" s="34">
        <f t="shared" si="224"/>
        <v>87</v>
      </c>
      <c r="R1353" s="34">
        <f t="shared" si="224"/>
        <v>99</v>
      </c>
      <c r="S1353" s="35">
        <f t="shared" si="222"/>
        <v>25</v>
      </c>
    </row>
    <row r="1354" spans="2:19" hidden="1" outlineLevel="1">
      <c r="B1354" s="14" t="s">
        <v>116</v>
      </c>
      <c r="C1354" s="15" t="s">
        <v>66</v>
      </c>
      <c r="D1354" s="52">
        <v>2027</v>
      </c>
      <c r="E1354" s="34">
        <v>11</v>
      </c>
      <c r="F1354" s="38">
        <f t="shared" si="219"/>
        <v>17571.5902694551</v>
      </c>
      <c r="G1354" s="34">
        <f t="shared" si="220"/>
        <v>16</v>
      </c>
      <c r="H1354" s="34">
        <f t="shared" si="221"/>
        <v>4</v>
      </c>
      <c r="I1354" s="34" t="str">
        <f t="shared" si="224"/>
        <v/>
      </c>
      <c r="J1354" s="34" t="str">
        <f t="shared" si="224"/>
        <v/>
      </c>
      <c r="K1354" s="34">
        <f t="shared" si="224"/>
        <v>25</v>
      </c>
      <c r="L1354" s="34">
        <f t="shared" si="224"/>
        <v>34</v>
      </c>
      <c r="M1354" s="34">
        <f t="shared" si="224"/>
        <v>42</v>
      </c>
      <c r="N1354" s="34">
        <f t="shared" si="224"/>
        <v>50</v>
      </c>
      <c r="O1354" s="34">
        <f t="shared" si="224"/>
        <v>62</v>
      </c>
      <c r="P1354" s="34">
        <f t="shared" si="224"/>
        <v>74</v>
      </c>
      <c r="Q1354" s="34">
        <f t="shared" si="224"/>
        <v>86</v>
      </c>
      <c r="R1354" s="34">
        <f t="shared" si="224"/>
        <v>98</v>
      </c>
      <c r="S1354" s="35">
        <f t="shared" si="222"/>
        <v>25</v>
      </c>
    </row>
    <row r="1355" spans="2:19" hidden="1" outlineLevel="1">
      <c r="B1355" s="14" t="s">
        <v>116</v>
      </c>
      <c r="C1355" s="15" t="s">
        <v>66</v>
      </c>
      <c r="D1355" s="52">
        <v>2027</v>
      </c>
      <c r="E1355" s="34">
        <v>12</v>
      </c>
      <c r="F1355" s="38">
        <f t="shared" si="219"/>
        <v>17571.5902694551</v>
      </c>
      <c r="G1355" s="34">
        <f t="shared" si="220"/>
        <v>16</v>
      </c>
      <c r="H1355" s="34">
        <f t="shared" si="221"/>
        <v>4</v>
      </c>
      <c r="I1355" s="34" t="str">
        <f t="shared" si="224"/>
        <v/>
      </c>
      <c r="J1355" s="34" t="str">
        <f t="shared" si="224"/>
        <v/>
      </c>
      <c r="K1355" s="34" t="str">
        <f t="shared" si="224"/>
        <v/>
      </c>
      <c r="L1355" s="34">
        <f t="shared" si="224"/>
        <v>34</v>
      </c>
      <c r="M1355" s="34">
        <f t="shared" si="224"/>
        <v>42</v>
      </c>
      <c r="N1355" s="34">
        <f t="shared" si="224"/>
        <v>50</v>
      </c>
      <c r="O1355" s="34">
        <f t="shared" si="224"/>
        <v>61</v>
      </c>
      <c r="P1355" s="34">
        <f t="shared" si="224"/>
        <v>73</v>
      </c>
      <c r="Q1355" s="34">
        <f t="shared" si="224"/>
        <v>85</v>
      </c>
      <c r="R1355" s="34">
        <f t="shared" si="224"/>
        <v>97</v>
      </c>
      <c r="S1355" s="35">
        <f t="shared" si="222"/>
        <v>34</v>
      </c>
    </row>
    <row r="1356" spans="2:19" hidden="1" outlineLevel="1">
      <c r="B1356" s="14" t="s">
        <v>116</v>
      </c>
      <c r="C1356" s="15" t="s">
        <v>66</v>
      </c>
      <c r="D1356" s="52">
        <v>2028</v>
      </c>
      <c r="E1356" s="34">
        <v>1</v>
      </c>
      <c r="F1356" s="38">
        <f t="shared" si="219"/>
        <v>17797.000946978082</v>
      </c>
      <c r="G1356" s="34">
        <f t="shared" si="220"/>
        <v>16</v>
      </c>
      <c r="H1356" s="34">
        <f t="shared" si="221"/>
        <v>4</v>
      </c>
      <c r="I1356" s="34" t="str">
        <f t="shared" si="224"/>
        <v/>
      </c>
      <c r="J1356" s="34" t="str">
        <f t="shared" si="224"/>
        <v/>
      </c>
      <c r="K1356" s="34">
        <f t="shared" si="224"/>
        <v>34</v>
      </c>
      <c r="L1356" s="34">
        <f t="shared" si="224"/>
        <v>42</v>
      </c>
      <c r="M1356" s="34">
        <f t="shared" si="224"/>
        <v>50</v>
      </c>
      <c r="N1356" s="34">
        <f t="shared" si="224"/>
        <v>60</v>
      </c>
      <c r="O1356" s="34">
        <f t="shared" si="224"/>
        <v>72</v>
      </c>
      <c r="P1356" s="34">
        <f t="shared" si="224"/>
        <v>84</v>
      </c>
      <c r="Q1356" s="34">
        <f t="shared" si="224"/>
        <v>96</v>
      </c>
      <c r="R1356" s="34">
        <f t="shared" si="224"/>
        <v>108</v>
      </c>
      <c r="S1356" s="35">
        <f t="shared" si="222"/>
        <v>34</v>
      </c>
    </row>
    <row r="1357" spans="2:19" hidden="1" outlineLevel="1">
      <c r="B1357" s="14" t="s">
        <v>116</v>
      </c>
      <c r="C1357" s="15" t="s">
        <v>66</v>
      </c>
      <c r="D1357" s="52">
        <v>2028</v>
      </c>
      <c r="E1357" s="34">
        <v>2</v>
      </c>
      <c r="F1357" s="38">
        <f t="shared" si="219"/>
        <v>17797.000946978082</v>
      </c>
      <c r="G1357" s="34">
        <f t="shared" si="220"/>
        <v>16</v>
      </c>
      <c r="H1357" s="34">
        <f t="shared" si="221"/>
        <v>4</v>
      </c>
      <c r="I1357" s="34" t="str">
        <f t="shared" si="224"/>
        <v/>
      </c>
      <c r="J1357" s="34" t="str">
        <f t="shared" si="224"/>
        <v/>
      </c>
      <c r="K1357" s="34">
        <f t="shared" si="224"/>
        <v>34</v>
      </c>
      <c r="L1357" s="34">
        <f t="shared" si="224"/>
        <v>42</v>
      </c>
      <c r="M1357" s="34">
        <f t="shared" si="224"/>
        <v>50</v>
      </c>
      <c r="N1357" s="34">
        <f t="shared" si="224"/>
        <v>59</v>
      </c>
      <c r="O1357" s="34">
        <f t="shared" si="224"/>
        <v>71</v>
      </c>
      <c r="P1357" s="34">
        <f t="shared" si="224"/>
        <v>83</v>
      </c>
      <c r="Q1357" s="34">
        <f t="shared" si="224"/>
        <v>95</v>
      </c>
      <c r="R1357" s="34">
        <f t="shared" si="224"/>
        <v>107</v>
      </c>
      <c r="S1357" s="35">
        <f t="shared" si="222"/>
        <v>34</v>
      </c>
    </row>
    <row r="1358" spans="2:19" hidden="1" outlineLevel="1">
      <c r="B1358" s="14" t="s">
        <v>116</v>
      </c>
      <c r="C1358" s="15" t="s">
        <v>66</v>
      </c>
      <c r="D1358" s="52">
        <v>2028</v>
      </c>
      <c r="E1358" s="34">
        <v>3</v>
      </c>
      <c r="F1358" s="38">
        <f t="shared" si="219"/>
        <v>17797.000946978082</v>
      </c>
      <c r="G1358" s="34">
        <f t="shared" si="220"/>
        <v>16</v>
      </c>
      <c r="H1358" s="34">
        <f t="shared" si="221"/>
        <v>4</v>
      </c>
      <c r="I1358" s="34" t="str">
        <f t="shared" si="224"/>
        <v/>
      </c>
      <c r="J1358" s="34" t="str">
        <f t="shared" si="224"/>
        <v/>
      </c>
      <c r="K1358" s="34" t="str">
        <f t="shared" si="224"/>
        <v/>
      </c>
      <c r="L1358" s="34">
        <f t="shared" si="224"/>
        <v>42</v>
      </c>
      <c r="M1358" s="34">
        <f t="shared" si="224"/>
        <v>50</v>
      </c>
      <c r="N1358" s="34">
        <f t="shared" si="224"/>
        <v>59</v>
      </c>
      <c r="O1358" s="34">
        <f t="shared" si="224"/>
        <v>70</v>
      </c>
      <c r="P1358" s="34">
        <f t="shared" si="224"/>
        <v>82</v>
      </c>
      <c r="Q1358" s="34">
        <f t="shared" si="224"/>
        <v>94</v>
      </c>
      <c r="R1358" s="34">
        <f t="shared" si="224"/>
        <v>106</v>
      </c>
      <c r="S1358" s="35">
        <f t="shared" si="222"/>
        <v>42</v>
      </c>
    </row>
    <row r="1359" spans="2:19" hidden="1" outlineLevel="1">
      <c r="B1359" s="14" t="s">
        <v>116</v>
      </c>
      <c r="C1359" s="15" t="s">
        <v>66</v>
      </c>
      <c r="D1359" s="52">
        <v>2028</v>
      </c>
      <c r="E1359" s="34">
        <v>4</v>
      </c>
      <c r="F1359" s="38">
        <f t="shared" si="219"/>
        <v>17797.000946978082</v>
      </c>
      <c r="G1359" s="34">
        <f t="shared" si="220"/>
        <v>16</v>
      </c>
      <c r="H1359" s="34">
        <f t="shared" si="221"/>
        <v>4</v>
      </c>
      <c r="I1359" s="34" t="str">
        <f t="shared" si="224"/>
        <v/>
      </c>
      <c r="J1359" s="34" t="str">
        <f t="shared" si="224"/>
        <v/>
      </c>
      <c r="K1359" s="34" t="str">
        <f t="shared" si="224"/>
        <v/>
      </c>
      <c r="L1359" s="34">
        <f t="shared" si="224"/>
        <v>42</v>
      </c>
      <c r="M1359" s="34">
        <f t="shared" si="224"/>
        <v>50</v>
      </c>
      <c r="N1359" s="34">
        <f t="shared" si="224"/>
        <v>59</v>
      </c>
      <c r="O1359" s="34">
        <f t="shared" si="224"/>
        <v>69</v>
      </c>
      <c r="P1359" s="34">
        <f t="shared" si="224"/>
        <v>81</v>
      </c>
      <c r="Q1359" s="34">
        <f t="shared" si="224"/>
        <v>93</v>
      </c>
      <c r="R1359" s="34">
        <f t="shared" si="224"/>
        <v>105</v>
      </c>
      <c r="S1359" s="35">
        <f t="shared" si="222"/>
        <v>42</v>
      </c>
    </row>
    <row r="1360" spans="2:19" hidden="1" outlineLevel="1">
      <c r="B1360" s="14" t="s">
        <v>116</v>
      </c>
      <c r="C1360" s="15" t="s">
        <v>66</v>
      </c>
      <c r="D1360" s="52">
        <v>2028</v>
      </c>
      <c r="E1360" s="34">
        <v>5</v>
      </c>
      <c r="F1360" s="38">
        <f t="shared" si="219"/>
        <v>17797.000946978082</v>
      </c>
      <c r="G1360" s="34">
        <f t="shared" si="220"/>
        <v>16</v>
      </c>
      <c r="H1360" s="34">
        <f t="shared" si="221"/>
        <v>4</v>
      </c>
      <c r="I1360" s="34" t="str">
        <f t="shared" ref="I1360:R1369" si="225">IF($D1360&lt;$Z$18,"",IF(MAX($G1360,INDEX($C$65:$F$108,$D1360+I$119-2026,$H1360))&lt;=12*I$119-$E1360+12,MAX($G1360,12*I$119-$E1360+1,INDEX($C$65:$F$108,$D1360+I$119-2026,$H1360)),""))</f>
        <v/>
      </c>
      <c r="J1360" s="34" t="str">
        <f t="shared" si="225"/>
        <v/>
      </c>
      <c r="K1360" s="34" t="str">
        <f t="shared" si="225"/>
        <v/>
      </c>
      <c r="L1360" s="34">
        <f t="shared" si="225"/>
        <v>42</v>
      </c>
      <c r="M1360" s="34">
        <f t="shared" si="225"/>
        <v>50</v>
      </c>
      <c r="N1360" s="34">
        <f t="shared" si="225"/>
        <v>59</v>
      </c>
      <c r="O1360" s="34">
        <f t="shared" si="225"/>
        <v>68</v>
      </c>
      <c r="P1360" s="34">
        <f t="shared" si="225"/>
        <v>80</v>
      </c>
      <c r="Q1360" s="34">
        <f t="shared" si="225"/>
        <v>92</v>
      </c>
      <c r="R1360" s="34">
        <f t="shared" si="225"/>
        <v>104</v>
      </c>
      <c r="S1360" s="35">
        <f t="shared" si="222"/>
        <v>42</v>
      </c>
    </row>
    <row r="1361" spans="2:19" hidden="1" outlineLevel="1">
      <c r="B1361" s="14" t="s">
        <v>116</v>
      </c>
      <c r="C1361" s="15" t="s">
        <v>66</v>
      </c>
      <c r="D1361" s="52">
        <v>2028</v>
      </c>
      <c r="E1361" s="34">
        <v>6</v>
      </c>
      <c r="F1361" s="38">
        <f t="shared" si="219"/>
        <v>17797.000946978082</v>
      </c>
      <c r="G1361" s="34">
        <f t="shared" si="220"/>
        <v>16</v>
      </c>
      <c r="H1361" s="34">
        <f t="shared" si="221"/>
        <v>4</v>
      </c>
      <c r="I1361" s="34" t="str">
        <f t="shared" si="225"/>
        <v/>
      </c>
      <c r="J1361" s="34" t="str">
        <f t="shared" si="225"/>
        <v/>
      </c>
      <c r="K1361" s="34" t="str">
        <f t="shared" si="225"/>
        <v/>
      </c>
      <c r="L1361" s="34">
        <f t="shared" si="225"/>
        <v>42</v>
      </c>
      <c r="M1361" s="34">
        <f t="shared" si="225"/>
        <v>50</v>
      </c>
      <c r="N1361" s="34">
        <f t="shared" si="225"/>
        <v>59</v>
      </c>
      <c r="O1361" s="34">
        <f t="shared" si="225"/>
        <v>67</v>
      </c>
      <c r="P1361" s="34">
        <f t="shared" si="225"/>
        <v>79</v>
      </c>
      <c r="Q1361" s="34">
        <f t="shared" si="225"/>
        <v>91</v>
      </c>
      <c r="R1361" s="34">
        <f t="shared" si="225"/>
        <v>103</v>
      </c>
      <c r="S1361" s="35">
        <f t="shared" si="222"/>
        <v>42</v>
      </c>
    </row>
    <row r="1362" spans="2:19" hidden="1" outlineLevel="1">
      <c r="B1362" s="14" t="s">
        <v>116</v>
      </c>
      <c r="C1362" s="15" t="s">
        <v>66</v>
      </c>
      <c r="D1362" s="52">
        <v>2028</v>
      </c>
      <c r="E1362" s="34">
        <v>7</v>
      </c>
      <c r="F1362" s="38">
        <f t="shared" si="219"/>
        <v>17797.000946978082</v>
      </c>
      <c r="G1362" s="34">
        <f t="shared" si="220"/>
        <v>16</v>
      </c>
      <c r="H1362" s="34">
        <f t="shared" si="221"/>
        <v>4</v>
      </c>
      <c r="I1362" s="34" t="str">
        <f t="shared" si="225"/>
        <v/>
      </c>
      <c r="J1362" s="34" t="str">
        <f t="shared" si="225"/>
        <v/>
      </c>
      <c r="K1362" s="34" t="str">
        <f t="shared" si="225"/>
        <v/>
      </c>
      <c r="L1362" s="34" t="str">
        <f t="shared" si="225"/>
        <v/>
      </c>
      <c r="M1362" s="34">
        <f t="shared" si="225"/>
        <v>50</v>
      </c>
      <c r="N1362" s="34">
        <f t="shared" si="225"/>
        <v>59</v>
      </c>
      <c r="O1362" s="34">
        <f t="shared" si="225"/>
        <v>67</v>
      </c>
      <c r="P1362" s="34">
        <f t="shared" si="225"/>
        <v>78</v>
      </c>
      <c r="Q1362" s="34">
        <f t="shared" si="225"/>
        <v>90</v>
      </c>
      <c r="R1362" s="34">
        <f t="shared" si="225"/>
        <v>102</v>
      </c>
      <c r="S1362" s="35">
        <f t="shared" si="222"/>
        <v>50</v>
      </c>
    </row>
    <row r="1363" spans="2:19" hidden="1" outlineLevel="1">
      <c r="B1363" s="14" t="s">
        <v>116</v>
      </c>
      <c r="C1363" s="15" t="s">
        <v>66</v>
      </c>
      <c r="D1363" s="52">
        <v>2028</v>
      </c>
      <c r="E1363" s="34">
        <v>8</v>
      </c>
      <c r="F1363" s="38">
        <f t="shared" si="219"/>
        <v>17797.000946978082</v>
      </c>
      <c r="G1363" s="34">
        <f t="shared" si="220"/>
        <v>16</v>
      </c>
      <c r="H1363" s="34">
        <f t="shared" si="221"/>
        <v>4</v>
      </c>
      <c r="I1363" s="34" t="str">
        <f t="shared" si="225"/>
        <v/>
      </c>
      <c r="J1363" s="34" t="str">
        <f t="shared" si="225"/>
        <v/>
      </c>
      <c r="K1363" s="34" t="str">
        <f t="shared" si="225"/>
        <v/>
      </c>
      <c r="L1363" s="34" t="str">
        <f t="shared" si="225"/>
        <v/>
      </c>
      <c r="M1363" s="34">
        <f t="shared" si="225"/>
        <v>50</v>
      </c>
      <c r="N1363" s="34">
        <f t="shared" si="225"/>
        <v>59</v>
      </c>
      <c r="O1363" s="34">
        <f t="shared" si="225"/>
        <v>67</v>
      </c>
      <c r="P1363" s="34">
        <f t="shared" si="225"/>
        <v>77</v>
      </c>
      <c r="Q1363" s="34">
        <f t="shared" si="225"/>
        <v>89</v>
      </c>
      <c r="R1363" s="34">
        <f t="shared" si="225"/>
        <v>101</v>
      </c>
      <c r="S1363" s="35">
        <f t="shared" si="222"/>
        <v>50</v>
      </c>
    </row>
    <row r="1364" spans="2:19" hidden="1" outlineLevel="1">
      <c r="B1364" s="14" t="s">
        <v>116</v>
      </c>
      <c r="C1364" s="15" t="s">
        <v>66</v>
      </c>
      <c r="D1364" s="52">
        <v>2028</v>
      </c>
      <c r="E1364" s="34">
        <v>9</v>
      </c>
      <c r="F1364" s="38">
        <f t="shared" si="219"/>
        <v>17797.000946978082</v>
      </c>
      <c r="G1364" s="34">
        <f t="shared" si="220"/>
        <v>16</v>
      </c>
      <c r="H1364" s="34">
        <f t="shared" si="221"/>
        <v>4</v>
      </c>
      <c r="I1364" s="34" t="str">
        <f t="shared" si="225"/>
        <v/>
      </c>
      <c r="J1364" s="34" t="str">
        <f t="shared" si="225"/>
        <v/>
      </c>
      <c r="K1364" s="34" t="str">
        <f t="shared" si="225"/>
        <v/>
      </c>
      <c r="L1364" s="34" t="str">
        <f t="shared" si="225"/>
        <v/>
      </c>
      <c r="M1364" s="34">
        <f t="shared" si="225"/>
        <v>50</v>
      </c>
      <c r="N1364" s="34">
        <f t="shared" si="225"/>
        <v>59</v>
      </c>
      <c r="O1364" s="34">
        <f t="shared" si="225"/>
        <v>67</v>
      </c>
      <c r="P1364" s="34">
        <f t="shared" si="225"/>
        <v>76</v>
      </c>
      <c r="Q1364" s="34">
        <f t="shared" si="225"/>
        <v>88</v>
      </c>
      <c r="R1364" s="34">
        <f t="shared" si="225"/>
        <v>100</v>
      </c>
      <c r="S1364" s="35">
        <f t="shared" si="222"/>
        <v>50</v>
      </c>
    </row>
    <row r="1365" spans="2:19" hidden="1" outlineLevel="1">
      <c r="B1365" s="14" t="s">
        <v>116</v>
      </c>
      <c r="C1365" s="15" t="s">
        <v>66</v>
      </c>
      <c r="D1365" s="52">
        <v>2028</v>
      </c>
      <c r="E1365" s="34">
        <v>10</v>
      </c>
      <c r="F1365" s="38">
        <f t="shared" si="219"/>
        <v>17797.000946978082</v>
      </c>
      <c r="G1365" s="34">
        <f t="shared" si="220"/>
        <v>16</v>
      </c>
      <c r="H1365" s="34">
        <f t="shared" si="221"/>
        <v>4</v>
      </c>
      <c r="I1365" s="34" t="str">
        <f t="shared" si="225"/>
        <v/>
      </c>
      <c r="J1365" s="34" t="str">
        <f t="shared" si="225"/>
        <v/>
      </c>
      <c r="K1365" s="34" t="str">
        <f t="shared" si="225"/>
        <v/>
      </c>
      <c r="L1365" s="34" t="str">
        <f t="shared" si="225"/>
        <v/>
      </c>
      <c r="M1365" s="34">
        <f t="shared" si="225"/>
        <v>50</v>
      </c>
      <c r="N1365" s="34">
        <f t="shared" si="225"/>
        <v>59</v>
      </c>
      <c r="O1365" s="34">
        <f t="shared" si="225"/>
        <v>67</v>
      </c>
      <c r="P1365" s="34">
        <f t="shared" si="225"/>
        <v>76</v>
      </c>
      <c r="Q1365" s="34">
        <f t="shared" si="225"/>
        <v>87</v>
      </c>
      <c r="R1365" s="34">
        <f t="shared" si="225"/>
        <v>99</v>
      </c>
      <c r="S1365" s="35">
        <f t="shared" si="222"/>
        <v>50</v>
      </c>
    </row>
    <row r="1366" spans="2:19" hidden="1" outlineLevel="1">
      <c r="B1366" s="14" t="s">
        <v>116</v>
      </c>
      <c r="C1366" s="15" t="s">
        <v>66</v>
      </c>
      <c r="D1366" s="52">
        <v>2028</v>
      </c>
      <c r="E1366" s="34">
        <v>11</v>
      </c>
      <c r="F1366" s="38">
        <f t="shared" si="219"/>
        <v>17797.000946978082</v>
      </c>
      <c r="G1366" s="34">
        <f t="shared" si="220"/>
        <v>16</v>
      </c>
      <c r="H1366" s="34">
        <f t="shared" si="221"/>
        <v>4</v>
      </c>
      <c r="I1366" s="34" t="str">
        <f t="shared" si="225"/>
        <v/>
      </c>
      <c r="J1366" s="34" t="str">
        <f t="shared" si="225"/>
        <v/>
      </c>
      <c r="K1366" s="34" t="str">
        <f t="shared" si="225"/>
        <v/>
      </c>
      <c r="L1366" s="34" t="str">
        <f t="shared" si="225"/>
        <v/>
      </c>
      <c r="M1366" s="34" t="str">
        <f t="shared" si="225"/>
        <v/>
      </c>
      <c r="N1366" s="34">
        <f t="shared" si="225"/>
        <v>59</v>
      </c>
      <c r="O1366" s="34">
        <f t="shared" si="225"/>
        <v>67</v>
      </c>
      <c r="P1366" s="34">
        <f t="shared" si="225"/>
        <v>76</v>
      </c>
      <c r="Q1366" s="34">
        <f t="shared" si="225"/>
        <v>86</v>
      </c>
      <c r="R1366" s="34">
        <f t="shared" si="225"/>
        <v>98</v>
      </c>
      <c r="S1366" s="35">
        <f t="shared" si="222"/>
        <v>59</v>
      </c>
    </row>
    <row r="1367" spans="2:19" hidden="1" outlineLevel="1">
      <c r="B1367" s="14" t="s">
        <v>116</v>
      </c>
      <c r="C1367" s="15" t="s">
        <v>66</v>
      </c>
      <c r="D1367" s="52">
        <v>2028</v>
      </c>
      <c r="E1367" s="34">
        <v>12</v>
      </c>
      <c r="F1367" s="38">
        <f t="shared" si="219"/>
        <v>17797.000946978082</v>
      </c>
      <c r="G1367" s="34">
        <f t="shared" si="220"/>
        <v>16</v>
      </c>
      <c r="H1367" s="34">
        <f t="shared" si="221"/>
        <v>4</v>
      </c>
      <c r="I1367" s="34" t="str">
        <f t="shared" si="225"/>
        <v/>
      </c>
      <c r="J1367" s="34" t="str">
        <f t="shared" si="225"/>
        <v/>
      </c>
      <c r="K1367" s="34" t="str">
        <f t="shared" si="225"/>
        <v/>
      </c>
      <c r="L1367" s="34" t="str">
        <f t="shared" si="225"/>
        <v/>
      </c>
      <c r="M1367" s="34" t="str">
        <f t="shared" si="225"/>
        <v/>
      </c>
      <c r="N1367" s="34">
        <f t="shared" si="225"/>
        <v>59</v>
      </c>
      <c r="O1367" s="34">
        <f t="shared" si="225"/>
        <v>67</v>
      </c>
      <c r="P1367" s="34">
        <f t="shared" si="225"/>
        <v>76</v>
      </c>
      <c r="Q1367" s="34">
        <f t="shared" si="225"/>
        <v>85</v>
      </c>
      <c r="R1367" s="34">
        <f t="shared" si="225"/>
        <v>97</v>
      </c>
      <c r="S1367" s="35">
        <f t="shared" si="222"/>
        <v>59</v>
      </c>
    </row>
    <row r="1368" spans="2:19" hidden="1" outlineLevel="1">
      <c r="B1368" s="14" t="s">
        <v>116</v>
      </c>
      <c r="C1368" s="15" t="s">
        <v>66</v>
      </c>
      <c r="D1368" s="52">
        <v>2029</v>
      </c>
      <c r="E1368" s="34">
        <v>1</v>
      </c>
      <c r="F1368" s="38">
        <f t="shared" si="219"/>
        <v>18042.721718596895</v>
      </c>
      <c r="G1368" s="34">
        <f t="shared" si="220"/>
        <v>16</v>
      </c>
      <c r="H1368" s="34">
        <f t="shared" si="221"/>
        <v>4</v>
      </c>
      <c r="I1368" s="34" t="str">
        <f t="shared" si="225"/>
        <v/>
      </c>
      <c r="J1368" s="34" t="str">
        <f t="shared" si="225"/>
        <v/>
      </c>
      <c r="K1368" s="34" t="str">
        <f t="shared" si="225"/>
        <v/>
      </c>
      <c r="L1368" s="34" t="str">
        <f t="shared" si="225"/>
        <v/>
      </c>
      <c r="M1368" s="34">
        <f t="shared" si="225"/>
        <v>59</v>
      </c>
      <c r="N1368" s="34">
        <f t="shared" si="225"/>
        <v>67</v>
      </c>
      <c r="O1368" s="34">
        <f t="shared" si="225"/>
        <v>76</v>
      </c>
      <c r="P1368" s="34">
        <f t="shared" si="225"/>
        <v>84</v>
      </c>
      <c r="Q1368" s="34">
        <f t="shared" si="225"/>
        <v>96</v>
      </c>
      <c r="R1368" s="34">
        <f t="shared" si="225"/>
        <v>108</v>
      </c>
      <c r="S1368" s="35">
        <f t="shared" si="222"/>
        <v>59</v>
      </c>
    </row>
    <row r="1369" spans="2:19" hidden="1" outlineLevel="1">
      <c r="B1369" s="14" t="s">
        <v>116</v>
      </c>
      <c r="C1369" s="15" t="s">
        <v>66</v>
      </c>
      <c r="D1369" s="52">
        <v>2029</v>
      </c>
      <c r="E1369" s="34">
        <v>2</v>
      </c>
      <c r="F1369" s="38">
        <f t="shared" si="219"/>
        <v>18042.721718596895</v>
      </c>
      <c r="G1369" s="34">
        <f t="shared" si="220"/>
        <v>16</v>
      </c>
      <c r="H1369" s="34">
        <f t="shared" si="221"/>
        <v>4</v>
      </c>
      <c r="I1369" s="34" t="str">
        <f t="shared" si="225"/>
        <v/>
      </c>
      <c r="J1369" s="34" t="str">
        <f t="shared" si="225"/>
        <v/>
      </c>
      <c r="K1369" s="34" t="str">
        <f t="shared" si="225"/>
        <v/>
      </c>
      <c r="L1369" s="34" t="str">
        <f t="shared" si="225"/>
        <v/>
      </c>
      <c r="M1369" s="34" t="str">
        <f t="shared" si="225"/>
        <v/>
      </c>
      <c r="N1369" s="34">
        <f t="shared" si="225"/>
        <v>67</v>
      </c>
      <c r="O1369" s="34">
        <f t="shared" si="225"/>
        <v>76</v>
      </c>
      <c r="P1369" s="34">
        <f t="shared" si="225"/>
        <v>84</v>
      </c>
      <c r="Q1369" s="34">
        <f t="shared" si="225"/>
        <v>95</v>
      </c>
      <c r="R1369" s="34">
        <f t="shared" si="225"/>
        <v>107</v>
      </c>
      <c r="S1369" s="35">
        <f t="shared" si="222"/>
        <v>67</v>
      </c>
    </row>
    <row r="1370" spans="2:19" hidden="1" outlineLevel="1">
      <c r="B1370" s="14" t="s">
        <v>116</v>
      </c>
      <c r="C1370" s="15" t="s">
        <v>66</v>
      </c>
      <c r="D1370" s="52">
        <v>2029</v>
      </c>
      <c r="E1370" s="34">
        <v>3</v>
      </c>
      <c r="F1370" s="38">
        <f t="shared" si="219"/>
        <v>18042.721718596895</v>
      </c>
      <c r="G1370" s="34">
        <f t="shared" si="220"/>
        <v>16</v>
      </c>
      <c r="H1370" s="34">
        <f t="shared" si="221"/>
        <v>4</v>
      </c>
      <c r="I1370" s="34" t="str">
        <f t="shared" ref="I1370:R1379" si="226">IF($D1370&lt;$Z$18,"",IF(MAX($G1370,INDEX($C$65:$F$108,$D1370+I$119-2026,$H1370))&lt;=12*I$119-$E1370+12,MAX($G1370,12*I$119-$E1370+1,INDEX($C$65:$F$108,$D1370+I$119-2026,$H1370)),""))</f>
        <v/>
      </c>
      <c r="J1370" s="34" t="str">
        <f t="shared" si="226"/>
        <v/>
      </c>
      <c r="K1370" s="34" t="str">
        <f t="shared" si="226"/>
        <v/>
      </c>
      <c r="L1370" s="34" t="str">
        <f t="shared" si="226"/>
        <v/>
      </c>
      <c r="M1370" s="34" t="str">
        <f t="shared" si="226"/>
        <v/>
      </c>
      <c r="N1370" s="34">
        <f t="shared" si="226"/>
        <v>67</v>
      </c>
      <c r="O1370" s="34">
        <f t="shared" si="226"/>
        <v>76</v>
      </c>
      <c r="P1370" s="34">
        <f t="shared" si="226"/>
        <v>84</v>
      </c>
      <c r="Q1370" s="34">
        <f t="shared" si="226"/>
        <v>94</v>
      </c>
      <c r="R1370" s="34">
        <f t="shared" si="226"/>
        <v>106</v>
      </c>
      <c r="S1370" s="35">
        <f t="shared" si="222"/>
        <v>67</v>
      </c>
    </row>
    <row r="1371" spans="2:19" hidden="1" outlineLevel="1">
      <c r="B1371" s="14" t="s">
        <v>116</v>
      </c>
      <c r="C1371" s="15" t="s">
        <v>66</v>
      </c>
      <c r="D1371" s="52">
        <v>2029</v>
      </c>
      <c r="E1371" s="34">
        <v>4</v>
      </c>
      <c r="F1371" s="38">
        <f t="shared" si="219"/>
        <v>18042.721718596895</v>
      </c>
      <c r="G1371" s="34">
        <f t="shared" si="220"/>
        <v>16</v>
      </c>
      <c r="H1371" s="34">
        <f t="shared" si="221"/>
        <v>4</v>
      </c>
      <c r="I1371" s="34" t="str">
        <f t="shared" si="226"/>
        <v/>
      </c>
      <c r="J1371" s="34" t="str">
        <f t="shared" si="226"/>
        <v/>
      </c>
      <c r="K1371" s="34" t="str">
        <f t="shared" si="226"/>
        <v/>
      </c>
      <c r="L1371" s="34" t="str">
        <f t="shared" si="226"/>
        <v/>
      </c>
      <c r="M1371" s="34" t="str">
        <f t="shared" si="226"/>
        <v/>
      </c>
      <c r="N1371" s="34">
        <f t="shared" si="226"/>
        <v>67</v>
      </c>
      <c r="O1371" s="34">
        <f t="shared" si="226"/>
        <v>76</v>
      </c>
      <c r="P1371" s="34">
        <f t="shared" si="226"/>
        <v>84</v>
      </c>
      <c r="Q1371" s="34">
        <f t="shared" si="226"/>
        <v>93</v>
      </c>
      <c r="R1371" s="34">
        <f t="shared" si="226"/>
        <v>105</v>
      </c>
      <c r="S1371" s="35">
        <f t="shared" si="222"/>
        <v>67</v>
      </c>
    </row>
    <row r="1372" spans="2:19" hidden="1" outlineLevel="1">
      <c r="B1372" s="14" t="s">
        <v>116</v>
      </c>
      <c r="C1372" s="15" t="s">
        <v>66</v>
      </c>
      <c r="D1372" s="52">
        <v>2029</v>
      </c>
      <c r="E1372" s="34">
        <v>5</v>
      </c>
      <c r="F1372" s="38">
        <f t="shared" si="219"/>
        <v>18042.721718596895</v>
      </c>
      <c r="G1372" s="34">
        <f t="shared" si="220"/>
        <v>16</v>
      </c>
      <c r="H1372" s="34">
        <f t="shared" si="221"/>
        <v>4</v>
      </c>
      <c r="I1372" s="34" t="str">
        <f t="shared" si="226"/>
        <v/>
      </c>
      <c r="J1372" s="34" t="str">
        <f t="shared" si="226"/>
        <v/>
      </c>
      <c r="K1372" s="34" t="str">
        <f t="shared" si="226"/>
        <v/>
      </c>
      <c r="L1372" s="34" t="str">
        <f t="shared" si="226"/>
        <v/>
      </c>
      <c r="M1372" s="34" t="str">
        <f t="shared" si="226"/>
        <v/>
      </c>
      <c r="N1372" s="34">
        <f t="shared" si="226"/>
        <v>67</v>
      </c>
      <c r="O1372" s="34">
        <f t="shared" si="226"/>
        <v>76</v>
      </c>
      <c r="P1372" s="34">
        <f t="shared" si="226"/>
        <v>84</v>
      </c>
      <c r="Q1372" s="34">
        <f t="shared" si="226"/>
        <v>92</v>
      </c>
      <c r="R1372" s="34">
        <f t="shared" si="226"/>
        <v>104</v>
      </c>
      <c r="S1372" s="35">
        <f t="shared" si="222"/>
        <v>67</v>
      </c>
    </row>
    <row r="1373" spans="2:19" hidden="1" outlineLevel="1">
      <c r="B1373" s="14" t="s">
        <v>116</v>
      </c>
      <c r="C1373" s="15" t="s">
        <v>66</v>
      </c>
      <c r="D1373" s="52">
        <v>2029</v>
      </c>
      <c r="E1373" s="34">
        <v>6</v>
      </c>
      <c r="F1373" s="38">
        <f t="shared" si="219"/>
        <v>18042.721718596895</v>
      </c>
      <c r="G1373" s="34">
        <f t="shared" si="220"/>
        <v>16</v>
      </c>
      <c r="H1373" s="34">
        <f t="shared" si="221"/>
        <v>4</v>
      </c>
      <c r="I1373" s="34" t="str">
        <f t="shared" si="226"/>
        <v/>
      </c>
      <c r="J1373" s="34" t="str">
        <f t="shared" si="226"/>
        <v/>
      </c>
      <c r="K1373" s="34" t="str">
        <f t="shared" si="226"/>
        <v/>
      </c>
      <c r="L1373" s="34" t="str">
        <f t="shared" si="226"/>
        <v/>
      </c>
      <c r="M1373" s="34" t="str">
        <f t="shared" si="226"/>
        <v/>
      </c>
      <c r="N1373" s="34" t="str">
        <f t="shared" si="226"/>
        <v/>
      </c>
      <c r="O1373" s="34">
        <f t="shared" si="226"/>
        <v>76</v>
      </c>
      <c r="P1373" s="34">
        <f t="shared" si="226"/>
        <v>84</v>
      </c>
      <c r="Q1373" s="34">
        <f t="shared" si="226"/>
        <v>91</v>
      </c>
      <c r="R1373" s="34">
        <f t="shared" si="226"/>
        <v>103</v>
      </c>
      <c r="S1373" s="35">
        <f t="shared" si="222"/>
        <v>76</v>
      </c>
    </row>
    <row r="1374" spans="2:19" hidden="1" outlineLevel="1">
      <c r="B1374" s="14" t="s">
        <v>116</v>
      </c>
      <c r="C1374" s="15" t="s">
        <v>66</v>
      </c>
      <c r="D1374" s="52">
        <v>2029</v>
      </c>
      <c r="E1374" s="34">
        <v>7</v>
      </c>
      <c r="F1374" s="38">
        <f t="shared" si="219"/>
        <v>18042.721718596895</v>
      </c>
      <c r="G1374" s="34">
        <f t="shared" si="220"/>
        <v>16</v>
      </c>
      <c r="H1374" s="34">
        <f t="shared" si="221"/>
        <v>4</v>
      </c>
      <c r="I1374" s="34" t="str">
        <f t="shared" si="226"/>
        <v/>
      </c>
      <c r="J1374" s="34" t="str">
        <f t="shared" si="226"/>
        <v/>
      </c>
      <c r="K1374" s="34" t="str">
        <f t="shared" si="226"/>
        <v/>
      </c>
      <c r="L1374" s="34" t="str">
        <f t="shared" si="226"/>
        <v/>
      </c>
      <c r="M1374" s="34" t="str">
        <f t="shared" si="226"/>
        <v/>
      </c>
      <c r="N1374" s="34" t="str">
        <f t="shared" si="226"/>
        <v/>
      </c>
      <c r="O1374" s="34">
        <f t="shared" si="226"/>
        <v>76</v>
      </c>
      <c r="P1374" s="34">
        <f t="shared" si="226"/>
        <v>84</v>
      </c>
      <c r="Q1374" s="34">
        <f t="shared" si="226"/>
        <v>90</v>
      </c>
      <c r="R1374" s="34">
        <f t="shared" si="226"/>
        <v>102</v>
      </c>
      <c r="S1374" s="35">
        <f t="shared" si="222"/>
        <v>76</v>
      </c>
    </row>
    <row r="1375" spans="2:19" hidden="1" outlineLevel="1">
      <c r="B1375" s="14" t="s">
        <v>116</v>
      </c>
      <c r="C1375" s="15" t="s">
        <v>66</v>
      </c>
      <c r="D1375" s="52">
        <v>2029</v>
      </c>
      <c r="E1375" s="34">
        <v>8</v>
      </c>
      <c r="F1375" s="38">
        <f t="shared" si="219"/>
        <v>18042.721718596895</v>
      </c>
      <c r="G1375" s="34">
        <f t="shared" si="220"/>
        <v>16</v>
      </c>
      <c r="H1375" s="34">
        <f t="shared" si="221"/>
        <v>4</v>
      </c>
      <c r="I1375" s="34" t="str">
        <f t="shared" si="226"/>
        <v/>
      </c>
      <c r="J1375" s="34" t="str">
        <f t="shared" si="226"/>
        <v/>
      </c>
      <c r="K1375" s="34" t="str">
        <f t="shared" si="226"/>
        <v/>
      </c>
      <c r="L1375" s="34" t="str">
        <f t="shared" si="226"/>
        <v/>
      </c>
      <c r="M1375" s="34" t="str">
        <f t="shared" si="226"/>
        <v/>
      </c>
      <c r="N1375" s="34" t="str">
        <f t="shared" si="226"/>
        <v/>
      </c>
      <c r="O1375" s="34">
        <f t="shared" si="226"/>
        <v>76</v>
      </c>
      <c r="P1375" s="34">
        <f t="shared" si="226"/>
        <v>84</v>
      </c>
      <c r="Q1375" s="34">
        <f t="shared" si="226"/>
        <v>89</v>
      </c>
      <c r="R1375" s="34">
        <f t="shared" si="226"/>
        <v>101</v>
      </c>
      <c r="S1375" s="35">
        <f t="shared" si="222"/>
        <v>76</v>
      </c>
    </row>
    <row r="1376" spans="2:19" hidden="1" outlineLevel="1">
      <c r="B1376" s="14" t="s">
        <v>116</v>
      </c>
      <c r="C1376" s="15" t="s">
        <v>66</v>
      </c>
      <c r="D1376" s="52">
        <v>2029</v>
      </c>
      <c r="E1376" s="34">
        <v>9</v>
      </c>
      <c r="F1376" s="38">
        <f t="shared" si="219"/>
        <v>18042.721718596895</v>
      </c>
      <c r="G1376" s="34">
        <f t="shared" si="220"/>
        <v>16</v>
      </c>
      <c r="H1376" s="34">
        <f t="shared" si="221"/>
        <v>4</v>
      </c>
      <c r="I1376" s="34" t="str">
        <f t="shared" si="226"/>
        <v/>
      </c>
      <c r="J1376" s="34" t="str">
        <f t="shared" si="226"/>
        <v/>
      </c>
      <c r="K1376" s="34" t="str">
        <f t="shared" si="226"/>
        <v/>
      </c>
      <c r="L1376" s="34" t="str">
        <f t="shared" si="226"/>
        <v/>
      </c>
      <c r="M1376" s="34" t="str">
        <f t="shared" si="226"/>
        <v/>
      </c>
      <c r="N1376" s="34" t="str">
        <f t="shared" si="226"/>
        <v/>
      </c>
      <c r="O1376" s="34" t="str">
        <f t="shared" si="226"/>
        <v/>
      </c>
      <c r="P1376" s="34">
        <f t="shared" si="226"/>
        <v>84</v>
      </c>
      <c r="Q1376" s="34">
        <f t="shared" si="226"/>
        <v>88</v>
      </c>
      <c r="R1376" s="34">
        <f t="shared" si="226"/>
        <v>100</v>
      </c>
      <c r="S1376" s="35">
        <f t="shared" si="222"/>
        <v>84</v>
      </c>
    </row>
    <row r="1377" spans="2:19" hidden="1" outlineLevel="1">
      <c r="B1377" s="14" t="s">
        <v>116</v>
      </c>
      <c r="C1377" s="15" t="s">
        <v>66</v>
      </c>
      <c r="D1377" s="52">
        <v>2029</v>
      </c>
      <c r="E1377" s="34">
        <v>10</v>
      </c>
      <c r="F1377" s="38">
        <f t="shared" si="219"/>
        <v>18042.721718596895</v>
      </c>
      <c r="G1377" s="34">
        <f t="shared" si="220"/>
        <v>16</v>
      </c>
      <c r="H1377" s="34">
        <f t="shared" si="221"/>
        <v>4</v>
      </c>
      <c r="I1377" s="34" t="str">
        <f t="shared" si="226"/>
        <v/>
      </c>
      <c r="J1377" s="34" t="str">
        <f t="shared" si="226"/>
        <v/>
      </c>
      <c r="K1377" s="34" t="str">
        <f t="shared" si="226"/>
        <v/>
      </c>
      <c r="L1377" s="34" t="str">
        <f t="shared" si="226"/>
        <v/>
      </c>
      <c r="M1377" s="34" t="str">
        <f t="shared" si="226"/>
        <v/>
      </c>
      <c r="N1377" s="34" t="str">
        <f t="shared" si="226"/>
        <v/>
      </c>
      <c r="O1377" s="34" t="str">
        <f t="shared" si="226"/>
        <v/>
      </c>
      <c r="P1377" s="34">
        <f t="shared" si="226"/>
        <v>84</v>
      </c>
      <c r="Q1377" s="34">
        <f t="shared" si="226"/>
        <v>87</v>
      </c>
      <c r="R1377" s="34">
        <f t="shared" si="226"/>
        <v>99</v>
      </c>
      <c r="S1377" s="35">
        <f t="shared" si="222"/>
        <v>84</v>
      </c>
    </row>
    <row r="1378" spans="2:19" hidden="1" outlineLevel="1">
      <c r="B1378" s="14" t="s">
        <v>116</v>
      </c>
      <c r="C1378" s="15" t="s">
        <v>66</v>
      </c>
      <c r="D1378" s="52">
        <v>2029</v>
      </c>
      <c r="E1378" s="34">
        <v>11</v>
      </c>
      <c r="F1378" s="38">
        <f t="shared" si="219"/>
        <v>18042.721718596895</v>
      </c>
      <c r="G1378" s="34">
        <f t="shared" si="220"/>
        <v>16</v>
      </c>
      <c r="H1378" s="34">
        <f t="shared" si="221"/>
        <v>4</v>
      </c>
      <c r="I1378" s="34" t="str">
        <f t="shared" si="226"/>
        <v/>
      </c>
      <c r="J1378" s="34" t="str">
        <f t="shared" si="226"/>
        <v/>
      </c>
      <c r="K1378" s="34" t="str">
        <f t="shared" si="226"/>
        <v/>
      </c>
      <c r="L1378" s="34" t="str">
        <f t="shared" si="226"/>
        <v/>
      </c>
      <c r="M1378" s="34" t="str">
        <f t="shared" si="226"/>
        <v/>
      </c>
      <c r="N1378" s="34" t="str">
        <f t="shared" si="226"/>
        <v/>
      </c>
      <c r="O1378" s="34" t="str">
        <f t="shared" si="226"/>
        <v/>
      </c>
      <c r="P1378" s="34">
        <f t="shared" si="226"/>
        <v>84</v>
      </c>
      <c r="Q1378" s="34">
        <f t="shared" si="226"/>
        <v>86</v>
      </c>
      <c r="R1378" s="34">
        <f t="shared" si="226"/>
        <v>98</v>
      </c>
      <c r="S1378" s="35">
        <f t="shared" si="222"/>
        <v>84</v>
      </c>
    </row>
    <row r="1379" spans="2:19" hidden="1" outlineLevel="1">
      <c r="B1379" s="14" t="s">
        <v>116</v>
      </c>
      <c r="C1379" s="15" t="s">
        <v>66</v>
      </c>
      <c r="D1379" s="52">
        <v>2029</v>
      </c>
      <c r="E1379" s="34">
        <v>12</v>
      </c>
      <c r="F1379" s="38">
        <f t="shared" si="219"/>
        <v>18042.721718596895</v>
      </c>
      <c r="G1379" s="34">
        <f t="shared" si="220"/>
        <v>16</v>
      </c>
      <c r="H1379" s="34">
        <f t="shared" si="221"/>
        <v>4</v>
      </c>
      <c r="I1379" s="34" t="str">
        <f t="shared" si="226"/>
        <v/>
      </c>
      <c r="J1379" s="34" t="str">
        <f t="shared" si="226"/>
        <v/>
      </c>
      <c r="K1379" s="34" t="str">
        <f t="shared" si="226"/>
        <v/>
      </c>
      <c r="L1379" s="34" t="str">
        <f t="shared" si="226"/>
        <v/>
      </c>
      <c r="M1379" s="34" t="str">
        <f t="shared" si="226"/>
        <v/>
      </c>
      <c r="N1379" s="34" t="str">
        <f t="shared" si="226"/>
        <v/>
      </c>
      <c r="O1379" s="34" t="str">
        <f t="shared" si="226"/>
        <v/>
      </c>
      <c r="P1379" s="34">
        <f t="shared" si="226"/>
        <v>84</v>
      </c>
      <c r="Q1379" s="34">
        <f t="shared" si="226"/>
        <v>85</v>
      </c>
      <c r="R1379" s="34">
        <f t="shared" si="226"/>
        <v>97</v>
      </c>
      <c r="S1379" s="35">
        <f t="shared" si="222"/>
        <v>84</v>
      </c>
    </row>
    <row r="1380" spans="2:19" hidden="1" outlineLevel="1">
      <c r="B1380" s="14" t="s">
        <v>116</v>
      </c>
      <c r="C1380" s="15" t="s">
        <v>66</v>
      </c>
      <c r="D1380" s="52">
        <v>2030</v>
      </c>
      <c r="E1380" s="34">
        <v>1</v>
      </c>
      <c r="F1380" s="38">
        <f t="shared" si="219"/>
        <v>18419.896110817903</v>
      </c>
      <c r="G1380" s="34">
        <f t="shared" si="220"/>
        <v>16</v>
      </c>
      <c r="H1380" s="34">
        <f t="shared" si="221"/>
        <v>4</v>
      </c>
      <c r="I1380" s="34" t="str">
        <f t="shared" ref="I1380:R1389" si="227">IF($D1380&lt;$Z$18,"",IF(MAX($G1380,INDEX($C$65:$F$108,$D1380+I$119-2026,$H1380))&lt;=12*I$119-$E1380+12,MAX($G1380,12*I$119-$E1380+1,INDEX($C$65:$F$108,$D1380+I$119-2026,$H1380)),""))</f>
        <v/>
      </c>
      <c r="J1380" s="34" t="str">
        <f t="shared" si="227"/>
        <v/>
      </c>
      <c r="K1380" s="34" t="str">
        <f t="shared" si="227"/>
        <v/>
      </c>
      <c r="L1380" s="34" t="str">
        <f t="shared" si="227"/>
        <v/>
      </c>
      <c r="M1380" s="34" t="str">
        <f t="shared" si="227"/>
        <v/>
      </c>
      <c r="N1380" s="34" t="str">
        <f t="shared" si="227"/>
        <v/>
      </c>
      <c r="O1380" s="34" t="str">
        <f t="shared" si="227"/>
        <v/>
      </c>
      <c r="P1380" s="34">
        <f t="shared" si="227"/>
        <v>84</v>
      </c>
      <c r="Q1380" s="34">
        <f t="shared" si="227"/>
        <v>96</v>
      </c>
      <c r="R1380" s="34">
        <f t="shared" si="227"/>
        <v>108</v>
      </c>
      <c r="S1380" s="35">
        <f t="shared" si="222"/>
        <v>84</v>
      </c>
    </row>
    <row r="1381" spans="2:19" hidden="1" outlineLevel="1">
      <c r="B1381" s="14" t="s">
        <v>116</v>
      </c>
      <c r="C1381" s="15" t="s">
        <v>66</v>
      </c>
      <c r="D1381" s="52">
        <v>2030</v>
      </c>
      <c r="E1381" s="34">
        <v>2</v>
      </c>
      <c r="F1381" s="38">
        <f t="shared" si="219"/>
        <v>18419.896110817903</v>
      </c>
      <c r="G1381" s="34">
        <f t="shared" si="220"/>
        <v>16</v>
      </c>
      <c r="H1381" s="34">
        <f t="shared" si="221"/>
        <v>4</v>
      </c>
      <c r="I1381" s="34" t="str">
        <f t="shared" si="227"/>
        <v/>
      </c>
      <c r="J1381" s="34" t="str">
        <f t="shared" si="227"/>
        <v/>
      </c>
      <c r="K1381" s="34" t="str">
        <f t="shared" si="227"/>
        <v/>
      </c>
      <c r="L1381" s="34" t="str">
        <f t="shared" si="227"/>
        <v/>
      </c>
      <c r="M1381" s="34" t="str">
        <f t="shared" si="227"/>
        <v/>
      </c>
      <c r="N1381" s="34" t="str">
        <f t="shared" si="227"/>
        <v/>
      </c>
      <c r="O1381" s="34" t="str">
        <f t="shared" si="227"/>
        <v/>
      </c>
      <c r="P1381" s="34">
        <f t="shared" si="227"/>
        <v>84</v>
      </c>
      <c r="Q1381" s="34">
        <f t="shared" si="227"/>
        <v>95</v>
      </c>
      <c r="R1381" s="34">
        <f t="shared" si="227"/>
        <v>107</v>
      </c>
      <c r="S1381" s="35">
        <f t="shared" si="222"/>
        <v>84</v>
      </c>
    </row>
    <row r="1382" spans="2:19" hidden="1" outlineLevel="1">
      <c r="B1382" s="14" t="s">
        <v>116</v>
      </c>
      <c r="C1382" s="15" t="s">
        <v>66</v>
      </c>
      <c r="D1382" s="52">
        <v>2030</v>
      </c>
      <c r="E1382" s="34">
        <v>3</v>
      </c>
      <c r="F1382" s="38">
        <f t="shared" si="219"/>
        <v>18419.896110817903</v>
      </c>
      <c r="G1382" s="34">
        <f t="shared" si="220"/>
        <v>16</v>
      </c>
      <c r="H1382" s="34">
        <f t="shared" si="221"/>
        <v>4</v>
      </c>
      <c r="I1382" s="34" t="str">
        <f t="shared" si="227"/>
        <v/>
      </c>
      <c r="J1382" s="34" t="str">
        <f t="shared" si="227"/>
        <v/>
      </c>
      <c r="K1382" s="34" t="str">
        <f t="shared" si="227"/>
        <v/>
      </c>
      <c r="L1382" s="34" t="str">
        <f t="shared" si="227"/>
        <v/>
      </c>
      <c r="M1382" s="34" t="str">
        <f t="shared" si="227"/>
        <v/>
      </c>
      <c r="N1382" s="34" t="str">
        <f t="shared" si="227"/>
        <v/>
      </c>
      <c r="O1382" s="34" t="str">
        <f t="shared" si="227"/>
        <v/>
      </c>
      <c r="P1382" s="34">
        <f t="shared" si="227"/>
        <v>84</v>
      </c>
      <c r="Q1382" s="34">
        <f t="shared" si="227"/>
        <v>94</v>
      </c>
      <c r="R1382" s="34">
        <f t="shared" si="227"/>
        <v>106</v>
      </c>
      <c r="S1382" s="35">
        <f t="shared" si="222"/>
        <v>84</v>
      </c>
    </row>
    <row r="1383" spans="2:19" hidden="1" outlineLevel="1">
      <c r="B1383" s="14" t="s">
        <v>116</v>
      </c>
      <c r="C1383" s="15" t="s">
        <v>66</v>
      </c>
      <c r="D1383" s="52">
        <v>2030</v>
      </c>
      <c r="E1383" s="34">
        <v>4</v>
      </c>
      <c r="F1383" s="38">
        <f t="shared" si="219"/>
        <v>18419.896110817903</v>
      </c>
      <c r="G1383" s="34">
        <f t="shared" si="220"/>
        <v>16</v>
      </c>
      <c r="H1383" s="34">
        <f t="shared" si="221"/>
        <v>4</v>
      </c>
      <c r="I1383" s="34" t="str">
        <f t="shared" si="227"/>
        <v/>
      </c>
      <c r="J1383" s="34" t="str">
        <f t="shared" si="227"/>
        <v/>
      </c>
      <c r="K1383" s="34" t="str">
        <f t="shared" si="227"/>
        <v/>
      </c>
      <c r="L1383" s="34" t="str">
        <f t="shared" si="227"/>
        <v/>
      </c>
      <c r="M1383" s="34" t="str">
        <f t="shared" si="227"/>
        <v/>
      </c>
      <c r="N1383" s="34" t="str">
        <f t="shared" si="227"/>
        <v/>
      </c>
      <c r="O1383" s="34" t="str">
        <f t="shared" si="227"/>
        <v/>
      </c>
      <c r="P1383" s="34">
        <f t="shared" si="227"/>
        <v>84</v>
      </c>
      <c r="Q1383" s="34">
        <f t="shared" si="227"/>
        <v>93</v>
      </c>
      <c r="R1383" s="34">
        <f t="shared" si="227"/>
        <v>105</v>
      </c>
      <c r="S1383" s="35">
        <f t="shared" si="222"/>
        <v>84</v>
      </c>
    </row>
    <row r="1384" spans="2:19" hidden="1" outlineLevel="1">
      <c r="B1384" s="14" t="s">
        <v>116</v>
      </c>
      <c r="C1384" s="15" t="s">
        <v>66</v>
      </c>
      <c r="D1384" s="52">
        <v>2030</v>
      </c>
      <c r="E1384" s="34">
        <v>5</v>
      </c>
      <c r="F1384" s="38">
        <f t="shared" si="219"/>
        <v>18419.896110817903</v>
      </c>
      <c r="G1384" s="34">
        <f t="shared" si="220"/>
        <v>16</v>
      </c>
      <c r="H1384" s="34">
        <f t="shared" si="221"/>
        <v>4</v>
      </c>
      <c r="I1384" s="34" t="str">
        <f t="shared" si="227"/>
        <v/>
      </c>
      <c r="J1384" s="34" t="str">
        <f t="shared" si="227"/>
        <v/>
      </c>
      <c r="K1384" s="34" t="str">
        <f t="shared" si="227"/>
        <v/>
      </c>
      <c r="L1384" s="34" t="str">
        <f t="shared" si="227"/>
        <v/>
      </c>
      <c r="M1384" s="34" t="str">
        <f t="shared" si="227"/>
        <v/>
      </c>
      <c r="N1384" s="34" t="str">
        <f t="shared" si="227"/>
        <v/>
      </c>
      <c r="O1384" s="34" t="str">
        <f t="shared" si="227"/>
        <v/>
      </c>
      <c r="P1384" s="34">
        <f t="shared" si="227"/>
        <v>84</v>
      </c>
      <c r="Q1384" s="34">
        <f t="shared" si="227"/>
        <v>92</v>
      </c>
      <c r="R1384" s="34">
        <f t="shared" si="227"/>
        <v>104</v>
      </c>
      <c r="S1384" s="35">
        <f t="shared" si="222"/>
        <v>84</v>
      </c>
    </row>
    <row r="1385" spans="2:19" hidden="1" outlineLevel="1">
      <c r="B1385" s="14" t="s">
        <v>116</v>
      </c>
      <c r="C1385" s="15" t="s">
        <v>66</v>
      </c>
      <c r="D1385" s="52">
        <v>2030</v>
      </c>
      <c r="E1385" s="34">
        <v>6</v>
      </c>
      <c r="F1385" s="38">
        <f t="shared" si="219"/>
        <v>18419.896110817903</v>
      </c>
      <c r="G1385" s="34">
        <f t="shared" si="220"/>
        <v>16</v>
      </c>
      <c r="H1385" s="34">
        <f t="shared" si="221"/>
        <v>4</v>
      </c>
      <c r="I1385" s="34" t="str">
        <f t="shared" si="227"/>
        <v/>
      </c>
      <c r="J1385" s="34" t="str">
        <f t="shared" si="227"/>
        <v/>
      </c>
      <c r="K1385" s="34" t="str">
        <f t="shared" si="227"/>
        <v/>
      </c>
      <c r="L1385" s="34" t="str">
        <f t="shared" si="227"/>
        <v/>
      </c>
      <c r="M1385" s="34" t="str">
        <f t="shared" si="227"/>
        <v/>
      </c>
      <c r="N1385" s="34" t="str">
        <f t="shared" si="227"/>
        <v/>
      </c>
      <c r="O1385" s="34" t="str">
        <f t="shared" si="227"/>
        <v/>
      </c>
      <c r="P1385" s="34">
        <f t="shared" si="227"/>
        <v>84</v>
      </c>
      <c r="Q1385" s="34">
        <f t="shared" si="227"/>
        <v>91</v>
      </c>
      <c r="R1385" s="34">
        <f t="shared" si="227"/>
        <v>103</v>
      </c>
      <c r="S1385" s="35">
        <f t="shared" si="222"/>
        <v>84</v>
      </c>
    </row>
    <row r="1386" spans="2:19" hidden="1" outlineLevel="1">
      <c r="B1386" s="14" t="s">
        <v>116</v>
      </c>
      <c r="C1386" s="15" t="s">
        <v>66</v>
      </c>
      <c r="D1386" s="52">
        <v>2030</v>
      </c>
      <c r="E1386" s="34">
        <v>7</v>
      </c>
      <c r="F1386" s="38">
        <f t="shared" si="219"/>
        <v>18419.896110817903</v>
      </c>
      <c r="G1386" s="34">
        <f t="shared" si="220"/>
        <v>16</v>
      </c>
      <c r="H1386" s="34">
        <f t="shared" si="221"/>
        <v>4</v>
      </c>
      <c r="I1386" s="34" t="str">
        <f t="shared" si="227"/>
        <v/>
      </c>
      <c r="J1386" s="34" t="str">
        <f t="shared" si="227"/>
        <v/>
      </c>
      <c r="K1386" s="34" t="str">
        <f t="shared" si="227"/>
        <v/>
      </c>
      <c r="L1386" s="34" t="str">
        <f t="shared" si="227"/>
        <v/>
      </c>
      <c r="M1386" s="34" t="str">
        <f t="shared" si="227"/>
        <v/>
      </c>
      <c r="N1386" s="34" t="str">
        <f t="shared" si="227"/>
        <v/>
      </c>
      <c r="O1386" s="34" t="str">
        <f t="shared" si="227"/>
        <v/>
      </c>
      <c r="P1386" s="34">
        <f t="shared" si="227"/>
        <v>84</v>
      </c>
      <c r="Q1386" s="34">
        <f t="shared" si="227"/>
        <v>90</v>
      </c>
      <c r="R1386" s="34">
        <f t="shared" si="227"/>
        <v>102</v>
      </c>
      <c r="S1386" s="35">
        <f t="shared" si="222"/>
        <v>84</v>
      </c>
    </row>
    <row r="1387" spans="2:19" hidden="1" outlineLevel="1">
      <c r="B1387" s="14" t="s">
        <v>116</v>
      </c>
      <c r="C1387" s="15" t="s">
        <v>66</v>
      </c>
      <c r="D1387" s="52">
        <v>2030</v>
      </c>
      <c r="E1387" s="34">
        <v>8</v>
      </c>
      <c r="F1387" s="38">
        <f t="shared" si="219"/>
        <v>18419.896110817903</v>
      </c>
      <c r="G1387" s="34">
        <f t="shared" si="220"/>
        <v>16</v>
      </c>
      <c r="H1387" s="34">
        <f t="shared" si="221"/>
        <v>4</v>
      </c>
      <c r="I1387" s="34" t="str">
        <f t="shared" si="227"/>
        <v/>
      </c>
      <c r="J1387" s="34" t="str">
        <f t="shared" si="227"/>
        <v/>
      </c>
      <c r="K1387" s="34" t="str">
        <f t="shared" si="227"/>
        <v/>
      </c>
      <c r="L1387" s="34" t="str">
        <f t="shared" si="227"/>
        <v/>
      </c>
      <c r="M1387" s="34" t="str">
        <f t="shared" si="227"/>
        <v/>
      </c>
      <c r="N1387" s="34" t="str">
        <f t="shared" si="227"/>
        <v/>
      </c>
      <c r="O1387" s="34" t="str">
        <f t="shared" si="227"/>
        <v/>
      </c>
      <c r="P1387" s="34">
        <f t="shared" si="227"/>
        <v>84</v>
      </c>
      <c r="Q1387" s="34">
        <f t="shared" si="227"/>
        <v>89</v>
      </c>
      <c r="R1387" s="34">
        <f t="shared" si="227"/>
        <v>101</v>
      </c>
      <c r="S1387" s="35">
        <f t="shared" si="222"/>
        <v>84</v>
      </c>
    </row>
    <row r="1388" spans="2:19" hidden="1" outlineLevel="1">
      <c r="B1388" s="14" t="s">
        <v>116</v>
      </c>
      <c r="C1388" s="15" t="s">
        <v>66</v>
      </c>
      <c r="D1388" s="52">
        <v>2030</v>
      </c>
      <c r="E1388" s="34">
        <v>9</v>
      </c>
      <c r="F1388" s="38">
        <f t="shared" si="219"/>
        <v>18419.896110817903</v>
      </c>
      <c r="G1388" s="34">
        <f t="shared" si="220"/>
        <v>16</v>
      </c>
      <c r="H1388" s="34">
        <f t="shared" si="221"/>
        <v>4</v>
      </c>
      <c r="I1388" s="34" t="str">
        <f t="shared" si="227"/>
        <v/>
      </c>
      <c r="J1388" s="34" t="str">
        <f t="shared" si="227"/>
        <v/>
      </c>
      <c r="K1388" s="34" t="str">
        <f t="shared" si="227"/>
        <v/>
      </c>
      <c r="L1388" s="34" t="str">
        <f t="shared" si="227"/>
        <v/>
      </c>
      <c r="M1388" s="34" t="str">
        <f t="shared" si="227"/>
        <v/>
      </c>
      <c r="N1388" s="34" t="str">
        <f t="shared" si="227"/>
        <v/>
      </c>
      <c r="O1388" s="34" t="str">
        <f t="shared" si="227"/>
        <v/>
      </c>
      <c r="P1388" s="34">
        <f t="shared" si="227"/>
        <v>84</v>
      </c>
      <c r="Q1388" s="34">
        <f t="shared" si="227"/>
        <v>88</v>
      </c>
      <c r="R1388" s="34">
        <f t="shared" si="227"/>
        <v>100</v>
      </c>
      <c r="S1388" s="35">
        <f t="shared" si="222"/>
        <v>84</v>
      </c>
    </row>
    <row r="1389" spans="2:19" hidden="1" outlineLevel="1">
      <c r="B1389" s="14" t="s">
        <v>116</v>
      </c>
      <c r="C1389" s="15" t="s">
        <v>66</v>
      </c>
      <c r="D1389" s="52">
        <v>2030</v>
      </c>
      <c r="E1389" s="34">
        <v>10</v>
      </c>
      <c r="F1389" s="38">
        <f t="shared" si="219"/>
        <v>18419.896110817903</v>
      </c>
      <c r="G1389" s="34">
        <f t="shared" si="220"/>
        <v>16</v>
      </c>
      <c r="H1389" s="34">
        <f t="shared" si="221"/>
        <v>4</v>
      </c>
      <c r="I1389" s="34" t="str">
        <f t="shared" si="227"/>
        <v/>
      </c>
      <c r="J1389" s="34" t="str">
        <f t="shared" si="227"/>
        <v/>
      </c>
      <c r="K1389" s="34" t="str">
        <f t="shared" si="227"/>
        <v/>
      </c>
      <c r="L1389" s="34" t="str">
        <f t="shared" si="227"/>
        <v/>
      </c>
      <c r="M1389" s="34" t="str">
        <f t="shared" si="227"/>
        <v/>
      </c>
      <c r="N1389" s="34" t="str">
        <f t="shared" si="227"/>
        <v/>
      </c>
      <c r="O1389" s="34" t="str">
        <f t="shared" si="227"/>
        <v/>
      </c>
      <c r="P1389" s="34">
        <f t="shared" si="227"/>
        <v>84</v>
      </c>
      <c r="Q1389" s="34">
        <f t="shared" si="227"/>
        <v>87</v>
      </c>
      <c r="R1389" s="34">
        <f t="shared" si="227"/>
        <v>99</v>
      </c>
      <c r="S1389" s="35">
        <f t="shared" si="222"/>
        <v>84</v>
      </c>
    </row>
    <row r="1390" spans="2:19" hidden="1" outlineLevel="1">
      <c r="B1390" s="14" t="s">
        <v>116</v>
      </c>
      <c r="C1390" s="15" t="s">
        <v>66</v>
      </c>
      <c r="D1390" s="52">
        <v>2030</v>
      </c>
      <c r="E1390" s="34">
        <v>11</v>
      </c>
      <c r="F1390" s="38">
        <f t="shared" si="219"/>
        <v>18419.896110817903</v>
      </c>
      <c r="G1390" s="34">
        <f t="shared" si="220"/>
        <v>16</v>
      </c>
      <c r="H1390" s="34">
        <f t="shared" si="221"/>
        <v>4</v>
      </c>
      <c r="I1390" s="34" t="str">
        <f t="shared" ref="I1390:R1399" si="228">IF($D1390&lt;$Z$18,"",IF(MAX($G1390,INDEX($C$65:$F$108,$D1390+I$119-2026,$H1390))&lt;=12*I$119-$E1390+12,MAX($G1390,12*I$119-$E1390+1,INDEX($C$65:$F$108,$D1390+I$119-2026,$H1390)),""))</f>
        <v/>
      </c>
      <c r="J1390" s="34" t="str">
        <f t="shared" si="228"/>
        <v/>
      </c>
      <c r="K1390" s="34" t="str">
        <f t="shared" si="228"/>
        <v/>
      </c>
      <c r="L1390" s="34" t="str">
        <f t="shared" si="228"/>
        <v/>
      </c>
      <c r="M1390" s="34" t="str">
        <f t="shared" si="228"/>
        <v/>
      </c>
      <c r="N1390" s="34" t="str">
        <f t="shared" si="228"/>
        <v/>
      </c>
      <c r="O1390" s="34" t="str">
        <f t="shared" si="228"/>
        <v/>
      </c>
      <c r="P1390" s="34">
        <f t="shared" si="228"/>
        <v>84</v>
      </c>
      <c r="Q1390" s="34">
        <f t="shared" si="228"/>
        <v>86</v>
      </c>
      <c r="R1390" s="34">
        <f t="shared" si="228"/>
        <v>98</v>
      </c>
      <c r="S1390" s="35">
        <f t="shared" si="222"/>
        <v>84</v>
      </c>
    </row>
    <row r="1391" spans="2:19" hidden="1" outlineLevel="1">
      <c r="B1391" s="14" t="s">
        <v>116</v>
      </c>
      <c r="C1391" s="15" t="s">
        <v>66</v>
      </c>
      <c r="D1391" s="52">
        <v>2030</v>
      </c>
      <c r="E1391" s="34">
        <v>12</v>
      </c>
      <c r="F1391" s="38">
        <f t="shared" si="219"/>
        <v>18419.896110817903</v>
      </c>
      <c r="G1391" s="34">
        <f t="shared" si="220"/>
        <v>16</v>
      </c>
      <c r="H1391" s="34">
        <f t="shared" si="221"/>
        <v>4</v>
      </c>
      <c r="I1391" s="34" t="str">
        <f t="shared" si="228"/>
        <v/>
      </c>
      <c r="J1391" s="34" t="str">
        <f t="shared" si="228"/>
        <v/>
      </c>
      <c r="K1391" s="34" t="str">
        <f t="shared" si="228"/>
        <v/>
      </c>
      <c r="L1391" s="34" t="str">
        <f t="shared" si="228"/>
        <v/>
      </c>
      <c r="M1391" s="34" t="str">
        <f t="shared" si="228"/>
        <v/>
      </c>
      <c r="N1391" s="34" t="str">
        <f t="shared" si="228"/>
        <v/>
      </c>
      <c r="O1391" s="34" t="str">
        <f t="shared" si="228"/>
        <v/>
      </c>
      <c r="P1391" s="34">
        <f t="shared" si="228"/>
        <v>84</v>
      </c>
      <c r="Q1391" s="34">
        <f t="shared" si="228"/>
        <v>85</v>
      </c>
      <c r="R1391" s="34">
        <f t="shared" si="228"/>
        <v>97</v>
      </c>
      <c r="S1391" s="35">
        <f t="shared" si="222"/>
        <v>84</v>
      </c>
    </row>
    <row r="1392" spans="2:19" hidden="1" outlineLevel="1">
      <c r="B1392" s="14" t="s">
        <v>116</v>
      </c>
      <c r="C1392" s="15" t="s">
        <v>66</v>
      </c>
      <c r="D1392" s="52">
        <v>2031</v>
      </c>
      <c r="E1392" s="34">
        <v>1</v>
      </c>
      <c r="F1392" s="38">
        <f t="shared" si="219"/>
        <v>18955.499692633253</v>
      </c>
      <c r="G1392" s="34">
        <f t="shared" si="220"/>
        <v>16</v>
      </c>
      <c r="H1392" s="34">
        <f t="shared" si="221"/>
        <v>4</v>
      </c>
      <c r="I1392" s="34" t="str">
        <f t="shared" si="228"/>
        <v/>
      </c>
      <c r="J1392" s="34" t="str">
        <f t="shared" si="228"/>
        <v/>
      </c>
      <c r="K1392" s="34" t="str">
        <f t="shared" si="228"/>
        <v/>
      </c>
      <c r="L1392" s="34" t="str">
        <f t="shared" si="228"/>
        <v/>
      </c>
      <c r="M1392" s="34" t="str">
        <f t="shared" si="228"/>
        <v/>
      </c>
      <c r="N1392" s="34" t="str">
        <f t="shared" si="228"/>
        <v/>
      </c>
      <c r="O1392" s="34" t="str">
        <f t="shared" si="228"/>
        <v/>
      </c>
      <c r="P1392" s="34">
        <f t="shared" si="228"/>
        <v>84</v>
      </c>
      <c r="Q1392" s="34">
        <f t="shared" si="228"/>
        <v>96</v>
      </c>
      <c r="R1392" s="34">
        <f t="shared" si="228"/>
        <v>108</v>
      </c>
      <c r="S1392" s="35">
        <f t="shared" si="222"/>
        <v>84</v>
      </c>
    </row>
    <row r="1393" spans="2:19" hidden="1" outlineLevel="1">
      <c r="B1393" s="14" t="s">
        <v>116</v>
      </c>
      <c r="C1393" s="15" t="s">
        <v>66</v>
      </c>
      <c r="D1393" s="52">
        <v>2031</v>
      </c>
      <c r="E1393" s="34">
        <v>2</v>
      </c>
      <c r="F1393" s="38">
        <f t="shared" si="219"/>
        <v>18955.499692633253</v>
      </c>
      <c r="G1393" s="34">
        <f t="shared" si="220"/>
        <v>16</v>
      </c>
      <c r="H1393" s="34">
        <f t="shared" si="221"/>
        <v>4</v>
      </c>
      <c r="I1393" s="34" t="str">
        <f t="shared" si="228"/>
        <v/>
      </c>
      <c r="J1393" s="34" t="str">
        <f t="shared" si="228"/>
        <v/>
      </c>
      <c r="K1393" s="34" t="str">
        <f t="shared" si="228"/>
        <v/>
      </c>
      <c r="L1393" s="34" t="str">
        <f t="shared" si="228"/>
        <v/>
      </c>
      <c r="M1393" s="34" t="str">
        <f t="shared" si="228"/>
        <v/>
      </c>
      <c r="N1393" s="34" t="str">
        <f t="shared" si="228"/>
        <v/>
      </c>
      <c r="O1393" s="34" t="str">
        <f t="shared" si="228"/>
        <v/>
      </c>
      <c r="P1393" s="34">
        <f t="shared" si="228"/>
        <v>84</v>
      </c>
      <c r="Q1393" s="34">
        <f t="shared" si="228"/>
        <v>95</v>
      </c>
      <c r="R1393" s="34">
        <f t="shared" si="228"/>
        <v>107</v>
      </c>
      <c r="S1393" s="35">
        <f t="shared" si="222"/>
        <v>84</v>
      </c>
    </row>
    <row r="1394" spans="2:19" hidden="1" outlineLevel="1">
      <c r="B1394" s="14" t="s">
        <v>116</v>
      </c>
      <c r="C1394" s="15" t="s">
        <v>66</v>
      </c>
      <c r="D1394" s="52">
        <v>2031</v>
      </c>
      <c r="E1394" s="34">
        <v>3</v>
      </c>
      <c r="F1394" s="38">
        <f t="shared" si="219"/>
        <v>18955.499692633253</v>
      </c>
      <c r="G1394" s="34">
        <f t="shared" si="220"/>
        <v>16</v>
      </c>
      <c r="H1394" s="34">
        <f t="shared" si="221"/>
        <v>4</v>
      </c>
      <c r="I1394" s="34" t="str">
        <f t="shared" si="228"/>
        <v/>
      </c>
      <c r="J1394" s="34" t="str">
        <f t="shared" si="228"/>
        <v/>
      </c>
      <c r="K1394" s="34" t="str">
        <f t="shared" si="228"/>
        <v/>
      </c>
      <c r="L1394" s="34" t="str">
        <f t="shared" si="228"/>
        <v/>
      </c>
      <c r="M1394" s="34" t="str">
        <f t="shared" si="228"/>
        <v/>
      </c>
      <c r="N1394" s="34" t="str">
        <f t="shared" si="228"/>
        <v/>
      </c>
      <c r="O1394" s="34" t="str">
        <f t="shared" si="228"/>
        <v/>
      </c>
      <c r="P1394" s="34">
        <f t="shared" si="228"/>
        <v>84</v>
      </c>
      <c r="Q1394" s="34">
        <f t="shared" si="228"/>
        <v>94</v>
      </c>
      <c r="R1394" s="34">
        <f t="shared" si="228"/>
        <v>106</v>
      </c>
      <c r="S1394" s="35">
        <f t="shared" si="222"/>
        <v>84</v>
      </c>
    </row>
    <row r="1395" spans="2:19" hidden="1" outlineLevel="1">
      <c r="B1395" s="14" t="s">
        <v>116</v>
      </c>
      <c r="C1395" s="15" t="s">
        <v>66</v>
      </c>
      <c r="D1395" s="52">
        <v>2031</v>
      </c>
      <c r="E1395" s="34">
        <v>4</v>
      </c>
      <c r="F1395" s="38">
        <f t="shared" si="219"/>
        <v>18955.499692633253</v>
      </c>
      <c r="G1395" s="34">
        <f t="shared" si="220"/>
        <v>16</v>
      </c>
      <c r="H1395" s="34">
        <f t="shared" si="221"/>
        <v>4</v>
      </c>
      <c r="I1395" s="34" t="str">
        <f t="shared" si="228"/>
        <v/>
      </c>
      <c r="J1395" s="34" t="str">
        <f t="shared" si="228"/>
        <v/>
      </c>
      <c r="K1395" s="34" t="str">
        <f t="shared" si="228"/>
        <v/>
      </c>
      <c r="L1395" s="34" t="str">
        <f t="shared" si="228"/>
        <v/>
      </c>
      <c r="M1395" s="34" t="str">
        <f t="shared" si="228"/>
        <v/>
      </c>
      <c r="N1395" s="34" t="str">
        <f t="shared" si="228"/>
        <v/>
      </c>
      <c r="O1395" s="34" t="str">
        <f t="shared" si="228"/>
        <v/>
      </c>
      <c r="P1395" s="34">
        <f t="shared" si="228"/>
        <v>84</v>
      </c>
      <c r="Q1395" s="34">
        <f t="shared" si="228"/>
        <v>93</v>
      </c>
      <c r="R1395" s="34">
        <f t="shared" si="228"/>
        <v>105</v>
      </c>
      <c r="S1395" s="35">
        <f t="shared" si="222"/>
        <v>84</v>
      </c>
    </row>
    <row r="1396" spans="2:19" hidden="1" outlineLevel="1">
      <c r="B1396" s="14" t="s">
        <v>116</v>
      </c>
      <c r="C1396" s="15" t="s">
        <v>66</v>
      </c>
      <c r="D1396" s="52">
        <v>2031</v>
      </c>
      <c r="E1396" s="34">
        <v>5</v>
      </c>
      <c r="F1396" s="38">
        <f t="shared" si="219"/>
        <v>18955.499692633253</v>
      </c>
      <c r="G1396" s="34">
        <f t="shared" si="220"/>
        <v>16</v>
      </c>
      <c r="H1396" s="34">
        <f t="shared" si="221"/>
        <v>4</v>
      </c>
      <c r="I1396" s="34" t="str">
        <f t="shared" si="228"/>
        <v/>
      </c>
      <c r="J1396" s="34" t="str">
        <f t="shared" si="228"/>
        <v/>
      </c>
      <c r="K1396" s="34" t="str">
        <f t="shared" si="228"/>
        <v/>
      </c>
      <c r="L1396" s="34" t="str">
        <f t="shared" si="228"/>
        <v/>
      </c>
      <c r="M1396" s="34" t="str">
        <f t="shared" si="228"/>
        <v/>
      </c>
      <c r="N1396" s="34" t="str">
        <f t="shared" si="228"/>
        <v/>
      </c>
      <c r="O1396" s="34" t="str">
        <f t="shared" si="228"/>
        <v/>
      </c>
      <c r="P1396" s="34">
        <f t="shared" si="228"/>
        <v>84</v>
      </c>
      <c r="Q1396" s="34">
        <f t="shared" si="228"/>
        <v>92</v>
      </c>
      <c r="R1396" s="34">
        <f t="shared" si="228"/>
        <v>104</v>
      </c>
      <c r="S1396" s="35">
        <f t="shared" si="222"/>
        <v>84</v>
      </c>
    </row>
    <row r="1397" spans="2:19" hidden="1" outlineLevel="1">
      <c r="B1397" s="14" t="s">
        <v>116</v>
      </c>
      <c r="C1397" s="15" t="s">
        <v>66</v>
      </c>
      <c r="D1397" s="52">
        <v>2031</v>
      </c>
      <c r="E1397" s="34">
        <v>6</v>
      </c>
      <c r="F1397" s="38">
        <f t="shared" si="219"/>
        <v>18955.499692633253</v>
      </c>
      <c r="G1397" s="34">
        <f t="shared" si="220"/>
        <v>16</v>
      </c>
      <c r="H1397" s="34">
        <f t="shared" si="221"/>
        <v>4</v>
      </c>
      <c r="I1397" s="34" t="str">
        <f t="shared" si="228"/>
        <v/>
      </c>
      <c r="J1397" s="34" t="str">
        <f t="shared" si="228"/>
        <v/>
      </c>
      <c r="K1397" s="34" t="str">
        <f t="shared" si="228"/>
        <v/>
      </c>
      <c r="L1397" s="34" t="str">
        <f t="shared" si="228"/>
        <v/>
      </c>
      <c r="M1397" s="34" t="str">
        <f t="shared" si="228"/>
        <v/>
      </c>
      <c r="N1397" s="34" t="str">
        <f t="shared" si="228"/>
        <v/>
      </c>
      <c r="O1397" s="34" t="str">
        <f t="shared" si="228"/>
        <v/>
      </c>
      <c r="P1397" s="34">
        <f t="shared" si="228"/>
        <v>84</v>
      </c>
      <c r="Q1397" s="34">
        <f t="shared" si="228"/>
        <v>91</v>
      </c>
      <c r="R1397" s="34">
        <f t="shared" si="228"/>
        <v>103</v>
      </c>
      <c r="S1397" s="35">
        <f t="shared" si="222"/>
        <v>84</v>
      </c>
    </row>
    <row r="1398" spans="2:19" hidden="1" outlineLevel="1">
      <c r="B1398" s="14" t="s">
        <v>116</v>
      </c>
      <c r="C1398" s="15" t="s">
        <v>66</v>
      </c>
      <c r="D1398" s="52">
        <v>2031</v>
      </c>
      <c r="E1398" s="34">
        <v>7</v>
      </c>
      <c r="F1398" s="38">
        <f t="shared" si="219"/>
        <v>18955.499692633253</v>
      </c>
      <c r="G1398" s="34">
        <f t="shared" si="220"/>
        <v>16</v>
      </c>
      <c r="H1398" s="34">
        <f t="shared" si="221"/>
        <v>4</v>
      </c>
      <c r="I1398" s="34" t="str">
        <f t="shared" si="228"/>
        <v/>
      </c>
      <c r="J1398" s="34" t="str">
        <f t="shared" si="228"/>
        <v/>
      </c>
      <c r="K1398" s="34" t="str">
        <f t="shared" si="228"/>
        <v/>
      </c>
      <c r="L1398" s="34" t="str">
        <f t="shared" si="228"/>
        <v/>
      </c>
      <c r="M1398" s="34" t="str">
        <f t="shared" si="228"/>
        <v/>
      </c>
      <c r="N1398" s="34" t="str">
        <f t="shared" si="228"/>
        <v/>
      </c>
      <c r="O1398" s="34" t="str">
        <f t="shared" si="228"/>
        <v/>
      </c>
      <c r="P1398" s="34">
        <f t="shared" si="228"/>
        <v>84</v>
      </c>
      <c r="Q1398" s="34">
        <f t="shared" si="228"/>
        <v>90</v>
      </c>
      <c r="R1398" s="34">
        <f t="shared" si="228"/>
        <v>102</v>
      </c>
      <c r="S1398" s="35">
        <f t="shared" si="222"/>
        <v>84</v>
      </c>
    </row>
    <row r="1399" spans="2:19" hidden="1" outlineLevel="1">
      <c r="B1399" s="14" t="s">
        <v>116</v>
      </c>
      <c r="C1399" s="15" t="s">
        <v>66</v>
      </c>
      <c r="D1399" s="52">
        <v>2031</v>
      </c>
      <c r="E1399" s="34">
        <v>8</v>
      </c>
      <c r="F1399" s="38">
        <f t="shared" si="219"/>
        <v>18955.499692633253</v>
      </c>
      <c r="G1399" s="34">
        <f t="shared" si="220"/>
        <v>16</v>
      </c>
      <c r="H1399" s="34">
        <f t="shared" si="221"/>
        <v>4</v>
      </c>
      <c r="I1399" s="34" t="str">
        <f t="shared" si="228"/>
        <v/>
      </c>
      <c r="J1399" s="34" t="str">
        <f t="shared" si="228"/>
        <v/>
      </c>
      <c r="K1399" s="34" t="str">
        <f t="shared" si="228"/>
        <v/>
      </c>
      <c r="L1399" s="34" t="str">
        <f t="shared" si="228"/>
        <v/>
      </c>
      <c r="M1399" s="34" t="str">
        <f t="shared" si="228"/>
        <v/>
      </c>
      <c r="N1399" s="34" t="str">
        <f t="shared" si="228"/>
        <v/>
      </c>
      <c r="O1399" s="34" t="str">
        <f t="shared" si="228"/>
        <v/>
      </c>
      <c r="P1399" s="34">
        <f t="shared" si="228"/>
        <v>84</v>
      </c>
      <c r="Q1399" s="34">
        <f t="shared" si="228"/>
        <v>89</v>
      </c>
      <c r="R1399" s="34">
        <f t="shared" si="228"/>
        <v>101</v>
      </c>
      <c r="S1399" s="35">
        <f t="shared" si="222"/>
        <v>84</v>
      </c>
    </row>
    <row r="1400" spans="2:19" hidden="1" outlineLevel="1">
      <c r="B1400" s="14" t="s">
        <v>116</v>
      </c>
      <c r="C1400" s="15" t="s">
        <v>66</v>
      </c>
      <c r="D1400" s="52">
        <v>2031</v>
      </c>
      <c r="E1400" s="34">
        <v>9</v>
      </c>
      <c r="F1400" s="38">
        <f t="shared" ref="F1400:F1463" si="229">IF($C1400="Homens",INDEX($C$5:$C$55,MATCH($D1400,$B$5:$B$55,0)),INDEX($F$5:$F$55,MATCH($D1400,$B$5:$B$55,0)))/12</f>
        <v>18955.499692633253</v>
      </c>
      <c r="G1400" s="34">
        <f t="shared" ref="G1400:G1463" si="230">IF($C1400="Homens",$Z$17,$AA$17)</f>
        <v>16</v>
      </c>
      <c r="H1400" s="34">
        <f t="shared" ref="H1400:H1463" si="231">1+2*($B1400="Com Transição")+($C1400="Mulheres")</f>
        <v>4</v>
      </c>
      <c r="I1400" s="34" t="str">
        <f t="shared" ref="I1400:R1409" si="232">IF($D1400&lt;$Z$18,"",IF(MAX($G1400,INDEX($C$65:$F$108,$D1400+I$119-2026,$H1400))&lt;=12*I$119-$E1400+12,MAX($G1400,12*I$119-$E1400+1,INDEX($C$65:$F$108,$D1400+I$119-2026,$H1400)),""))</f>
        <v/>
      </c>
      <c r="J1400" s="34" t="str">
        <f t="shared" si="232"/>
        <v/>
      </c>
      <c r="K1400" s="34" t="str">
        <f t="shared" si="232"/>
        <v/>
      </c>
      <c r="L1400" s="34" t="str">
        <f t="shared" si="232"/>
        <v/>
      </c>
      <c r="M1400" s="34" t="str">
        <f t="shared" si="232"/>
        <v/>
      </c>
      <c r="N1400" s="34" t="str">
        <f t="shared" si="232"/>
        <v/>
      </c>
      <c r="O1400" s="34" t="str">
        <f t="shared" si="232"/>
        <v/>
      </c>
      <c r="P1400" s="34">
        <f t="shared" si="232"/>
        <v>84</v>
      </c>
      <c r="Q1400" s="34">
        <f t="shared" si="232"/>
        <v>88</v>
      </c>
      <c r="R1400" s="34">
        <f t="shared" si="232"/>
        <v>100</v>
      </c>
      <c r="S1400" s="35">
        <f t="shared" ref="S1400:S1463" si="233">IF($D1400&lt;$Z$18,$G1400,MIN(I1400:R1400))</f>
        <v>84</v>
      </c>
    </row>
    <row r="1401" spans="2:19" hidden="1" outlineLevel="1">
      <c r="B1401" s="14" t="s">
        <v>116</v>
      </c>
      <c r="C1401" s="15" t="s">
        <v>66</v>
      </c>
      <c r="D1401" s="52">
        <v>2031</v>
      </c>
      <c r="E1401" s="34">
        <v>10</v>
      </c>
      <c r="F1401" s="38">
        <f t="shared" si="229"/>
        <v>18955.499692633253</v>
      </c>
      <c r="G1401" s="34">
        <f t="shared" si="230"/>
        <v>16</v>
      </c>
      <c r="H1401" s="34">
        <f t="shared" si="231"/>
        <v>4</v>
      </c>
      <c r="I1401" s="34" t="str">
        <f t="shared" si="232"/>
        <v/>
      </c>
      <c r="J1401" s="34" t="str">
        <f t="shared" si="232"/>
        <v/>
      </c>
      <c r="K1401" s="34" t="str">
        <f t="shared" si="232"/>
        <v/>
      </c>
      <c r="L1401" s="34" t="str">
        <f t="shared" si="232"/>
        <v/>
      </c>
      <c r="M1401" s="34" t="str">
        <f t="shared" si="232"/>
        <v/>
      </c>
      <c r="N1401" s="34" t="str">
        <f t="shared" si="232"/>
        <v/>
      </c>
      <c r="O1401" s="34" t="str">
        <f t="shared" si="232"/>
        <v/>
      </c>
      <c r="P1401" s="34">
        <f t="shared" si="232"/>
        <v>84</v>
      </c>
      <c r="Q1401" s="34">
        <f t="shared" si="232"/>
        <v>87</v>
      </c>
      <c r="R1401" s="34">
        <f t="shared" si="232"/>
        <v>99</v>
      </c>
      <c r="S1401" s="35">
        <f t="shared" si="233"/>
        <v>84</v>
      </c>
    </row>
    <row r="1402" spans="2:19" hidden="1" outlineLevel="1">
      <c r="B1402" s="14" t="s">
        <v>116</v>
      </c>
      <c r="C1402" s="15" t="s">
        <v>66</v>
      </c>
      <c r="D1402" s="52">
        <v>2031</v>
      </c>
      <c r="E1402" s="34">
        <v>11</v>
      </c>
      <c r="F1402" s="38">
        <f t="shared" si="229"/>
        <v>18955.499692633253</v>
      </c>
      <c r="G1402" s="34">
        <f t="shared" si="230"/>
        <v>16</v>
      </c>
      <c r="H1402" s="34">
        <f t="shared" si="231"/>
        <v>4</v>
      </c>
      <c r="I1402" s="34" t="str">
        <f t="shared" si="232"/>
        <v/>
      </c>
      <c r="J1402" s="34" t="str">
        <f t="shared" si="232"/>
        <v/>
      </c>
      <c r="K1402" s="34" t="str">
        <f t="shared" si="232"/>
        <v/>
      </c>
      <c r="L1402" s="34" t="str">
        <f t="shared" si="232"/>
        <v/>
      </c>
      <c r="M1402" s="34" t="str">
        <f t="shared" si="232"/>
        <v/>
      </c>
      <c r="N1402" s="34" t="str">
        <f t="shared" si="232"/>
        <v/>
      </c>
      <c r="O1402" s="34" t="str">
        <f t="shared" si="232"/>
        <v/>
      </c>
      <c r="P1402" s="34">
        <f t="shared" si="232"/>
        <v>84</v>
      </c>
      <c r="Q1402" s="34">
        <f t="shared" si="232"/>
        <v>86</v>
      </c>
      <c r="R1402" s="34">
        <f t="shared" si="232"/>
        <v>98</v>
      </c>
      <c r="S1402" s="35">
        <f t="shared" si="233"/>
        <v>84</v>
      </c>
    </row>
    <row r="1403" spans="2:19" hidden="1" outlineLevel="1">
      <c r="B1403" s="14" t="s">
        <v>116</v>
      </c>
      <c r="C1403" s="15" t="s">
        <v>66</v>
      </c>
      <c r="D1403" s="52">
        <v>2031</v>
      </c>
      <c r="E1403" s="34">
        <v>12</v>
      </c>
      <c r="F1403" s="38">
        <f t="shared" si="229"/>
        <v>18955.499692633253</v>
      </c>
      <c r="G1403" s="34">
        <f t="shared" si="230"/>
        <v>16</v>
      </c>
      <c r="H1403" s="34">
        <f t="shared" si="231"/>
        <v>4</v>
      </c>
      <c r="I1403" s="34" t="str">
        <f t="shared" si="232"/>
        <v/>
      </c>
      <c r="J1403" s="34" t="str">
        <f t="shared" si="232"/>
        <v/>
      </c>
      <c r="K1403" s="34" t="str">
        <f t="shared" si="232"/>
        <v/>
      </c>
      <c r="L1403" s="34" t="str">
        <f t="shared" si="232"/>
        <v/>
      </c>
      <c r="M1403" s="34" t="str">
        <f t="shared" si="232"/>
        <v/>
      </c>
      <c r="N1403" s="34" t="str">
        <f t="shared" si="232"/>
        <v/>
      </c>
      <c r="O1403" s="34" t="str">
        <f t="shared" si="232"/>
        <v/>
      </c>
      <c r="P1403" s="34">
        <f t="shared" si="232"/>
        <v>84</v>
      </c>
      <c r="Q1403" s="34">
        <f t="shared" si="232"/>
        <v>85</v>
      </c>
      <c r="R1403" s="34">
        <f t="shared" si="232"/>
        <v>97</v>
      </c>
      <c r="S1403" s="35">
        <f t="shared" si="233"/>
        <v>84</v>
      </c>
    </row>
    <row r="1404" spans="2:19" hidden="1" outlineLevel="1">
      <c r="B1404" s="14" t="s">
        <v>116</v>
      </c>
      <c r="C1404" s="15" t="s">
        <v>66</v>
      </c>
      <c r="D1404" s="52">
        <v>2032</v>
      </c>
      <c r="E1404" s="34">
        <v>1</v>
      </c>
      <c r="F1404" s="38">
        <f t="shared" si="229"/>
        <v>19589.072685865794</v>
      </c>
      <c r="G1404" s="34">
        <f t="shared" si="230"/>
        <v>16</v>
      </c>
      <c r="H1404" s="34">
        <f t="shared" si="231"/>
        <v>4</v>
      </c>
      <c r="I1404" s="34" t="str">
        <f t="shared" si="232"/>
        <v/>
      </c>
      <c r="J1404" s="34" t="str">
        <f t="shared" si="232"/>
        <v/>
      </c>
      <c r="K1404" s="34" t="str">
        <f t="shared" si="232"/>
        <v/>
      </c>
      <c r="L1404" s="34" t="str">
        <f t="shared" si="232"/>
        <v/>
      </c>
      <c r="M1404" s="34" t="str">
        <f t="shared" si="232"/>
        <v/>
      </c>
      <c r="N1404" s="34" t="str">
        <f t="shared" si="232"/>
        <v/>
      </c>
      <c r="O1404" s="34" t="str">
        <f t="shared" si="232"/>
        <v/>
      </c>
      <c r="P1404" s="34">
        <f t="shared" si="232"/>
        <v>84</v>
      </c>
      <c r="Q1404" s="34">
        <f t="shared" si="232"/>
        <v>96</v>
      </c>
      <c r="R1404" s="34">
        <f t="shared" si="232"/>
        <v>108</v>
      </c>
      <c r="S1404" s="35">
        <f t="shared" si="233"/>
        <v>84</v>
      </c>
    </row>
    <row r="1405" spans="2:19" hidden="1" outlineLevel="1">
      <c r="B1405" s="14" t="s">
        <v>116</v>
      </c>
      <c r="C1405" s="15" t="s">
        <v>66</v>
      </c>
      <c r="D1405" s="52">
        <v>2032</v>
      </c>
      <c r="E1405" s="34">
        <v>2</v>
      </c>
      <c r="F1405" s="38">
        <f t="shared" si="229"/>
        <v>19589.072685865794</v>
      </c>
      <c r="G1405" s="34">
        <f t="shared" si="230"/>
        <v>16</v>
      </c>
      <c r="H1405" s="34">
        <f t="shared" si="231"/>
        <v>4</v>
      </c>
      <c r="I1405" s="34" t="str">
        <f t="shared" si="232"/>
        <v/>
      </c>
      <c r="J1405" s="34" t="str">
        <f t="shared" si="232"/>
        <v/>
      </c>
      <c r="K1405" s="34" t="str">
        <f t="shared" si="232"/>
        <v/>
      </c>
      <c r="L1405" s="34" t="str">
        <f t="shared" si="232"/>
        <v/>
      </c>
      <c r="M1405" s="34" t="str">
        <f t="shared" si="232"/>
        <v/>
      </c>
      <c r="N1405" s="34" t="str">
        <f t="shared" si="232"/>
        <v/>
      </c>
      <c r="O1405" s="34" t="str">
        <f t="shared" si="232"/>
        <v/>
      </c>
      <c r="P1405" s="34">
        <f t="shared" si="232"/>
        <v>84</v>
      </c>
      <c r="Q1405" s="34">
        <f t="shared" si="232"/>
        <v>95</v>
      </c>
      <c r="R1405" s="34">
        <f t="shared" si="232"/>
        <v>107</v>
      </c>
      <c r="S1405" s="35">
        <f t="shared" si="233"/>
        <v>84</v>
      </c>
    </row>
    <row r="1406" spans="2:19" hidden="1" outlineLevel="1">
      <c r="B1406" s="14" t="s">
        <v>116</v>
      </c>
      <c r="C1406" s="15" t="s">
        <v>66</v>
      </c>
      <c r="D1406" s="52">
        <v>2032</v>
      </c>
      <c r="E1406" s="34">
        <v>3</v>
      </c>
      <c r="F1406" s="38">
        <f t="shared" si="229"/>
        <v>19589.072685865794</v>
      </c>
      <c r="G1406" s="34">
        <f t="shared" si="230"/>
        <v>16</v>
      </c>
      <c r="H1406" s="34">
        <f t="shared" si="231"/>
        <v>4</v>
      </c>
      <c r="I1406" s="34" t="str">
        <f t="shared" si="232"/>
        <v/>
      </c>
      <c r="J1406" s="34" t="str">
        <f t="shared" si="232"/>
        <v/>
      </c>
      <c r="K1406" s="34" t="str">
        <f t="shared" si="232"/>
        <v/>
      </c>
      <c r="L1406" s="34" t="str">
        <f t="shared" si="232"/>
        <v/>
      </c>
      <c r="M1406" s="34" t="str">
        <f t="shared" si="232"/>
        <v/>
      </c>
      <c r="N1406" s="34" t="str">
        <f t="shared" si="232"/>
        <v/>
      </c>
      <c r="O1406" s="34" t="str">
        <f t="shared" si="232"/>
        <v/>
      </c>
      <c r="P1406" s="34">
        <f t="shared" si="232"/>
        <v>84</v>
      </c>
      <c r="Q1406" s="34">
        <f t="shared" si="232"/>
        <v>94</v>
      </c>
      <c r="R1406" s="34">
        <f t="shared" si="232"/>
        <v>106</v>
      </c>
      <c r="S1406" s="35">
        <f t="shared" si="233"/>
        <v>84</v>
      </c>
    </row>
    <row r="1407" spans="2:19" hidden="1" outlineLevel="1">
      <c r="B1407" s="14" t="s">
        <v>116</v>
      </c>
      <c r="C1407" s="15" t="s">
        <v>66</v>
      </c>
      <c r="D1407" s="52">
        <v>2032</v>
      </c>
      <c r="E1407" s="34">
        <v>4</v>
      </c>
      <c r="F1407" s="38">
        <f t="shared" si="229"/>
        <v>19589.072685865794</v>
      </c>
      <c r="G1407" s="34">
        <f t="shared" si="230"/>
        <v>16</v>
      </c>
      <c r="H1407" s="34">
        <f t="shared" si="231"/>
        <v>4</v>
      </c>
      <c r="I1407" s="34" t="str">
        <f t="shared" si="232"/>
        <v/>
      </c>
      <c r="J1407" s="34" t="str">
        <f t="shared" si="232"/>
        <v/>
      </c>
      <c r="K1407" s="34" t="str">
        <f t="shared" si="232"/>
        <v/>
      </c>
      <c r="L1407" s="34" t="str">
        <f t="shared" si="232"/>
        <v/>
      </c>
      <c r="M1407" s="34" t="str">
        <f t="shared" si="232"/>
        <v/>
      </c>
      <c r="N1407" s="34" t="str">
        <f t="shared" si="232"/>
        <v/>
      </c>
      <c r="O1407" s="34" t="str">
        <f t="shared" si="232"/>
        <v/>
      </c>
      <c r="P1407" s="34">
        <f t="shared" si="232"/>
        <v>84</v>
      </c>
      <c r="Q1407" s="34">
        <f t="shared" si="232"/>
        <v>93</v>
      </c>
      <c r="R1407" s="34">
        <f t="shared" si="232"/>
        <v>105</v>
      </c>
      <c r="S1407" s="35">
        <f t="shared" si="233"/>
        <v>84</v>
      </c>
    </row>
    <row r="1408" spans="2:19" hidden="1" outlineLevel="1">
      <c r="B1408" s="14" t="s">
        <v>116</v>
      </c>
      <c r="C1408" s="15" t="s">
        <v>66</v>
      </c>
      <c r="D1408" s="52">
        <v>2032</v>
      </c>
      <c r="E1408" s="34">
        <v>5</v>
      </c>
      <c r="F1408" s="38">
        <f t="shared" si="229"/>
        <v>19589.072685865794</v>
      </c>
      <c r="G1408" s="34">
        <f t="shared" si="230"/>
        <v>16</v>
      </c>
      <c r="H1408" s="34">
        <f t="shared" si="231"/>
        <v>4</v>
      </c>
      <c r="I1408" s="34" t="str">
        <f t="shared" si="232"/>
        <v/>
      </c>
      <c r="J1408" s="34" t="str">
        <f t="shared" si="232"/>
        <v/>
      </c>
      <c r="K1408" s="34" t="str">
        <f t="shared" si="232"/>
        <v/>
      </c>
      <c r="L1408" s="34" t="str">
        <f t="shared" si="232"/>
        <v/>
      </c>
      <c r="M1408" s="34" t="str">
        <f t="shared" si="232"/>
        <v/>
      </c>
      <c r="N1408" s="34" t="str">
        <f t="shared" si="232"/>
        <v/>
      </c>
      <c r="O1408" s="34" t="str">
        <f t="shared" si="232"/>
        <v/>
      </c>
      <c r="P1408" s="34">
        <f t="shared" si="232"/>
        <v>84</v>
      </c>
      <c r="Q1408" s="34">
        <f t="shared" si="232"/>
        <v>92</v>
      </c>
      <c r="R1408" s="34">
        <f t="shared" si="232"/>
        <v>104</v>
      </c>
      <c r="S1408" s="35">
        <f t="shared" si="233"/>
        <v>84</v>
      </c>
    </row>
    <row r="1409" spans="2:19" hidden="1" outlineLevel="1">
      <c r="B1409" s="14" t="s">
        <v>116</v>
      </c>
      <c r="C1409" s="15" t="s">
        <v>66</v>
      </c>
      <c r="D1409" s="52">
        <v>2032</v>
      </c>
      <c r="E1409" s="34">
        <v>6</v>
      </c>
      <c r="F1409" s="38">
        <f t="shared" si="229"/>
        <v>19589.072685865794</v>
      </c>
      <c r="G1409" s="34">
        <f t="shared" si="230"/>
        <v>16</v>
      </c>
      <c r="H1409" s="34">
        <f t="shared" si="231"/>
        <v>4</v>
      </c>
      <c r="I1409" s="34" t="str">
        <f t="shared" si="232"/>
        <v/>
      </c>
      <c r="J1409" s="34" t="str">
        <f t="shared" si="232"/>
        <v/>
      </c>
      <c r="K1409" s="34" t="str">
        <f t="shared" si="232"/>
        <v/>
      </c>
      <c r="L1409" s="34" t="str">
        <f t="shared" si="232"/>
        <v/>
      </c>
      <c r="M1409" s="34" t="str">
        <f t="shared" si="232"/>
        <v/>
      </c>
      <c r="N1409" s="34" t="str">
        <f t="shared" si="232"/>
        <v/>
      </c>
      <c r="O1409" s="34" t="str">
        <f t="shared" si="232"/>
        <v/>
      </c>
      <c r="P1409" s="34">
        <f t="shared" si="232"/>
        <v>84</v>
      </c>
      <c r="Q1409" s="34">
        <f t="shared" si="232"/>
        <v>91</v>
      </c>
      <c r="R1409" s="34">
        <f t="shared" si="232"/>
        <v>103</v>
      </c>
      <c r="S1409" s="35">
        <f t="shared" si="233"/>
        <v>84</v>
      </c>
    </row>
    <row r="1410" spans="2:19" hidden="1" outlineLevel="1">
      <c r="B1410" s="14" t="s">
        <v>116</v>
      </c>
      <c r="C1410" s="15" t="s">
        <v>66</v>
      </c>
      <c r="D1410" s="52">
        <v>2032</v>
      </c>
      <c r="E1410" s="34">
        <v>7</v>
      </c>
      <c r="F1410" s="38">
        <f t="shared" si="229"/>
        <v>19589.072685865794</v>
      </c>
      <c r="G1410" s="34">
        <f t="shared" si="230"/>
        <v>16</v>
      </c>
      <c r="H1410" s="34">
        <f t="shared" si="231"/>
        <v>4</v>
      </c>
      <c r="I1410" s="34" t="str">
        <f t="shared" ref="I1410:R1419" si="234">IF($D1410&lt;$Z$18,"",IF(MAX($G1410,INDEX($C$65:$F$108,$D1410+I$119-2026,$H1410))&lt;=12*I$119-$E1410+12,MAX($G1410,12*I$119-$E1410+1,INDEX($C$65:$F$108,$D1410+I$119-2026,$H1410)),""))</f>
        <v/>
      </c>
      <c r="J1410" s="34" t="str">
        <f t="shared" si="234"/>
        <v/>
      </c>
      <c r="K1410" s="34" t="str">
        <f t="shared" si="234"/>
        <v/>
      </c>
      <c r="L1410" s="34" t="str">
        <f t="shared" si="234"/>
        <v/>
      </c>
      <c r="M1410" s="34" t="str">
        <f t="shared" si="234"/>
        <v/>
      </c>
      <c r="N1410" s="34" t="str">
        <f t="shared" si="234"/>
        <v/>
      </c>
      <c r="O1410" s="34" t="str">
        <f t="shared" si="234"/>
        <v/>
      </c>
      <c r="P1410" s="34">
        <f t="shared" si="234"/>
        <v>84</v>
      </c>
      <c r="Q1410" s="34">
        <f t="shared" si="234"/>
        <v>90</v>
      </c>
      <c r="R1410" s="34">
        <f t="shared" si="234"/>
        <v>102</v>
      </c>
      <c r="S1410" s="35">
        <f t="shared" si="233"/>
        <v>84</v>
      </c>
    </row>
    <row r="1411" spans="2:19" hidden="1" outlineLevel="1">
      <c r="B1411" s="14" t="s">
        <v>116</v>
      </c>
      <c r="C1411" s="15" t="s">
        <v>66</v>
      </c>
      <c r="D1411" s="52">
        <v>2032</v>
      </c>
      <c r="E1411" s="34">
        <v>8</v>
      </c>
      <c r="F1411" s="38">
        <f t="shared" si="229"/>
        <v>19589.072685865794</v>
      </c>
      <c r="G1411" s="34">
        <f t="shared" si="230"/>
        <v>16</v>
      </c>
      <c r="H1411" s="34">
        <f t="shared" si="231"/>
        <v>4</v>
      </c>
      <c r="I1411" s="34" t="str">
        <f t="shared" si="234"/>
        <v/>
      </c>
      <c r="J1411" s="34" t="str">
        <f t="shared" si="234"/>
        <v/>
      </c>
      <c r="K1411" s="34" t="str">
        <f t="shared" si="234"/>
        <v/>
      </c>
      <c r="L1411" s="34" t="str">
        <f t="shared" si="234"/>
        <v/>
      </c>
      <c r="M1411" s="34" t="str">
        <f t="shared" si="234"/>
        <v/>
      </c>
      <c r="N1411" s="34" t="str">
        <f t="shared" si="234"/>
        <v/>
      </c>
      <c r="O1411" s="34" t="str">
        <f t="shared" si="234"/>
        <v/>
      </c>
      <c r="P1411" s="34">
        <f t="shared" si="234"/>
        <v>84</v>
      </c>
      <c r="Q1411" s="34">
        <f t="shared" si="234"/>
        <v>89</v>
      </c>
      <c r="R1411" s="34">
        <f t="shared" si="234"/>
        <v>101</v>
      </c>
      <c r="S1411" s="35">
        <f t="shared" si="233"/>
        <v>84</v>
      </c>
    </row>
    <row r="1412" spans="2:19" hidden="1" outlineLevel="1">
      <c r="B1412" s="14" t="s">
        <v>116</v>
      </c>
      <c r="C1412" s="15" t="s">
        <v>66</v>
      </c>
      <c r="D1412" s="52">
        <v>2032</v>
      </c>
      <c r="E1412" s="34">
        <v>9</v>
      </c>
      <c r="F1412" s="38">
        <f t="shared" si="229"/>
        <v>19589.072685865794</v>
      </c>
      <c r="G1412" s="34">
        <f t="shared" si="230"/>
        <v>16</v>
      </c>
      <c r="H1412" s="34">
        <f t="shared" si="231"/>
        <v>4</v>
      </c>
      <c r="I1412" s="34" t="str">
        <f t="shared" si="234"/>
        <v/>
      </c>
      <c r="J1412" s="34" t="str">
        <f t="shared" si="234"/>
        <v/>
      </c>
      <c r="K1412" s="34" t="str">
        <f t="shared" si="234"/>
        <v/>
      </c>
      <c r="L1412" s="34" t="str">
        <f t="shared" si="234"/>
        <v/>
      </c>
      <c r="M1412" s="34" t="str">
        <f t="shared" si="234"/>
        <v/>
      </c>
      <c r="N1412" s="34" t="str">
        <f t="shared" si="234"/>
        <v/>
      </c>
      <c r="O1412" s="34" t="str">
        <f t="shared" si="234"/>
        <v/>
      </c>
      <c r="P1412" s="34">
        <f t="shared" si="234"/>
        <v>84</v>
      </c>
      <c r="Q1412" s="34">
        <f t="shared" si="234"/>
        <v>88</v>
      </c>
      <c r="R1412" s="34">
        <f t="shared" si="234"/>
        <v>100</v>
      </c>
      <c r="S1412" s="35">
        <f t="shared" si="233"/>
        <v>84</v>
      </c>
    </row>
    <row r="1413" spans="2:19" hidden="1" outlineLevel="1">
      <c r="B1413" s="14" t="s">
        <v>116</v>
      </c>
      <c r="C1413" s="15" t="s">
        <v>66</v>
      </c>
      <c r="D1413" s="52">
        <v>2032</v>
      </c>
      <c r="E1413" s="34">
        <v>10</v>
      </c>
      <c r="F1413" s="38">
        <f t="shared" si="229"/>
        <v>19589.072685865794</v>
      </c>
      <c r="G1413" s="34">
        <f t="shared" si="230"/>
        <v>16</v>
      </c>
      <c r="H1413" s="34">
        <f t="shared" si="231"/>
        <v>4</v>
      </c>
      <c r="I1413" s="34" t="str">
        <f t="shared" si="234"/>
        <v/>
      </c>
      <c r="J1413" s="34" t="str">
        <f t="shared" si="234"/>
        <v/>
      </c>
      <c r="K1413" s="34" t="str">
        <f t="shared" si="234"/>
        <v/>
      </c>
      <c r="L1413" s="34" t="str">
        <f t="shared" si="234"/>
        <v/>
      </c>
      <c r="M1413" s="34" t="str">
        <f t="shared" si="234"/>
        <v/>
      </c>
      <c r="N1413" s="34" t="str">
        <f t="shared" si="234"/>
        <v/>
      </c>
      <c r="O1413" s="34" t="str">
        <f t="shared" si="234"/>
        <v/>
      </c>
      <c r="P1413" s="34">
        <f t="shared" si="234"/>
        <v>84</v>
      </c>
      <c r="Q1413" s="34">
        <f t="shared" si="234"/>
        <v>87</v>
      </c>
      <c r="R1413" s="34">
        <f t="shared" si="234"/>
        <v>99</v>
      </c>
      <c r="S1413" s="35">
        <f t="shared" si="233"/>
        <v>84</v>
      </c>
    </row>
    <row r="1414" spans="2:19" hidden="1" outlineLevel="1">
      <c r="B1414" s="14" t="s">
        <v>116</v>
      </c>
      <c r="C1414" s="15" t="s">
        <v>66</v>
      </c>
      <c r="D1414" s="52">
        <v>2032</v>
      </c>
      <c r="E1414" s="34">
        <v>11</v>
      </c>
      <c r="F1414" s="38">
        <f t="shared" si="229"/>
        <v>19589.072685865794</v>
      </c>
      <c r="G1414" s="34">
        <f t="shared" si="230"/>
        <v>16</v>
      </c>
      <c r="H1414" s="34">
        <f t="shared" si="231"/>
        <v>4</v>
      </c>
      <c r="I1414" s="34" t="str">
        <f t="shared" si="234"/>
        <v/>
      </c>
      <c r="J1414" s="34" t="str">
        <f t="shared" si="234"/>
        <v/>
      </c>
      <c r="K1414" s="34" t="str">
        <f t="shared" si="234"/>
        <v/>
      </c>
      <c r="L1414" s="34" t="str">
        <f t="shared" si="234"/>
        <v/>
      </c>
      <c r="M1414" s="34" t="str">
        <f t="shared" si="234"/>
        <v/>
      </c>
      <c r="N1414" s="34" t="str">
        <f t="shared" si="234"/>
        <v/>
      </c>
      <c r="O1414" s="34" t="str">
        <f t="shared" si="234"/>
        <v/>
      </c>
      <c r="P1414" s="34">
        <f t="shared" si="234"/>
        <v>84</v>
      </c>
      <c r="Q1414" s="34">
        <f t="shared" si="234"/>
        <v>86</v>
      </c>
      <c r="R1414" s="34">
        <f t="shared" si="234"/>
        <v>98</v>
      </c>
      <c r="S1414" s="35">
        <f t="shared" si="233"/>
        <v>84</v>
      </c>
    </row>
    <row r="1415" spans="2:19" hidden="1" outlineLevel="1">
      <c r="B1415" s="14" t="s">
        <v>116</v>
      </c>
      <c r="C1415" s="15" t="s">
        <v>66</v>
      </c>
      <c r="D1415" s="52">
        <v>2032</v>
      </c>
      <c r="E1415" s="34">
        <v>12</v>
      </c>
      <c r="F1415" s="38">
        <f t="shared" si="229"/>
        <v>19589.072685865794</v>
      </c>
      <c r="G1415" s="34">
        <f t="shared" si="230"/>
        <v>16</v>
      </c>
      <c r="H1415" s="34">
        <f t="shared" si="231"/>
        <v>4</v>
      </c>
      <c r="I1415" s="34" t="str">
        <f t="shared" si="234"/>
        <v/>
      </c>
      <c r="J1415" s="34" t="str">
        <f t="shared" si="234"/>
        <v/>
      </c>
      <c r="K1415" s="34" t="str">
        <f t="shared" si="234"/>
        <v/>
      </c>
      <c r="L1415" s="34" t="str">
        <f t="shared" si="234"/>
        <v/>
      </c>
      <c r="M1415" s="34" t="str">
        <f t="shared" si="234"/>
        <v/>
      </c>
      <c r="N1415" s="34" t="str">
        <f t="shared" si="234"/>
        <v/>
      </c>
      <c r="O1415" s="34" t="str">
        <f t="shared" si="234"/>
        <v/>
      </c>
      <c r="P1415" s="34">
        <f t="shared" si="234"/>
        <v>84</v>
      </c>
      <c r="Q1415" s="34">
        <f t="shared" si="234"/>
        <v>85</v>
      </c>
      <c r="R1415" s="34">
        <f t="shared" si="234"/>
        <v>97</v>
      </c>
      <c r="S1415" s="35">
        <f t="shared" si="233"/>
        <v>84</v>
      </c>
    </row>
    <row r="1416" spans="2:19" hidden="1" outlineLevel="1">
      <c r="B1416" s="14" t="s">
        <v>116</v>
      </c>
      <c r="C1416" s="15" t="s">
        <v>66</v>
      </c>
      <c r="D1416" s="52">
        <v>2033</v>
      </c>
      <c r="E1416" s="34">
        <v>1</v>
      </c>
      <c r="F1416" s="38">
        <f t="shared" si="229"/>
        <v>20253.92113287653</v>
      </c>
      <c r="G1416" s="34">
        <f t="shared" si="230"/>
        <v>16</v>
      </c>
      <c r="H1416" s="34">
        <f t="shared" si="231"/>
        <v>4</v>
      </c>
      <c r="I1416" s="34" t="str">
        <f t="shared" si="234"/>
        <v/>
      </c>
      <c r="J1416" s="34" t="str">
        <f t="shared" si="234"/>
        <v/>
      </c>
      <c r="K1416" s="34" t="str">
        <f t="shared" si="234"/>
        <v/>
      </c>
      <c r="L1416" s="34" t="str">
        <f t="shared" si="234"/>
        <v/>
      </c>
      <c r="M1416" s="34" t="str">
        <f t="shared" si="234"/>
        <v/>
      </c>
      <c r="N1416" s="34" t="str">
        <f t="shared" si="234"/>
        <v/>
      </c>
      <c r="O1416" s="34" t="str">
        <f t="shared" si="234"/>
        <v/>
      </c>
      <c r="P1416" s="34">
        <f t="shared" si="234"/>
        <v>84</v>
      </c>
      <c r="Q1416" s="34">
        <f t="shared" si="234"/>
        <v>96</v>
      </c>
      <c r="R1416" s="34">
        <f t="shared" si="234"/>
        <v>108</v>
      </c>
      <c r="S1416" s="35">
        <f t="shared" si="233"/>
        <v>84</v>
      </c>
    </row>
    <row r="1417" spans="2:19" hidden="1" outlineLevel="1">
      <c r="B1417" s="14" t="s">
        <v>116</v>
      </c>
      <c r="C1417" s="15" t="s">
        <v>66</v>
      </c>
      <c r="D1417" s="52">
        <v>2033</v>
      </c>
      <c r="E1417" s="34">
        <v>2</v>
      </c>
      <c r="F1417" s="38">
        <f t="shared" si="229"/>
        <v>20253.92113287653</v>
      </c>
      <c r="G1417" s="34">
        <f t="shared" si="230"/>
        <v>16</v>
      </c>
      <c r="H1417" s="34">
        <f t="shared" si="231"/>
        <v>4</v>
      </c>
      <c r="I1417" s="34" t="str">
        <f t="shared" si="234"/>
        <v/>
      </c>
      <c r="J1417" s="34" t="str">
        <f t="shared" si="234"/>
        <v/>
      </c>
      <c r="K1417" s="34" t="str">
        <f t="shared" si="234"/>
        <v/>
      </c>
      <c r="L1417" s="34" t="str">
        <f t="shared" si="234"/>
        <v/>
      </c>
      <c r="M1417" s="34" t="str">
        <f t="shared" si="234"/>
        <v/>
      </c>
      <c r="N1417" s="34" t="str">
        <f t="shared" si="234"/>
        <v/>
      </c>
      <c r="O1417" s="34" t="str">
        <f t="shared" si="234"/>
        <v/>
      </c>
      <c r="P1417" s="34">
        <f t="shared" si="234"/>
        <v>84</v>
      </c>
      <c r="Q1417" s="34">
        <f t="shared" si="234"/>
        <v>95</v>
      </c>
      <c r="R1417" s="34">
        <f t="shared" si="234"/>
        <v>107</v>
      </c>
      <c r="S1417" s="35">
        <f t="shared" si="233"/>
        <v>84</v>
      </c>
    </row>
    <row r="1418" spans="2:19" hidden="1" outlineLevel="1">
      <c r="B1418" s="14" t="s">
        <v>116</v>
      </c>
      <c r="C1418" s="15" t="s">
        <v>66</v>
      </c>
      <c r="D1418" s="52">
        <v>2033</v>
      </c>
      <c r="E1418" s="34">
        <v>3</v>
      </c>
      <c r="F1418" s="38">
        <f t="shared" si="229"/>
        <v>20253.92113287653</v>
      </c>
      <c r="G1418" s="34">
        <f t="shared" si="230"/>
        <v>16</v>
      </c>
      <c r="H1418" s="34">
        <f t="shared" si="231"/>
        <v>4</v>
      </c>
      <c r="I1418" s="34" t="str">
        <f t="shared" si="234"/>
        <v/>
      </c>
      <c r="J1418" s="34" t="str">
        <f t="shared" si="234"/>
        <v/>
      </c>
      <c r="K1418" s="34" t="str">
        <f t="shared" si="234"/>
        <v/>
      </c>
      <c r="L1418" s="34" t="str">
        <f t="shared" si="234"/>
        <v/>
      </c>
      <c r="M1418" s="34" t="str">
        <f t="shared" si="234"/>
        <v/>
      </c>
      <c r="N1418" s="34" t="str">
        <f t="shared" si="234"/>
        <v/>
      </c>
      <c r="O1418" s="34" t="str">
        <f t="shared" si="234"/>
        <v/>
      </c>
      <c r="P1418" s="34">
        <f t="shared" si="234"/>
        <v>84</v>
      </c>
      <c r="Q1418" s="34">
        <f t="shared" si="234"/>
        <v>94</v>
      </c>
      <c r="R1418" s="34">
        <f t="shared" si="234"/>
        <v>106</v>
      </c>
      <c r="S1418" s="35">
        <f t="shared" si="233"/>
        <v>84</v>
      </c>
    </row>
    <row r="1419" spans="2:19" hidden="1" outlineLevel="1">
      <c r="B1419" s="14" t="s">
        <v>116</v>
      </c>
      <c r="C1419" s="15" t="s">
        <v>66</v>
      </c>
      <c r="D1419" s="52">
        <v>2033</v>
      </c>
      <c r="E1419" s="34">
        <v>4</v>
      </c>
      <c r="F1419" s="38">
        <f t="shared" si="229"/>
        <v>20253.92113287653</v>
      </c>
      <c r="G1419" s="34">
        <f t="shared" si="230"/>
        <v>16</v>
      </c>
      <c r="H1419" s="34">
        <f t="shared" si="231"/>
        <v>4</v>
      </c>
      <c r="I1419" s="34" t="str">
        <f t="shared" si="234"/>
        <v/>
      </c>
      <c r="J1419" s="34" t="str">
        <f t="shared" si="234"/>
        <v/>
      </c>
      <c r="K1419" s="34" t="str">
        <f t="shared" si="234"/>
        <v/>
      </c>
      <c r="L1419" s="34" t="str">
        <f t="shared" si="234"/>
        <v/>
      </c>
      <c r="M1419" s="34" t="str">
        <f t="shared" si="234"/>
        <v/>
      </c>
      <c r="N1419" s="34" t="str">
        <f t="shared" si="234"/>
        <v/>
      </c>
      <c r="O1419" s="34" t="str">
        <f t="shared" si="234"/>
        <v/>
      </c>
      <c r="P1419" s="34">
        <f t="shared" si="234"/>
        <v>84</v>
      </c>
      <c r="Q1419" s="34">
        <f t="shared" si="234"/>
        <v>93</v>
      </c>
      <c r="R1419" s="34">
        <f t="shared" si="234"/>
        <v>105</v>
      </c>
      <c r="S1419" s="35">
        <f t="shared" si="233"/>
        <v>84</v>
      </c>
    </row>
    <row r="1420" spans="2:19" hidden="1" outlineLevel="1">
      <c r="B1420" s="14" t="s">
        <v>116</v>
      </c>
      <c r="C1420" s="15" t="s">
        <v>66</v>
      </c>
      <c r="D1420" s="52">
        <v>2033</v>
      </c>
      <c r="E1420" s="34">
        <v>5</v>
      </c>
      <c r="F1420" s="38">
        <f t="shared" si="229"/>
        <v>20253.92113287653</v>
      </c>
      <c r="G1420" s="34">
        <f t="shared" si="230"/>
        <v>16</v>
      </c>
      <c r="H1420" s="34">
        <f t="shared" si="231"/>
        <v>4</v>
      </c>
      <c r="I1420" s="34" t="str">
        <f t="shared" ref="I1420:R1429" si="235">IF($D1420&lt;$Z$18,"",IF(MAX($G1420,INDEX($C$65:$F$108,$D1420+I$119-2026,$H1420))&lt;=12*I$119-$E1420+12,MAX($G1420,12*I$119-$E1420+1,INDEX($C$65:$F$108,$D1420+I$119-2026,$H1420)),""))</f>
        <v/>
      </c>
      <c r="J1420" s="34" t="str">
        <f t="shared" si="235"/>
        <v/>
      </c>
      <c r="K1420" s="34" t="str">
        <f t="shared" si="235"/>
        <v/>
      </c>
      <c r="L1420" s="34" t="str">
        <f t="shared" si="235"/>
        <v/>
      </c>
      <c r="M1420" s="34" t="str">
        <f t="shared" si="235"/>
        <v/>
      </c>
      <c r="N1420" s="34" t="str">
        <f t="shared" si="235"/>
        <v/>
      </c>
      <c r="O1420" s="34" t="str">
        <f t="shared" si="235"/>
        <v/>
      </c>
      <c r="P1420" s="34">
        <f t="shared" si="235"/>
        <v>84</v>
      </c>
      <c r="Q1420" s="34">
        <f t="shared" si="235"/>
        <v>92</v>
      </c>
      <c r="R1420" s="34">
        <f t="shared" si="235"/>
        <v>104</v>
      </c>
      <c r="S1420" s="35">
        <f t="shared" si="233"/>
        <v>84</v>
      </c>
    </row>
    <row r="1421" spans="2:19" hidden="1" outlineLevel="1">
      <c r="B1421" s="14" t="s">
        <v>116</v>
      </c>
      <c r="C1421" s="15" t="s">
        <v>66</v>
      </c>
      <c r="D1421" s="52">
        <v>2033</v>
      </c>
      <c r="E1421" s="34">
        <v>6</v>
      </c>
      <c r="F1421" s="38">
        <f t="shared" si="229"/>
        <v>20253.92113287653</v>
      </c>
      <c r="G1421" s="34">
        <f t="shared" si="230"/>
        <v>16</v>
      </c>
      <c r="H1421" s="34">
        <f t="shared" si="231"/>
        <v>4</v>
      </c>
      <c r="I1421" s="34" t="str">
        <f t="shared" si="235"/>
        <v/>
      </c>
      <c r="J1421" s="34" t="str">
        <f t="shared" si="235"/>
        <v/>
      </c>
      <c r="K1421" s="34" t="str">
        <f t="shared" si="235"/>
        <v/>
      </c>
      <c r="L1421" s="34" t="str">
        <f t="shared" si="235"/>
        <v/>
      </c>
      <c r="M1421" s="34" t="str">
        <f t="shared" si="235"/>
        <v/>
      </c>
      <c r="N1421" s="34" t="str">
        <f t="shared" si="235"/>
        <v/>
      </c>
      <c r="O1421" s="34" t="str">
        <f t="shared" si="235"/>
        <v/>
      </c>
      <c r="P1421" s="34">
        <f t="shared" si="235"/>
        <v>84</v>
      </c>
      <c r="Q1421" s="34">
        <f t="shared" si="235"/>
        <v>91</v>
      </c>
      <c r="R1421" s="34">
        <f t="shared" si="235"/>
        <v>103</v>
      </c>
      <c r="S1421" s="35">
        <f t="shared" si="233"/>
        <v>84</v>
      </c>
    </row>
    <row r="1422" spans="2:19" hidden="1" outlineLevel="1">
      <c r="B1422" s="14" t="s">
        <v>116</v>
      </c>
      <c r="C1422" s="15" t="s">
        <v>66</v>
      </c>
      <c r="D1422" s="52">
        <v>2033</v>
      </c>
      <c r="E1422" s="34">
        <v>7</v>
      </c>
      <c r="F1422" s="38">
        <f t="shared" si="229"/>
        <v>20253.92113287653</v>
      </c>
      <c r="G1422" s="34">
        <f t="shared" si="230"/>
        <v>16</v>
      </c>
      <c r="H1422" s="34">
        <f t="shared" si="231"/>
        <v>4</v>
      </c>
      <c r="I1422" s="34" t="str">
        <f t="shared" si="235"/>
        <v/>
      </c>
      <c r="J1422" s="34" t="str">
        <f t="shared" si="235"/>
        <v/>
      </c>
      <c r="K1422" s="34" t="str">
        <f t="shared" si="235"/>
        <v/>
      </c>
      <c r="L1422" s="34" t="str">
        <f t="shared" si="235"/>
        <v/>
      </c>
      <c r="M1422" s="34" t="str">
        <f t="shared" si="235"/>
        <v/>
      </c>
      <c r="N1422" s="34" t="str">
        <f t="shared" si="235"/>
        <v/>
      </c>
      <c r="O1422" s="34" t="str">
        <f t="shared" si="235"/>
        <v/>
      </c>
      <c r="P1422" s="34">
        <f t="shared" si="235"/>
        <v>84</v>
      </c>
      <c r="Q1422" s="34">
        <f t="shared" si="235"/>
        <v>90</v>
      </c>
      <c r="R1422" s="34">
        <f t="shared" si="235"/>
        <v>102</v>
      </c>
      <c r="S1422" s="35">
        <f t="shared" si="233"/>
        <v>84</v>
      </c>
    </row>
    <row r="1423" spans="2:19" hidden="1" outlineLevel="1">
      <c r="B1423" s="14" t="s">
        <v>116</v>
      </c>
      <c r="C1423" s="15" t="s">
        <v>66</v>
      </c>
      <c r="D1423" s="52">
        <v>2033</v>
      </c>
      <c r="E1423" s="34">
        <v>8</v>
      </c>
      <c r="F1423" s="38">
        <f t="shared" si="229"/>
        <v>20253.92113287653</v>
      </c>
      <c r="G1423" s="34">
        <f t="shared" si="230"/>
        <v>16</v>
      </c>
      <c r="H1423" s="34">
        <f t="shared" si="231"/>
        <v>4</v>
      </c>
      <c r="I1423" s="34" t="str">
        <f t="shared" si="235"/>
        <v/>
      </c>
      <c r="J1423" s="34" t="str">
        <f t="shared" si="235"/>
        <v/>
      </c>
      <c r="K1423" s="34" t="str">
        <f t="shared" si="235"/>
        <v/>
      </c>
      <c r="L1423" s="34" t="str">
        <f t="shared" si="235"/>
        <v/>
      </c>
      <c r="M1423" s="34" t="str">
        <f t="shared" si="235"/>
        <v/>
      </c>
      <c r="N1423" s="34" t="str">
        <f t="shared" si="235"/>
        <v/>
      </c>
      <c r="O1423" s="34" t="str">
        <f t="shared" si="235"/>
        <v/>
      </c>
      <c r="P1423" s="34">
        <f t="shared" si="235"/>
        <v>84</v>
      </c>
      <c r="Q1423" s="34">
        <f t="shared" si="235"/>
        <v>89</v>
      </c>
      <c r="R1423" s="34">
        <f t="shared" si="235"/>
        <v>101</v>
      </c>
      <c r="S1423" s="35">
        <f t="shared" si="233"/>
        <v>84</v>
      </c>
    </row>
    <row r="1424" spans="2:19" hidden="1" outlineLevel="1">
      <c r="B1424" s="14" t="s">
        <v>116</v>
      </c>
      <c r="C1424" s="15" t="s">
        <v>66</v>
      </c>
      <c r="D1424" s="52">
        <v>2033</v>
      </c>
      <c r="E1424" s="34">
        <v>9</v>
      </c>
      <c r="F1424" s="38">
        <f t="shared" si="229"/>
        <v>20253.92113287653</v>
      </c>
      <c r="G1424" s="34">
        <f t="shared" si="230"/>
        <v>16</v>
      </c>
      <c r="H1424" s="34">
        <f t="shared" si="231"/>
        <v>4</v>
      </c>
      <c r="I1424" s="34" t="str">
        <f t="shared" si="235"/>
        <v/>
      </c>
      <c r="J1424" s="34" t="str">
        <f t="shared" si="235"/>
        <v/>
      </c>
      <c r="K1424" s="34" t="str">
        <f t="shared" si="235"/>
        <v/>
      </c>
      <c r="L1424" s="34" t="str">
        <f t="shared" si="235"/>
        <v/>
      </c>
      <c r="M1424" s="34" t="str">
        <f t="shared" si="235"/>
        <v/>
      </c>
      <c r="N1424" s="34" t="str">
        <f t="shared" si="235"/>
        <v/>
      </c>
      <c r="O1424" s="34" t="str">
        <f t="shared" si="235"/>
        <v/>
      </c>
      <c r="P1424" s="34">
        <f t="shared" si="235"/>
        <v>84</v>
      </c>
      <c r="Q1424" s="34">
        <f t="shared" si="235"/>
        <v>88</v>
      </c>
      <c r="R1424" s="34">
        <f t="shared" si="235"/>
        <v>100</v>
      </c>
      <c r="S1424" s="35">
        <f t="shared" si="233"/>
        <v>84</v>
      </c>
    </row>
    <row r="1425" spans="2:19" hidden="1" outlineLevel="1">
      <c r="B1425" s="14" t="s">
        <v>116</v>
      </c>
      <c r="C1425" s="15" t="s">
        <v>66</v>
      </c>
      <c r="D1425" s="52">
        <v>2033</v>
      </c>
      <c r="E1425" s="34">
        <v>10</v>
      </c>
      <c r="F1425" s="38">
        <f t="shared" si="229"/>
        <v>20253.92113287653</v>
      </c>
      <c r="G1425" s="34">
        <f t="shared" si="230"/>
        <v>16</v>
      </c>
      <c r="H1425" s="34">
        <f t="shared" si="231"/>
        <v>4</v>
      </c>
      <c r="I1425" s="34" t="str">
        <f t="shared" si="235"/>
        <v/>
      </c>
      <c r="J1425" s="34" t="str">
        <f t="shared" si="235"/>
        <v/>
      </c>
      <c r="K1425" s="34" t="str">
        <f t="shared" si="235"/>
        <v/>
      </c>
      <c r="L1425" s="34" t="str">
        <f t="shared" si="235"/>
        <v/>
      </c>
      <c r="M1425" s="34" t="str">
        <f t="shared" si="235"/>
        <v/>
      </c>
      <c r="N1425" s="34" t="str">
        <f t="shared" si="235"/>
        <v/>
      </c>
      <c r="O1425" s="34" t="str">
        <f t="shared" si="235"/>
        <v/>
      </c>
      <c r="P1425" s="34">
        <f t="shared" si="235"/>
        <v>84</v>
      </c>
      <c r="Q1425" s="34">
        <f t="shared" si="235"/>
        <v>87</v>
      </c>
      <c r="R1425" s="34">
        <f t="shared" si="235"/>
        <v>99</v>
      </c>
      <c r="S1425" s="35">
        <f t="shared" si="233"/>
        <v>84</v>
      </c>
    </row>
    <row r="1426" spans="2:19" hidden="1" outlineLevel="1">
      <c r="B1426" s="14" t="s">
        <v>116</v>
      </c>
      <c r="C1426" s="15" t="s">
        <v>66</v>
      </c>
      <c r="D1426" s="52">
        <v>2033</v>
      </c>
      <c r="E1426" s="34">
        <v>11</v>
      </c>
      <c r="F1426" s="38">
        <f t="shared" si="229"/>
        <v>20253.92113287653</v>
      </c>
      <c r="G1426" s="34">
        <f t="shared" si="230"/>
        <v>16</v>
      </c>
      <c r="H1426" s="34">
        <f t="shared" si="231"/>
        <v>4</v>
      </c>
      <c r="I1426" s="34" t="str">
        <f t="shared" si="235"/>
        <v/>
      </c>
      <c r="J1426" s="34" t="str">
        <f t="shared" si="235"/>
        <v/>
      </c>
      <c r="K1426" s="34" t="str">
        <f t="shared" si="235"/>
        <v/>
      </c>
      <c r="L1426" s="34" t="str">
        <f t="shared" si="235"/>
        <v/>
      </c>
      <c r="M1426" s="34" t="str">
        <f t="shared" si="235"/>
        <v/>
      </c>
      <c r="N1426" s="34" t="str">
        <f t="shared" si="235"/>
        <v/>
      </c>
      <c r="O1426" s="34" t="str">
        <f t="shared" si="235"/>
        <v/>
      </c>
      <c r="P1426" s="34">
        <f t="shared" si="235"/>
        <v>84</v>
      </c>
      <c r="Q1426" s="34">
        <f t="shared" si="235"/>
        <v>86</v>
      </c>
      <c r="R1426" s="34">
        <f t="shared" si="235"/>
        <v>98</v>
      </c>
      <c r="S1426" s="35">
        <f t="shared" si="233"/>
        <v>84</v>
      </c>
    </row>
    <row r="1427" spans="2:19" hidden="1" outlineLevel="1">
      <c r="B1427" s="14" t="s">
        <v>116</v>
      </c>
      <c r="C1427" s="15" t="s">
        <v>66</v>
      </c>
      <c r="D1427" s="52">
        <v>2033</v>
      </c>
      <c r="E1427" s="34">
        <v>12</v>
      </c>
      <c r="F1427" s="38">
        <f t="shared" si="229"/>
        <v>20253.92113287653</v>
      </c>
      <c r="G1427" s="34">
        <f t="shared" si="230"/>
        <v>16</v>
      </c>
      <c r="H1427" s="34">
        <f t="shared" si="231"/>
        <v>4</v>
      </c>
      <c r="I1427" s="34" t="str">
        <f t="shared" si="235"/>
        <v/>
      </c>
      <c r="J1427" s="34" t="str">
        <f t="shared" si="235"/>
        <v/>
      </c>
      <c r="K1427" s="34" t="str">
        <f t="shared" si="235"/>
        <v/>
      </c>
      <c r="L1427" s="34" t="str">
        <f t="shared" si="235"/>
        <v/>
      </c>
      <c r="M1427" s="34" t="str">
        <f t="shared" si="235"/>
        <v/>
      </c>
      <c r="N1427" s="34" t="str">
        <f t="shared" si="235"/>
        <v/>
      </c>
      <c r="O1427" s="34" t="str">
        <f t="shared" si="235"/>
        <v/>
      </c>
      <c r="P1427" s="34">
        <f t="shared" si="235"/>
        <v>84</v>
      </c>
      <c r="Q1427" s="34">
        <f t="shared" si="235"/>
        <v>85</v>
      </c>
      <c r="R1427" s="34">
        <f t="shared" si="235"/>
        <v>97</v>
      </c>
      <c r="S1427" s="35">
        <f t="shared" si="233"/>
        <v>84</v>
      </c>
    </row>
    <row r="1428" spans="2:19" hidden="1" outlineLevel="1">
      <c r="B1428" s="14" t="s">
        <v>116</v>
      </c>
      <c r="C1428" s="15" t="s">
        <v>66</v>
      </c>
      <c r="D1428" s="52">
        <v>2034</v>
      </c>
      <c r="E1428" s="34">
        <v>1</v>
      </c>
      <c r="F1428" s="38">
        <f t="shared" si="229"/>
        <v>20849.566266993184</v>
      </c>
      <c r="G1428" s="34">
        <f t="shared" si="230"/>
        <v>16</v>
      </c>
      <c r="H1428" s="34">
        <f t="shared" si="231"/>
        <v>4</v>
      </c>
      <c r="I1428" s="34" t="str">
        <f t="shared" si="235"/>
        <v/>
      </c>
      <c r="J1428" s="34" t="str">
        <f t="shared" si="235"/>
        <v/>
      </c>
      <c r="K1428" s="34" t="str">
        <f t="shared" si="235"/>
        <v/>
      </c>
      <c r="L1428" s="34" t="str">
        <f t="shared" si="235"/>
        <v/>
      </c>
      <c r="M1428" s="34" t="str">
        <f t="shared" si="235"/>
        <v/>
      </c>
      <c r="N1428" s="34" t="str">
        <f t="shared" si="235"/>
        <v/>
      </c>
      <c r="O1428" s="34" t="str">
        <f t="shared" si="235"/>
        <v/>
      </c>
      <c r="P1428" s="34">
        <f t="shared" si="235"/>
        <v>84</v>
      </c>
      <c r="Q1428" s="34">
        <f t="shared" si="235"/>
        <v>96</v>
      </c>
      <c r="R1428" s="34">
        <f t="shared" si="235"/>
        <v>108</v>
      </c>
      <c r="S1428" s="35">
        <f t="shared" si="233"/>
        <v>84</v>
      </c>
    </row>
    <row r="1429" spans="2:19" hidden="1" outlineLevel="1">
      <c r="B1429" s="14" t="s">
        <v>116</v>
      </c>
      <c r="C1429" s="15" t="s">
        <v>66</v>
      </c>
      <c r="D1429" s="52">
        <v>2034</v>
      </c>
      <c r="E1429" s="34">
        <v>2</v>
      </c>
      <c r="F1429" s="38">
        <f t="shared" si="229"/>
        <v>20849.566266993184</v>
      </c>
      <c r="G1429" s="34">
        <f t="shared" si="230"/>
        <v>16</v>
      </c>
      <c r="H1429" s="34">
        <f t="shared" si="231"/>
        <v>4</v>
      </c>
      <c r="I1429" s="34" t="str">
        <f t="shared" si="235"/>
        <v/>
      </c>
      <c r="J1429" s="34" t="str">
        <f t="shared" si="235"/>
        <v/>
      </c>
      <c r="K1429" s="34" t="str">
        <f t="shared" si="235"/>
        <v/>
      </c>
      <c r="L1429" s="34" t="str">
        <f t="shared" si="235"/>
        <v/>
      </c>
      <c r="M1429" s="34" t="str">
        <f t="shared" si="235"/>
        <v/>
      </c>
      <c r="N1429" s="34" t="str">
        <f t="shared" si="235"/>
        <v/>
      </c>
      <c r="O1429" s="34" t="str">
        <f t="shared" si="235"/>
        <v/>
      </c>
      <c r="P1429" s="34">
        <f t="shared" si="235"/>
        <v>84</v>
      </c>
      <c r="Q1429" s="34">
        <f t="shared" si="235"/>
        <v>95</v>
      </c>
      <c r="R1429" s="34">
        <f t="shared" si="235"/>
        <v>107</v>
      </c>
      <c r="S1429" s="35">
        <f t="shared" si="233"/>
        <v>84</v>
      </c>
    </row>
    <row r="1430" spans="2:19" hidden="1" outlineLevel="1">
      <c r="B1430" s="14" t="s">
        <v>116</v>
      </c>
      <c r="C1430" s="15" t="s">
        <v>66</v>
      </c>
      <c r="D1430" s="52">
        <v>2034</v>
      </c>
      <c r="E1430" s="34">
        <v>3</v>
      </c>
      <c r="F1430" s="38">
        <f t="shared" si="229"/>
        <v>20849.566266993184</v>
      </c>
      <c r="G1430" s="34">
        <f t="shared" si="230"/>
        <v>16</v>
      </c>
      <c r="H1430" s="34">
        <f t="shared" si="231"/>
        <v>4</v>
      </c>
      <c r="I1430" s="34" t="str">
        <f t="shared" ref="I1430:R1439" si="236">IF($D1430&lt;$Z$18,"",IF(MAX($G1430,INDEX($C$65:$F$108,$D1430+I$119-2026,$H1430))&lt;=12*I$119-$E1430+12,MAX($G1430,12*I$119-$E1430+1,INDEX($C$65:$F$108,$D1430+I$119-2026,$H1430)),""))</f>
        <v/>
      </c>
      <c r="J1430" s="34" t="str">
        <f t="shared" si="236"/>
        <v/>
      </c>
      <c r="K1430" s="34" t="str">
        <f t="shared" si="236"/>
        <v/>
      </c>
      <c r="L1430" s="34" t="str">
        <f t="shared" si="236"/>
        <v/>
      </c>
      <c r="M1430" s="34" t="str">
        <f t="shared" si="236"/>
        <v/>
      </c>
      <c r="N1430" s="34" t="str">
        <f t="shared" si="236"/>
        <v/>
      </c>
      <c r="O1430" s="34" t="str">
        <f t="shared" si="236"/>
        <v/>
      </c>
      <c r="P1430" s="34">
        <f t="shared" si="236"/>
        <v>84</v>
      </c>
      <c r="Q1430" s="34">
        <f t="shared" si="236"/>
        <v>94</v>
      </c>
      <c r="R1430" s="34">
        <f t="shared" si="236"/>
        <v>106</v>
      </c>
      <c r="S1430" s="35">
        <f t="shared" si="233"/>
        <v>84</v>
      </c>
    </row>
    <row r="1431" spans="2:19" hidden="1" outlineLevel="1">
      <c r="B1431" s="14" t="s">
        <v>116</v>
      </c>
      <c r="C1431" s="15" t="s">
        <v>66</v>
      </c>
      <c r="D1431" s="52">
        <v>2034</v>
      </c>
      <c r="E1431" s="34">
        <v>4</v>
      </c>
      <c r="F1431" s="38">
        <f t="shared" si="229"/>
        <v>20849.566266993184</v>
      </c>
      <c r="G1431" s="34">
        <f t="shared" si="230"/>
        <v>16</v>
      </c>
      <c r="H1431" s="34">
        <f t="shared" si="231"/>
        <v>4</v>
      </c>
      <c r="I1431" s="34" t="str">
        <f t="shared" si="236"/>
        <v/>
      </c>
      <c r="J1431" s="34" t="str">
        <f t="shared" si="236"/>
        <v/>
      </c>
      <c r="K1431" s="34" t="str">
        <f t="shared" si="236"/>
        <v/>
      </c>
      <c r="L1431" s="34" t="str">
        <f t="shared" si="236"/>
        <v/>
      </c>
      <c r="M1431" s="34" t="str">
        <f t="shared" si="236"/>
        <v/>
      </c>
      <c r="N1431" s="34" t="str">
        <f t="shared" si="236"/>
        <v/>
      </c>
      <c r="O1431" s="34" t="str">
        <f t="shared" si="236"/>
        <v/>
      </c>
      <c r="P1431" s="34">
        <f t="shared" si="236"/>
        <v>84</v>
      </c>
      <c r="Q1431" s="34">
        <f t="shared" si="236"/>
        <v>93</v>
      </c>
      <c r="R1431" s="34">
        <f t="shared" si="236"/>
        <v>105</v>
      </c>
      <c r="S1431" s="35">
        <f t="shared" si="233"/>
        <v>84</v>
      </c>
    </row>
    <row r="1432" spans="2:19" hidden="1" outlineLevel="1">
      <c r="B1432" s="14" t="s">
        <v>116</v>
      </c>
      <c r="C1432" s="15" t="s">
        <v>66</v>
      </c>
      <c r="D1432" s="52">
        <v>2034</v>
      </c>
      <c r="E1432" s="34">
        <v>5</v>
      </c>
      <c r="F1432" s="38">
        <f t="shared" si="229"/>
        <v>20849.566266993184</v>
      </c>
      <c r="G1432" s="34">
        <f t="shared" si="230"/>
        <v>16</v>
      </c>
      <c r="H1432" s="34">
        <f t="shared" si="231"/>
        <v>4</v>
      </c>
      <c r="I1432" s="34" t="str">
        <f t="shared" si="236"/>
        <v/>
      </c>
      <c r="J1432" s="34" t="str">
        <f t="shared" si="236"/>
        <v/>
      </c>
      <c r="K1432" s="34" t="str">
        <f t="shared" si="236"/>
        <v/>
      </c>
      <c r="L1432" s="34" t="str">
        <f t="shared" si="236"/>
        <v/>
      </c>
      <c r="M1432" s="34" t="str">
        <f t="shared" si="236"/>
        <v/>
      </c>
      <c r="N1432" s="34" t="str">
        <f t="shared" si="236"/>
        <v/>
      </c>
      <c r="O1432" s="34" t="str">
        <f t="shared" si="236"/>
        <v/>
      </c>
      <c r="P1432" s="34">
        <f t="shared" si="236"/>
        <v>84</v>
      </c>
      <c r="Q1432" s="34">
        <f t="shared" si="236"/>
        <v>92</v>
      </c>
      <c r="R1432" s="34">
        <f t="shared" si="236"/>
        <v>104</v>
      </c>
      <c r="S1432" s="35">
        <f t="shared" si="233"/>
        <v>84</v>
      </c>
    </row>
    <row r="1433" spans="2:19" hidden="1" outlineLevel="1">
      <c r="B1433" s="14" t="s">
        <v>116</v>
      </c>
      <c r="C1433" s="15" t="s">
        <v>66</v>
      </c>
      <c r="D1433" s="52">
        <v>2034</v>
      </c>
      <c r="E1433" s="34">
        <v>6</v>
      </c>
      <c r="F1433" s="38">
        <f t="shared" si="229"/>
        <v>20849.566266993184</v>
      </c>
      <c r="G1433" s="34">
        <f t="shared" si="230"/>
        <v>16</v>
      </c>
      <c r="H1433" s="34">
        <f t="shared" si="231"/>
        <v>4</v>
      </c>
      <c r="I1433" s="34" t="str">
        <f t="shared" si="236"/>
        <v/>
      </c>
      <c r="J1433" s="34" t="str">
        <f t="shared" si="236"/>
        <v/>
      </c>
      <c r="K1433" s="34" t="str">
        <f t="shared" si="236"/>
        <v/>
      </c>
      <c r="L1433" s="34" t="str">
        <f t="shared" si="236"/>
        <v/>
      </c>
      <c r="M1433" s="34" t="str">
        <f t="shared" si="236"/>
        <v/>
      </c>
      <c r="N1433" s="34" t="str">
        <f t="shared" si="236"/>
        <v/>
      </c>
      <c r="O1433" s="34" t="str">
        <f t="shared" si="236"/>
        <v/>
      </c>
      <c r="P1433" s="34">
        <f t="shared" si="236"/>
        <v>84</v>
      </c>
      <c r="Q1433" s="34">
        <f t="shared" si="236"/>
        <v>91</v>
      </c>
      <c r="R1433" s="34">
        <f t="shared" si="236"/>
        <v>103</v>
      </c>
      <c r="S1433" s="35">
        <f t="shared" si="233"/>
        <v>84</v>
      </c>
    </row>
    <row r="1434" spans="2:19" hidden="1" outlineLevel="1">
      <c r="B1434" s="14" t="s">
        <v>116</v>
      </c>
      <c r="C1434" s="15" t="s">
        <v>66</v>
      </c>
      <c r="D1434" s="52">
        <v>2034</v>
      </c>
      <c r="E1434" s="34">
        <v>7</v>
      </c>
      <c r="F1434" s="38">
        <f t="shared" si="229"/>
        <v>20849.566266993184</v>
      </c>
      <c r="G1434" s="34">
        <f t="shared" si="230"/>
        <v>16</v>
      </c>
      <c r="H1434" s="34">
        <f t="shared" si="231"/>
        <v>4</v>
      </c>
      <c r="I1434" s="34" t="str">
        <f t="shared" si="236"/>
        <v/>
      </c>
      <c r="J1434" s="34" t="str">
        <f t="shared" si="236"/>
        <v/>
      </c>
      <c r="K1434" s="34" t="str">
        <f t="shared" si="236"/>
        <v/>
      </c>
      <c r="L1434" s="34" t="str">
        <f t="shared" si="236"/>
        <v/>
      </c>
      <c r="M1434" s="34" t="str">
        <f t="shared" si="236"/>
        <v/>
      </c>
      <c r="N1434" s="34" t="str">
        <f t="shared" si="236"/>
        <v/>
      </c>
      <c r="O1434" s="34" t="str">
        <f t="shared" si="236"/>
        <v/>
      </c>
      <c r="P1434" s="34">
        <f t="shared" si="236"/>
        <v>84</v>
      </c>
      <c r="Q1434" s="34">
        <f t="shared" si="236"/>
        <v>90</v>
      </c>
      <c r="R1434" s="34">
        <f t="shared" si="236"/>
        <v>102</v>
      </c>
      <c r="S1434" s="35">
        <f t="shared" si="233"/>
        <v>84</v>
      </c>
    </row>
    <row r="1435" spans="2:19" hidden="1" outlineLevel="1">
      <c r="B1435" s="14" t="s">
        <v>116</v>
      </c>
      <c r="C1435" s="15" t="s">
        <v>66</v>
      </c>
      <c r="D1435" s="52">
        <v>2034</v>
      </c>
      <c r="E1435" s="34">
        <v>8</v>
      </c>
      <c r="F1435" s="38">
        <f t="shared" si="229"/>
        <v>20849.566266993184</v>
      </c>
      <c r="G1435" s="34">
        <f t="shared" si="230"/>
        <v>16</v>
      </c>
      <c r="H1435" s="34">
        <f t="shared" si="231"/>
        <v>4</v>
      </c>
      <c r="I1435" s="34" t="str">
        <f t="shared" si="236"/>
        <v/>
      </c>
      <c r="J1435" s="34" t="str">
        <f t="shared" si="236"/>
        <v/>
      </c>
      <c r="K1435" s="34" t="str">
        <f t="shared" si="236"/>
        <v/>
      </c>
      <c r="L1435" s="34" t="str">
        <f t="shared" si="236"/>
        <v/>
      </c>
      <c r="M1435" s="34" t="str">
        <f t="shared" si="236"/>
        <v/>
      </c>
      <c r="N1435" s="34" t="str">
        <f t="shared" si="236"/>
        <v/>
      </c>
      <c r="O1435" s="34" t="str">
        <f t="shared" si="236"/>
        <v/>
      </c>
      <c r="P1435" s="34">
        <f t="shared" si="236"/>
        <v>84</v>
      </c>
      <c r="Q1435" s="34">
        <f t="shared" si="236"/>
        <v>89</v>
      </c>
      <c r="R1435" s="34">
        <f t="shared" si="236"/>
        <v>101</v>
      </c>
      <c r="S1435" s="35">
        <f t="shared" si="233"/>
        <v>84</v>
      </c>
    </row>
    <row r="1436" spans="2:19" hidden="1" outlineLevel="1">
      <c r="B1436" s="14" t="s">
        <v>116</v>
      </c>
      <c r="C1436" s="15" t="s">
        <v>66</v>
      </c>
      <c r="D1436" s="52">
        <v>2034</v>
      </c>
      <c r="E1436" s="34">
        <v>9</v>
      </c>
      <c r="F1436" s="38">
        <f t="shared" si="229"/>
        <v>20849.566266993184</v>
      </c>
      <c r="G1436" s="34">
        <f t="shared" si="230"/>
        <v>16</v>
      </c>
      <c r="H1436" s="34">
        <f t="shared" si="231"/>
        <v>4</v>
      </c>
      <c r="I1436" s="34" t="str">
        <f t="shared" si="236"/>
        <v/>
      </c>
      <c r="J1436" s="34" t="str">
        <f t="shared" si="236"/>
        <v/>
      </c>
      <c r="K1436" s="34" t="str">
        <f t="shared" si="236"/>
        <v/>
      </c>
      <c r="L1436" s="34" t="str">
        <f t="shared" si="236"/>
        <v/>
      </c>
      <c r="M1436" s="34" t="str">
        <f t="shared" si="236"/>
        <v/>
      </c>
      <c r="N1436" s="34" t="str">
        <f t="shared" si="236"/>
        <v/>
      </c>
      <c r="O1436" s="34" t="str">
        <f t="shared" si="236"/>
        <v/>
      </c>
      <c r="P1436" s="34">
        <f t="shared" si="236"/>
        <v>84</v>
      </c>
      <c r="Q1436" s="34">
        <f t="shared" si="236"/>
        <v>88</v>
      </c>
      <c r="R1436" s="34">
        <f t="shared" si="236"/>
        <v>100</v>
      </c>
      <c r="S1436" s="35">
        <f t="shared" si="233"/>
        <v>84</v>
      </c>
    </row>
    <row r="1437" spans="2:19" hidden="1" outlineLevel="1">
      <c r="B1437" s="14" t="s">
        <v>116</v>
      </c>
      <c r="C1437" s="15" t="s">
        <v>66</v>
      </c>
      <c r="D1437" s="52">
        <v>2034</v>
      </c>
      <c r="E1437" s="34">
        <v>10</v>
      </c>
      <c r="F1437" s="38">
        <f t="shared" si="229"/>
        <v>20849.566266993184</v>
      </c>
      <c r="G1437" s="34">
        <f t="shared" si="230"/>
        <v>16</v>
      </c>
      <c r="H1437" s="34">
        <f t="shared" si="231"/>
        <v>4</v>
      </c>
      <c r="I1437" s="34" t="str">
        <f t="shared" si="236"/>
        <v/>
      </c>
      <c r="J1437" s="34" t="str">
        <f t="shared" si="236"/>
        <v/>
      </c>
      <c r="K1437" s="34" t="str">
        <f t="shared" si="236"/>
        <v/>
      </c>
      <c r="L1437" s="34" t="str">
        <f t="shared" si="236"/>
        <v/>
      </c>
      <c r="M1437" s="34" t="str">
        <f t="shared" si="236"/>
        <v/>
      </c>
      <c r="N1437" s="34" t="str">
        <f t="shared" si="236"/>
        <v/>
      </c>
      <c r="O1437" s="34" t="str">
        <f t="shared" si="236"/>
        <v/>
      </c>
      <c r="P1437" s="34">
        <f t="shared" si="236"/>
        <v>84</v>
      </c>
      <c r="Q1437" s="34">
        <f t="shared" si="236"/>
        <v>87</v>
      </c>
      <c r="R1437" s="34">
        <f t="shared" si="236"/>
        <v>99</v>
      </c>
      <c r="S1437" s="35">
        <f t="shared" si="233"/>
        <v>84</v>
      </c>
    </row>
    <row r="1438" spans="2:19" hidden="1" outlineLevel="1">
      <c r="B1438" s="14" t="s">
        <v>116</v>
      </c>
      <c r="C1438" s="15" t="s">
        <v>66</v>
      </c>
      <c r="D1438" s="52">
        <v>2034</v>
      </c>
      <c r="E1438" s="34">
        <v>11</v>
      </c>
      <c r="F1438" s="38">
        <f t="shared" si="229"/>
        <v>20849.566266993184</v>
      </c>
      <c r="G1438" s="34">
        <f t="shared" si="230"/>
        <v>16</v>
      </c>
      <c r="H1438" s="34">
        <f t="shared" si="231"/>
        <v>4</v>
      </c>
      <c r="I1438" s="34" t="str">
        <f t="shared" si="236"/>
        <v/>
      </c>
      <c r="J1438" s="34" t="str">
        <f t="shared" si="236"/>
        <v/>
      </c>
      <c r="K1438" s="34" t="str">
        <f t="shared" si="236"/>
        <v/>
      </c>
      <c r="L1438" s="34" t="str">
        <f t="shared" si="236"/>
        <v/>
      </c>
      <c r="M1438" s="34" t="str">
        <f t="shared" si="236"/>
        <v/>
      </c>
      <c r="N1438" s="34" t="str">
        <f t="shared" si="236"/>
        <v/>
      </c>
      <c r="O1438" s="34" t="str">
        <f t="shared" si="236"/>
        <v/>
      </c>
      <c r="P1438" s="34">
        <f t="shared" si="236"/>
        <v>84</v>
      </c>
      <c r="Q1438" s="34">
        <f t="shared" si="236"/>
        <v>86</v>
      </c>
      <c r="R1438" s="34">
        <f t="shared" si="236"/>
        <v>98</v>
      </c>
      <c r="S1438" s="35">
        <f t="shared" si="233"/>
        <v>84</v>
      </c>
    </row>
    <row r="1439" spans="2:19" hidden="1" outlineLevel="1">
      <c r="B1439" s="14" t="s">
        <v>116</v>
      </c>
      <c r="C1439" s="15" t="s">
        <v>66</v>
      </c>
      <c r="D1439" s="52">
        <v>2034</v>
      </c>
      <c r="E1439" s="34">
        <v>12</v>
      </c>
      <c r="F1439" s="38">
        <f t="shared" si="229"/>
        <v>20849.566266993184</v>
      </c>
      <c r="G1439" s="34">
        <f t="shared" si="230"/>
        <v>16</v>
      </c>
      <c r="H1439" s="34">
        <f t="shared" si="231"/>
        <v>4</v>
      </c>
      <c r="I1439" s="34" t="str">
        <f t="shared" si="236"/>
        <v/>
      </c>
      <c r="J1439" s="34" t="str">
        <f t="shared" si="236"/>
        <v/>
      </c>
      <c r="K1439" s="34" t="str">
        <f t="shared" si="236"/>
        <v/>
      </c>
      <c r="L1439" s="34" t="str">
        <f t="shared" si="236"/>
        <v/>
      </c>
      <c r="M1439" s="34" t="str">
        <f t="shared" si="236"/>
        <v/>
      </c>
      <c r="N1439" s="34" t="str">
        <f t="shared" si="236"/>
        <v/>
      </c>
      <c r="O1439" s="34" t="str">
        <f t="shared" si="236"/>
        <v/>
      </c>
      <c r="P1439" s="34">
        <f t="shared" si="236"/>
        <v>84</v>
      </c>
      <c r="Q1439" s="34">
        <f t="shared" si="236"/>
        <v>85</v>
      </c>
      <c r="R1439" s="34">
        <f t="shared" si="236"/>
        <v>97</v>
      </c>
      <c r="S1439" s="35">
        <f t="shared" si="233"/>
        <v>84</v>
      </c>
    </row>
    <row r="1440" spans="2:19" hidden="1" outlineLevel="1">
      <c r="B1440" s="14" t="s">
        <v>116</v>
      </c>
      <c r="C1440" s="15" t="s">
        <v>66</v>
      </c>
      <c r="D1440" s="52">
        <v>2035</v>
      </c>
      <c r="E1440" s="34">
        <v>1</v>
      </c>
      <c r="F1440" s="38">
        <f t="shared" si="229"/>
        <v>21304.282350507976</v>
      </c>
      <c r="G1440" s="34">
        <f t="shared" si="230"/>
        <v>16</v>
      </c>
      <c r="H1440" s="34">
        <f t="shared" si="231"/>
        <v>4</v>
      </c>
      <c r="I1440" s="34" t="str">
        <f t="shared" ref="I1440:R1449" si="237">IF($D1440&lt;$Z$18,"",IF(MAX($G1440,INDEX($C$65:$F$108,$D1440+I$119-2026,$H1440))&lt;=12*I$119-$E1440+12,MAX($G1440,12*I$119-$E1440+1,INDEX($C$65:$F$108,$D1440+I$119-2026,$H1440)),""))</f>
        <v/>
      </c>
      <c r="J1440" s="34" t="str">
        <f t="shared" si="237"/>
        <v/>
      </c>
      <c r="K1440" s="34" t="str">
        <f t="shared" si="237"/>
        <v/>
      </c>
      <c r="L1440" s="34" t="str">
        <f t="shared" si="237"/>
        <v/>
      </c>
      <c r="M1440" s="34" t="str">
        <f t="shared" si="237"/>
        <v/>
      </c>
      <c r="N1440" s="34" t="str">
        <f t="shared" si="237"/>
        <v/>
      </c>
      <c r="O1440" s="34" t="str">
        <f t="shared" si="237"/>
        <v/>
      </c>
      <c r="P1440" s="34">
        <f t="shared" si="237"/>
        <v>84</v>
      </c>
      <c r="Q1440" s="34">
        <f t="shared" si="237"/>
        <v>96</v>
      </c>
      <c r="R1440" s="34">
        <f t="shared" si="237"/>
        <v>108</v>
      </c>
      <c r="S1440" s="35">
        <f t="shared" si="233"/>
        <v>84</v>
      </c>
    </row>
    <row r="1441" spans="2:19" hidden="1" outlineLevel="1">
      <c r="B1441" s="14" t="s">
        <v>116</v>
      </c>
      <c r="C1441" s="15" t="s">
        <v>66</v>
      </c>
      <c r="D1441" s="52">
        <v>2035</v>
      </c>
      <c r="E1441" s="34">
        <v>2</v>
      </c>
      <c r="F1441" s="38">
        <f t="shared" si="229"/>
        <v>21304.282350507976</v>
      </c>
      <c r="G1441" s="34">
        <f t="shared" si="230"/>
        <v>16</v>
      </c>
      <c r="H1441" s="34">
        <f t="shared" si="231"/>
        <v>4</v>
      </c>
      <c r="I1441" s="34" t="str">
        <f t="shared" si="237"/>
        <v/>
      </c>
      <c r="J1441" s="34" t="str">
        <f t="shared" si="237"/>
        <v/>
      </c>
      <c r="K1441" s="34" t="str">
        <f t="shared" si="237"/>
        <v/>
      </c>
      <c r="L1441" s="34" t="str">
        <f t="shared" si="237"/>
        <v/>
      </c>
      <c r="M1441" s="34" t="str">
        <f t="shared" si="237"/>
        <v/>
      </c>
      <c r="N1441" s="34" t="str">
        <f t="shared" si="237"/>
        <v/>
      </c>
      <c r="O1441" s="34" t="str">
        <f t="shared" si="237"/>
        <v/>
      </c>
      <c r="P1441" s="34">
        <f t="shared" si="237"/>
        <v>84</v>
      </c>
      <c r="Q1441" s="34">
        <f t="shared" si="237"/>
        <v>95</v>
      </c>
      <c r="R1441" s="34">
        <f t="shared" si="237"/>
        <v>107</v>
      </c>
      <c r="S1441" s="35">
        <f t="shared" si="233"/>
        <v>84</v>
      </c>
    </row>
    <row r="1442" spans="2:19" hidden="1" outlineLevel="1">
      <c r="B1442" s="14" t="s">
        <v>116</v>
      </c>
      <c r="C1442" s="15" t="s">
        <v>66</v>
      </c>
      <c r="D1442" s="52">
        <v>2035</v>
      </c>
      <c r="E1442" s="34">
        <v>3</v>
      </c>
      <c r="F1442" s="38">
        <f t="shared" si="229"/>
        <v>21304.282350507976</v>
      </c>
      <c r="G1442" s="34">
        <f t="shared" si="230"/>
        <v>16</v>
      </c>
      <c r="H1442" s="34">
        <f t="shared" si="231"/>
        <v>4</v>
      </c>
      <c r="I1442" s="34" t="str">
        <f t="shared" si="237"/>
        <v/>
      </c>
      <c r="J1442" s="34" t="str">
        <f t="shared" si="237"/>
        <v/>
      </c>
      <c r="K1442" s="34" t="str">
        <f t="shared" si="237"/>
        <v/>
      </c>
      <c r="L1442" s="34" t="str">
        <f t="shared" si="237"/>
        <v/>
      </c>
      <c r="M1442" s="34" t="str">
        <f t="shared" si="237"/>
        <v/>
      </c>
      <c r="N1442" s="34" t="str">
        <f t="shared" si="237"/>
        <v/>
      </c>
      <c r="O1442" s="34" t="str">
        <f t="shared" si="237"/>
        <v/>
      </c>
      <c r="P1442" s="34">
        <f t="shared" si="237"/>
        <v>84</v>
      </c>
      <c r="Q1442" s="34">
        <f t="shared" si="237"/>
        <v>94</v>
      </c>
      <c r="R1442" s="34">
        <f t="shared" si="237"/>
        <v>106</v>
      </c>
      <c r="S1442" s="35">
        <f t="shared" si="233"/>
        <v>84</v>
      </c>
    </row>
    <row r="1443" spans="2:19" hidden="1" outlineLevel="1">
      <c r="B1443" s="14" t="s">
        <v>116</v>
      </c>
      <c r="C1443" s="15" t="s">
        <v>66</v>
      </c>
      <c r="D1443" s="52">
        <v>2035</v>
      </c>
      <c r="E1443" s="34">
        <v>4</v>
      </c>
      <c r="F1443" s="38">
        <f t="shared" si="229"/>
        <v>21304.282350507976</v>
      </c>
      <c r="G1443" s="34">
        <f t="shared" si="230"/>
        <v>16</v>
      </c>
      <c r="H1443" s="34">
        <f t="shared" si="231"/>
        <v>4</v>
      </c>
      <c r="I1443" s="34" t="str">
        <f t="shared" si="237"/>
        <v/>
      </c>
      <c r="J1443" s="34" t="str">
        <f t="shared" si="237"/>
        <v/>
      </c>
      <c r="K1443" s="34" t="str">
        <f t="shared" si="237"/>
        <v/>
      </c>
      <c r="L1443" s="34" t="str">
        <f t="shared" si="237"/>
        <v/>
      </c>
      <c r="M1443" s="34" t="str">
        <f t="shared" si="237"/>
        <v/>
      </c>
      <c r="N1443" s="34" t="str">
        <f t="shared" si="237"/>
        <v/>
      </c>
      <c r="O1443" s="34" t="str">
        <f t="shared" si="237"/>
        <v/>
      </c>
      <c r="P1443" s="34">
        <f t="shared" si="237"/>
        <v>84</v>
      </c>
      <c r="Q1443" s="34">
        <f t="shared" si="237"/>
        <v>93</v>
      </c>
      <c r="R1443" s="34">
        <f t="shared" si="237"/>
        <v>105</v>
      </c>
      <c r="S1443" s="35">
        <f t="shared" si="233"/>
        <v>84</v>
      </c>
    </row>
    <row r="1444" spans="2:19" hidden="1" outlineLevel="1">
      <c r="B1444" s="14" t="s">
        <v>116</v>
      </c>
      <c r="C1444" s="15" t="s">
        <v>66</v>
      </c>
      <c r="D1444" s="52">
        <v>2035</v>
      </c>
      <c r="E1444" s="34">
        <v>5</v>
      </c>
      <c r="F1444" s="38">
        <f t="shared" si="229"/>
        <v>21304.282350507976</v>
      </c>
      <c r="G1444" s="34">
        <f t="shared" si="230"/>
        <v>16</v>
      </c>
      <c r="H1444" s="34">
        <f t="shared" si="231"/>
        <v>4</v>
      </c>
      <c r="I1444" s="34" t="str">
        <f t="shared" si="237"/>
        <v/>
      </c>
      <c r="J1444" s="34" t="str">
        <f t="shared" si="237"/>
        <v/>
      </c>
      <c r="K1444" s="34" t="str">
        <f t="shared" si="237"/>
        <v/>
      </c>
      <c r="L1444" s="34" t="str">
        <f t="shared" si="237"/>
        <v/>
      </c>
      <c r="M1444" s="34" t="str">
        <f t="shared" si="237"/>
        <v/>
      </c>
      <c r="N1444" s="34" t="str">
        <f t="shared" si="237"/>
        <v/>
      </c>
      <c r="O1444" s="34" t="str">
        <f t="shared" si="237"/>
        <v/>
      </c>
      <c r="P1444" s="34">
        <f t="shared" si="237"/>
        <v>84</v>
      </c>
      <c r="Q1444" s="34">
        <f t="shared" si="237"/>
        <v>92</v>
      </c>
      <c r="R1444" s="34">
        <f t="shared" si="237"/>
        <v>104</v>
      </c>
      <c r="S1444" s="35">
        <f t="shared" si="233"/>
        <v>84</v>
      </c>
    </row>
    <row r="1445" spans="2:19" hidden="1" outlineLevel="1">
      <c r="B1445" s="14" t="s">
        <v>116</v>
      </c>
      <c r="C1445" s="15" t="s">
        <v>66</v>
      </c>
      <c r="D1445" s="52">
        <v>2035</v>
      </c>
      <c r="E1445" s="34">
        <v>6</v>
      </c>
      <c r="F1445" s="38">
        <f t="shared" si="229"/>
        <v>21304.282350507976</v>
      </c>
      <c r="G1445" s="34">
        <f t="shared" si="230"/>
        <v>16</v>
      </c>
      <c r="H1445" s="34">
        <f t="shared" si="231"/>
        <v>4</v>
      </c>
      <c r="I1445" s="34" t="str">
        <f t="shared" si="237"/>
        <v/>
      </c>
      <c r="J1445" s="34" t="str">
        <f t="shared" si="237"/>
        <v/>
      </c>
      <c r="K1445" s="34" t="str">
        <f t="shared" si="237"/>
        <v/>
      </c>
      <c r="L1445" s="34" t="str">
        <f t="shared" si="237"/>
        <v/>
      </c>
      <c r="M1445" s="34" t="str">
        <f t="shared" si="237"/>
        <v/>
      </c>
      <c r="N1445" s="34" t="str">
        <f t="shared" si="237"/>
        <v/>
      </c>
      <c r="O1445" s="34" t="str">
        <f t="shared" si="237"/>
        <v/>
      </c>
      <c r="P1445" s="34">
        <f t="shared" si="237"/>
        <v>84</v>
      </c>
      <c r="Q1445" s="34">
        <f t="shared" si="237"/>
        <v>91</v>
      </c>
      <c r="R1445" s="34">
        <f t="shared" si="237"/>
        <v>103</v>
      </c>
      <c r="S1445" s="35">
        <f t="shared" si="233"/>
        <v>84</v>
      </c>
    </row>
    <row r="1446" spans="2:19" hidden="1" outlineLevel="1">
      <c r="B1446" s="14" t="s">
        <v>116</v>
      </c>
      <c r="C1446" s="15" t="s">
        <v>66</v>
      </c>
      <c r="D1446" s="52">
        <v>2035</v>
      </c>
      <c r="E1446" s="34">
        <v>7</v>
      </c>
      <c r="F1446" s="38">
        <f t="shared" si="229"/>
        <v>21304.282350507976</v>
      </c>
      <c r="G1446" s="34">
        <f t="shared" si="230"/>
        <v>16</v>
      </c>
      <c r="H1446" s="34">
        <f t="shared" si="231"/>
        <v>4</v>
      </c>
      <c r="I1446" s="34" t="str">
        <f t="shared" si="237"/>
        <v/>
      </c>
      <c r="J1446" s="34" t="str">
        <f t="shared" si="237"/>
        <v/>
      </c>
      <c r="K1446" s="34" t="str">
        <f t="shared" si="237"/>
        <v/>
      </c>
      <c r="L1446" s="34" t="str">
        <f t="shared" si="237"/>
        <v/>
      </c>
      <c r="M1446" s="34" t="str">
        <f t="shared" si="237"/>
        <v/>
      </c>
      <c r="N1446" s="34" t="str">
        <f t="shared" si="237"/>
        <v/>
      </c>
      <c r="O1446" s="34" t="str">
        <f t="shared" si="237"/>
        <v/>
      </c>
      <c r="P1446" s="34">
        <f t="shared" si="237"/>
        <v>84</v>
      </c>
      <c r="Q1446" s="34">
        <f t="shared" si="237"/>
        <v>90</v>
      </c>
      <c r="R1446" s="34">
        <f t="shared" si="237"/>
        <v>102</v>
      </c>
      <c r="S1446" s="35">
        <f t="shared" si="233"/>
        <v>84</v>
      </c>
    </row>
    <row r="1447" spans="2:19" hidden="1" outlineLevel="1">
      <c r="B1447" s="14" t="s">
        <v>116</v>
      </c>
      <c r="C1447" s="15" t="s">
        <v>66</v>
      </c>
      <c r="D1447" s="52">
        <v>2035</v>
      </c>
      <c r="E1447" s="34">
        <v>8</v>
      </c>
      <c r="F1447" s="38">
        <f t="shared" si="229"/>
        <v>21304.282350507976</v>
      </c>
      <c r="G1447" s="34">
        <f t="shared" si="230"/>
        <v>16</v>
      </c>
      <c r="H1447" s="34">
        <f t="shared" si="231"/>
        <v>4</v>
      </c>
      <c r="I1447" s="34" t="str">
        <f t="shared" si="237"/>
        <v/>
      </c>
      <c r="J1447" s="34" t="str">
        <f t="shared" si="237"/>
        <v/>
      </c>
      <c r="K1447" s="34" t="str">
        <f t="shared" si="237"/>
        <v/>
      </c>
      <c r="L1447" s="34" t="str">
        <f t="shared" si="237"/>
        <v/>
      </c>
      <c r="M1447" s="34" t="str">
        <f t="shared" si="237"/>
        <v/>
      </c>
      <c r="N1447" s="34" t="str">
        <f t="shared" si="237"/>
        <v/>
      </c>
      <c r="O1447" s="34" t="str">
        <f t="shared" si="237"/>
        <v/>
      </c>
      <c r="P1447" s="34">
        <f t="shared" si="237"/>
        <v>84</v>
      </c>
      <c r="Q1447" s="34">
        <f t="shared" si="237"/>
        <v>89</v>
      </c>
      <c r="R1447" s="34">
        <f t="shared" si="237"/>
        <v>101</v>
      </c>
      <c r="S1447" s="35">
        <f t="shared" si="233"/>
        <v>84</v>
      </c>
    </row>
    <row r="1448" spans="2:19" hidden="1" outlineLevel="1">
      <c r="B1448" s="14" t="s">
        <v>116</v>
      </c>
      <c r="C1448" s="15" t="s">
        <v>66</v>
      </c>
      <c r="D1448" s="52">
        <v>2035</v>
      </c>
      <c r="E1448" s="34">
        <v>9</v>
      </c>
      <c r="F1448" s="38">
        <f t="shared" si="229"/>
        <v>21304.282350507976</v>
      </c>
      <c r="G1448" s="34">
        <f t="shared" si="230"/>
        <v>16</v>
      </c>
      <c r="H1448" s="34">
        <f t="shared" si="231"/>
        <v>4</v>
      </c>
      <c r="I1448" s="34" t="str">
        <f t="shared" si="237"/>
        <v/>
      </c>
      <c r="J1448" s="34" t="str">
        <f t="shared" si="237"/>
        <v/>
      </c>
      <c r="K1448" s="34" t="str">
        <f t="shared" si="237"/>
        <v/>
      </c>
      <c r="L1448" s="34" t="str">
        <f t="shared" si="237"/>
        <v/>
      </c>
      <c r="M1448" s="34" t="str">
        <f t="shared" si="237"/>
        <v/>
      </c>
      <c r="N1448" s="34" t="str">
        <f t="shared" si="237"/>
        <v/>
      </c>
      <c r="O1448" s="34" t="str">
        <f t="shared" si="237"/>
        <v/>
      </c>
      <c r="P1448" s="34">
        <f t="shared" si="237"/>
        <v>84</v>
      </c>
      <c r="Q1448" s="34">
        <f t="shared" si="237"/>
        <v>88</v>
      </c>
      <c r="R1448" s="34">
        <f t="shared" si="237"/>
        <v>100</v>
      </c>
      <c r="S1448" s="35">
        <f t="shared" si="233"/>
        <v>84</v>
      </c>
    </row>
    <row r="1449" spans="2:19" hidden="1" outlineLevel="1">
      <c r="B1449" s="14" t="s">
        <v>116</v>
      </c>
      <c r="C1449" s="15" t="s">
        <v>66</v>
      </c>
      <c r="D1449" s="52">
        <v>2035</v>
      </c>
      <c r="E1449" s="34">
        <v>10</v>
      </c>
      <c r="F1449" s="38">
        <f t="shared" si="229"/>
        <v>21304.282350507976</v>
      </c>
      <c r="G1449" s="34">
        <f t="shared" si="230"/>
        <v>16</v>
      </c>
      <c r="H1449" s="34">
        <f t="shared" si="231"/>
        <v>4</v>
      </c>
      <c r="I1449" s="34" t="str">
        <f t="shared" si="237"/>
        <v/>
      </c>
      <c r="J1449" s="34" t="str">
        <f t="shared" si="237"/>
        <v/>
      </c>
      <c r="K1449" s="34" t="str">
        <f t="shared" si="237"/>
        <v/>
      </c>
      <c r="L1449" s="34" t="str">
        <f t="shared" si="237"/>
        <v/>
      </c>
      <c r="M1449" s="34" t="str">
        <f t="shared" si="237"/>
        <v/>
      </c>
      <c r="N1449" s="34" t="str">
        <f t="shared" si="237"/>
        <v/>
      </c>
      <c r="O1449" s="34" t="str">
        <f t="shared" si="237"/>
        <v/>
      </c>
      <c r="P1449" s="34">
        <f t="shared" si="237"/>
        <v>84</v>
      </c>
      <c r="Q1449" s="34">
        <f t="shared" si="237"/>
        <v>87</v>
      </c>
      <c r="R1449" s="34">
        <f t="shared" si="237"/>
        <v>99</v>
      </c>
      <c r="S1449" s="35">
        <f t="shared" si="233"/>
        <v>84</v>
      </c>
    </row>
    <row r="1450" spans="2:19" hidden="1" outlineLevel="1">
      <c r="B1450" s="14" t="s">
        <v>116</v>
      </c>
      <c r="C1450" s="15" t="s">
        <v>66</v>
      </c>
      <c r="D1450" s="52">
        <v>2035</v>
      </c>
      <c r="E1450" s="34">
        <v>11</v>
      </c>
      <c r="F1450" s="38">
        <f t="shared" si="229"/>
        <v>21304.282350507976</v>
      </c>
      <c r="G1450" s="34">
        <f t="shared" si="230"/>
        <v>16</v>
      </c>
      <c r="H1450" s="34">
        <f t="shared" si="231"/>
        <v>4</v>
      </c>
      <c r="I1450" s="34" t="str">
        <f t="shared" ref="I1450:R1459" si="238">IF($D1450&lt;$Z$18,"",IF(MAX($G1450,INDEX($C$65:$F$108,$D1450+I$119-2026,$H1450))&lt;=12*I$119-$E1450+12,MAX($G1450,12*I$119-$E1450+1,INDEX($C$65:$F$108,$D1450+I$119-2026,$H1450)),""))</f>
        <v/>
      </c>
      <c r="J1450" s="34" t="str">
        <f t="shared" si="238"/>
        <v/>
      </c>
      <c r="K1450" s="34" t="str">
        <f t="shared" si="238"/>
        <v/>
      </c>
      <c r="L1450" s="34" t="str">
        <f t="shared" si="238"/>
        <v/>
      </c>
      <c r="M1450" s="34" t="str">
        <f t="shared" si="238"/>
        <v/>
      </c>
      <c r="N1450" s="34" t="str">
        <f t="shared" si="238"/>
        <v/>
      </c>
      <c r="O1450" s="34" t="str">
        <f t="shared" si="238"/>
        <v/>
      </c>
      <c r="P1450" s="34">
        <f t="shared" si="238"/>
        <v>84</v>
      </c>
      <c r="Q1450" s="34">
        <f t="shared" si="238"/>
        <v>86</v>
      </c>
      <c r="R1450" s="34">
        <f t="shared" si="238"/>
        <v>98</v>
      </c>
      <c r="S1450" s="35">
        <f t="shared" si="233"/>
        <v>84</v>
      </c>
    </row>
    <row r="1451" spans="2:19" hidden="1" outlineLevel="1">
      <c r="B1451" s="14" t="s">
        <v>116</v>
      </c>
      <c r="C1451" s="15" t="s">
        <v>66</v>
      </c>
      <c r="D1451" s="52">
        <v>2035</v>
      </c>
      <c r="E1451" s="34">
        <v>12</v>
      </c>
      <c r="F1451" s="38">
        <f t="shared" si="229"/>
        <v>21304.282350507976</v>
      </c>
      <c r="G1451" s="34">
        <f t="shared" si="230"/>
        <v>16</v>
      </c>
      <c r="H1451" s="34">
        <f t="shared" si="231"/>
        <v>4</v>
      </c>
      <c r="I1451" s="34" t="str">
        <f t="shared" si="238"/>
        <v/>
      </c>
      <c r="J1451" s="34" t="str">
        <f t="shared" si="238"/>
        <v/>
      </c>
      <c r="K1451" s="34" t="str">
        <f t="shared" si="238"/>
        <v/>
      </c>
      <c r="L1451" s="34" t="str">
        <f t="shared" si="238"/>
        <v/>
      </c>
      <c r="M1451" s="34" t="str">
        <f t="shared" si="238"/>
        <v/>
      </c>
      <c r="N1451" s="34" t="str">
        <f t="shared" si="238"/>
        <v/>
      </c>
      <c r="O1451" s="34" t="str">
        <f t="shared" si="238"/>
        <v/>
      </c>
      <c r="P1451" s="34">
        <f t="shared" si="238"/>
        <v>84</v>
      </c>
      <c r="Q1451" s="34">
        <f t="shared" si="238"/>
        <v>85</v>
      </c>
      <c r="R1451" s="34">
        <f t="shared" si="238"/>
        <v>97</v>
      </c>
      <c r="S1451" s="35">
        <f t="shared" si="233"/>
        <v>84</v>
      </c>
    </row>
    <row r="1452" spans="2:19" hidden="1" outlineLevel="1">
      <c r="B1452" s="14" t="s">
        <v>116</v>
      </c>
      <c r="C1452" s="15" t="s">
        <v>66</v>
      </c>
      <c r="D1452" s="52">
        <v>2036</v>
      </c>
      <c r="E1452" s="34">
        <v>1</v>
      </c>
      <c r="F1452" s="38">
        <f t="shared" si="229"/>
        <v>21550.25144374057</v>
      </c>
      <c r="G1452" s="34">
        <f t="shared" si="230"/>
        <v>16</v>
      </c>
      <c r="H1452" s="34">
        <f t="shared" si="231"/>
        <v>4</v>
      </c>
      <c r="I1452" s="34" t="str">
        <f t="shared" si="238"/>
        <v/>
      </c>
      <c r="J1452" s="34" t="str">
        <f t="shared" si="238"/>
        <v/>
      </c>
      <c r="K1452" s="34" t="str">
        <f t="shared" si="238"/>
        <v/>
      </c>
      <c r="L1452" s="34" t="str">
        <f t="shared" si="238"/>
        <v/>
      </c>
      <c r="M1452" s="34" t="str">
        <f t="shared" si="238"/>
        <v/>
      </c>
      <c r="N1452" s="34" t="str">
        <f t="shared" si="238"/>
        <v/>
      </c>
      <c r="O1452" s="34" t="str">
        <f t="shared" si="238"/>
        <v/>
      </c>
      <c r="P1452" s="34">
        <f t="shared" si="238"/>
        <v>84</v>
      </c>
      <c r="Q1452" s="34">
        <f t="shared" si="238"/>
        <v>96</v>
      </c>
      <c r="R1452" s="34">
        <f t="shared" si="238"/>
        <v>108</v>
      </c>
      <c r="S1452" s="35">
        <f t="shared" si="233"/>
        <v>84</v>
      </c>
    </row>
    <row r="1453" spans="2:19" hidden="1" outlineLevel="1">
      <c r="B1453" s="14" t="s">
        <v>116</v>
      </c>
      <c r="C1453" s="15" t="s">
        <v>66</v>
      </c>
      <c r="D1453" s="52">
        <v>2036</v>
      </c>
      <c r="E1453" s="34">
        <v>2</v>
      </c>
      <c r="F1453" s="38">
        <f t="shared" si="229"/>
        <v>21550.25144374057</v>
      </c>
      <c r="G1453" s="34">
        <f t="shared" si="230"/>
        <v>16</v>
      </c>
      <c r="H1453" s="34">
        <f t="shared" si="231"/>
        <v>4</v>
      </c>
      <c r="I1453" s="34" t="str">
        <f t="shared" si="238"/>
        <v/>
      </c>
      <c r="J1453" s="34" t="str">
        <f t="shared" si="238"/>
        <v/>
      </c>
      <c r="K1453" s="34" t="str">
        <f t="shared" si="238"/>
        <v/>
      </c>
      <c r="L1453" s="34" t="str">
        <f t="shared" si="238"/>
        <v/>
      </c>
      <c r="M1453" s="34" t="str">
        <f t="shared" si="238"/>
        <v/>
      </c>
      <c r="N1453" s="34" t="str">
        <f t="shared" si="238"/>
        <v/>
      </c>
      <c r="O1453" s="34" t="str">
        <f t="shared" si="238"/>
        <v/>
      </c>
      <c r="P1453" s="34">
        <f t="shared" si="238"/>
        <v>84</v>
      </c>
      <c r="Q1453" s="34">
        <f t="shared" si="238"/>
        <v>95</v>
      </c>
      <c r="R1453" s="34">
        <f t="shared" si="238"/>
        <v>107</v>
      </c>
      <c r="S1453" s="35">
        <f t="shared" si="233"/>
        <v>84</v>
      </c>
    </row>
    <row r="1454" spans="2:19" hidden="1" outlineLevel="1">
      <c r="B1454" s="14" t="s">
        <v>116</v>
      </c>
      <c r="C1454" s="15" t="s">
        <v>66</v>
      </c>
      <c r="D1454" s="52">
        <v>2036</v>
      </c>
      <c r="E1454" s="34">
        <v>3</v>
      </c>
      <c r="F1454" s="38">
        <f t="shared" si="229"/>
        <v>21550.25144374057</v>
      </c>
      <c r="G1454" s="34">
        <f t="shared" si="230"/>
        <v>16</v>
      </c>
      <c r="H1454" s="34">
        <f t="shared" si="231"/>
        <v>4</v>
      </c>
      <c r="I1454" s="34" t="str">
        <f t="shared" si="238"/>
        <v/>
      </c>
      <c r="J1454" s="34" t="str">
        <f t="shared" si="238"/>
        <v/>
      </c>
      <c r="K1454" s="34" t="str">
        <f t="shared" si="238"/>
        <v/>
      </c>
      <c r="L1454" s="34" t="str">
        <f t="shared" si="238"/>
        <v/>
      </c>
      <c r="M1454" s="34" t="str">
        <f t="shared" si="238"/>
        <v/>
      </c>
      <c r="N1454" s="34" t="str">
        <f t="shared" si="238"/>
        <v/>
      </c>
      <c r="O1454" s="34" t="str">
        <f t="shared" si="238"/>
        <v/>
      </c>
      <c r="P1454" s="34">
        <f t="shared" si="238"/>
        <v>84</v>
      </c>
      <c r="Q1454" s="34">
        <f t="shared" si="238"/>
        <v>94</v>
      </c>
      <c r="R1454" s="34">
        <f t="shared" si="238"/>
        <v>106</v>
      </c>
      <c r="S1454" s="35">
        <f t="shared" si="233"/>
        <v>84</v>
      </c>
    </row>
    <row r="1455" spans="2:19" hidden="1" outlineLevel="1">
      <c r="B1455" s="14" t="s">
        <v>116</v>
      </c>
      <c r="C1455" s="15" t="s">
        <v>66</v>
      </c>
      <c r="D1455" s="52">
        <v>2036</v>
      </c>
      <c r="E1455" s="34">
        <v>4</v>
      </c>
      <c r="F1455" s="38">
        <f t="shared" si="229"/>
        <v>21550.25144374057</v>
      </c>
      <c r="G1455" s="34">
        <f t="shared" si="230"/>
        <v>16</v>
      </c>
      <c r="H1455" s="34">
        <f t="shared" si="231"/>
        <v>4</v>
      </c>
      <c r="I1455" s="34" t="str">
        <f t="shared" si="238"/>
        <v/>
      </c>
      <c r="J1455" s="34" t="str">
        <f t="shared" si="238"/>
        <v/>
      </c>
      <c r="K1455" s="34" t="str">
        <f t="shared" si="238"/>
        <v/>
      </c>
      <c r="L1455" s="34" t="str">
        <f t="shared" si="238"/>
        <v/>
      </c>
      <c r="M1455" s="34" t="str">
        <f t="shared" si="238"/>
        <v/>
      </c>
      <c r="N1455" s="34" t="str">
        <f t="shared" si="238"/>
        <v/>
      </c>
      <c r="O1455" s="34" t="str">
        <f t="shared" si="238"/>
        <v/>
      </c>
      <c r="P1455" s="34">
        <f t="shared" si="238"/>
        <v>84</v>
      </c>
      <c r="Q1455" s="34">
        <f t="shared" si="238"/>
        <v>93</v>
      </c>
      <c r="R1455" s="34">
        <f t="shared" si="238"/>
        <v>105</v>
      </c>
      <c r="S1455" s="35">
        <f t="shared" si="233"/>
        <v>84</v>
      </c>
    </row>
    <row r="1456" spans="2:19" hidden="1" outlineLevel="1">
      <c r="B1456" s="14" t="s">
        <v>116</v>
      </c>
      <c r="C1456" s="15" t="s">
        <v>66</v>
      </c>
      <c r="D1456" s="52">
        <v>2036</v>
      </c>
      <c r="E1456" s="34">
        <v>5</v>
      </c>
      <c r="F1456" s="38">
        <f t="shared" si="229"/>
        <v>21550.25144374057</v>
      </c>
      <c r="G1456" s="34">
        <f t="shared" si="230"/>
        <v>16</v>
      </c>
      <c r="H1456" s="34">
        <f t="shared" si="231"/>
        <v>4</v>
      </c>
      <c r="I1456" s="34" t="str">
        <f t="shared" si="238"/>
        <v/>
      </c>
      <c r="J1456" s="34" t="str">
        <f t="shared" si="238"/>
        <v/>
      </c>
      <c r="K1456" s="34" t="str">
        <f t="shared" si="238"/>
        <v/>
      </c>
      <c r="L1456" s="34" t="str">
        <f t="shared" si="238"/>
        <v/>
      </c>
      <c r="M1456" s="34" t="str">
        <f t="shared" si="238"/>
        <v/>
      </c>
      <c r="N1456" s="34" t="str">
        <f t="shared" si="238"/>
        <v/>
      </c>
      <c r="O1456" s="34" t="str">
        <f t="shared" si="238"/>
        <v/>
      </c>
      <c r="P1456" s="34">
        <f t="shared" si="238"/>
        <v>84</v>
      </c>
      <c r="Q1456" s="34">
        <f t="shared" si="238"/>
        <v>92</v>
      </c>
      <c r="R1456" s="34">
        <f t="shared" si="238"/>
        <v>104</v>
      </c>
      <c r="S1456" s="35">
        <f t="shared" si="233"/>
        <v>84</v>
      </c>
    </row>
    <row r="1457" spans="2:19" hidden="1" outlineLevel="1">
      <c r="B1457" s="14" t="s">
        <v>116</v>
      </c>
      <c r="C1457" s="15" t="s">
        <v>66</v>
      </c>
      <c r="D1457" s="52">
        <v>2036</v>
      </c>
      <c r="E1457" s="34">
        <v>6</v>
      </c>
      <c r="F1457" s="38">
        <f t="shared" si="229"/>
        <v>21550.25144374057</v>
      </c>
      <c r="G1457" s="34">
        <f t="shared" si="230"/>
        <v>16</v>
      </c>
      <c r="H1457" s="34">
        <f t="shared" si="231"/>
        <v>4</v>
      </c>
      <c r="I1457" s="34" t="str">
        <f t="shared" si="238"/>
        <v/>
      </c>
      <c r="J1457" s="34" t="str">
        <f t="shared" si="238"/>
        <v/>
      </c>
      <c r="K1457" s="34" t="str">
        <f t="shared" si="238"/>
        <v/>
      </c>
      <c r="L1457" s="34" t="str">
        <f t="shared" si="238"/>
        <v/>
      </c>
      <c r="M1457" s="34" t="str">
        <f t="shared" si="238"/>
        <v/>
      </c>
      <c r="N1457" s="34" t="str">
        <f t="shared" si="238"/>
        <v/>
      </c>
      <c r="O1457" s="34" t="str">
        <f t="shared" si="238"/>
        <v/>
      </c>
      <c r="P1457" s="34">
        <f t="shared" si="238"/>
        <v>84</v>
      </c>
      <c r="Q1457" s="34">
        <f t="shared" si="238"/>
        <v>91</v>
      </c>
      <c r="R1457" s="34">
        <f t="shared" si="238"/>
        <v>103</v>
      </c>
      <c r="S1457" s="35">
        <f t="shared" si="233"/>
        <v>84</v>
      </c>
    </row>
    <row r="1458" spans="2:19" hidden="1" outlineLevel="1">
      <c r="B1458" s="14" t="s">
        <v>116</v>
      </c>
      <c r="C1458" s="15" t="s">
        <v>66</v>
      </c>
      <c r="D1458" s="52">
        <v>2036</v>
      </c>
      <c r="E1458" s="34">
        <v>7</v>
      </c>
      <c r="F1458" s="38">
        <f t="shared" si="229"/>
        <v>21550.25144374057</v>
      </c>
      <c r="G1458" s="34">
        <f t="shared" si="230"/>
        <v>16</v>
      </c>
      <c r="H1458" s="34">
        <f t="shared" si="231"/>
        <v>4</v>
      </c>
      <c r="I1458" s="34" t="str">
        <f t="shared" si="238"/>
        <v/>
      </c>
      <c r="J1458" s="34" t="str">
        <f t="shared" si="238"/>
        <v/>
      </c>
      <c r="K1458" s="34" t="str">
        <f t="shared" si="238"/>
        <v/>
      </c>
      <c r="L1458" s="34" t="str">
        <f t="shared" si="238"/>
        <v/>
      </c>
      <c r="M1458" s="34" t="str">
        <f t="shared" si="238"/>
        <v/>
      </c>
      <c r="N1458" s="34" t="str">
        <f t="shared" si="238"/>
        <v/>
      </c>
      <c r="O1458" s="34" t="str">
        <f t="shared" si="238"/>
        <v/>
      </c>
      <c r="P1458" s="34">
        <f t="shared" si="238"/>
        <v>84</v>
      </c>
      <c r="Q1458" s="34">
        <f t="shared" si="238"/>
        <v>90</v>
      </c>
      <c r="R1458" s="34">
        <f t="shared" si="238"/>
        <v>102</v>
      </c>
      <c r="S1458" s="35">
        <f t="shared" si="233"/>
        <v>84</v>
      </c>
    </row>
    <row r="1459" spans="2:19" hidden="1" outlineLevel="1">
      <c r="B1459" s="14" t="s">
        <v>116</v>
      </c>
      <c r="C1459" s="15" t="s">
        <v>66</v>
      </c>
      <c r="D1459" s="52">
        <v>2036</v>
      </c>
      <c r="E1459" s="34">
        <v>8</v>
      </c>
      <c r="F1459" s="38">
        <f t="shared" si="229"/>
        <v>21550.25144374057</v>
      </c>
      <c r="G1459" s="34">
        <f t="shared" si="230"/>
        <v>16</v>
      </c>
      <c r="H1459" s="34">
        <f t="shared" si="231"/>
        <v>4</v>
      </c>
      <c r="I1459" s="34" t="str">
        <f t="shared" si="238"/>
        <v/>
      </c>
      <c r="J1459" s="34" t="str">
        <f t="shared" si="238"/>
        <v/>
      </c>
      <c r="K1459" s="34" t="str">
        <f t="shared" si="238"/>
        <v/>
      </c>
      <c r="L1459" s="34" t="str">
        <f t="shared" si="238"/>
        <v/>
      </c>
      <c r="M1459" s="34" t="str">
        <f t="shared" si="238"/>
        <v/>
      </c>
      <c r="N1459" s="34" t="str">
        <f t="shared" si="238"/>
        <v/>
      </c>
      <c r="O1459" s="34" t="str">
        <f t="shared" si="238"/>
        <v/>
      </c>
      <c r="P1459" s="34">
        <f t="shared" si="238"/>
        <v>84</v>
      </c>
      <c r="Q1459" s="34">
        <f t="shared" si="238"/>
        <v>89</v>
      </c>
      <c r="R1459" s="34">
        <f t="shared" si="238"/>
        <v>101</v>
      </c>
      <c r="S1459" s="35">
        <f t="shared" si="233"/>
        <v>84</v>
      </c>
    </row>
    <row r="1460" spans="2:19" hidden="1" outlineLevel="1">
      <c r="B1460" s="14" t="s">
        <v>116</v>
      </c>
      <c r="C1460" s="15" t="s">
        <v>66</v>
      </c>
      <c r="D1460" s="52">
        <v>2036</v>
      </c>
      <c r="E1460" s="34">
        <v>9</v>
      </c>
      <c r="F1460" s="38">
        <f t="shared" si="229"/>
        <v>21550.25144374057</v>
      </c>
      <c r="G1460" s="34">
        <f t="shared" si="230"/>
        <v>16</v>
      </c>
      <c r="H1460" s="34">
        <f t="shared" si="231"/>
        <v>4</v>
      </c>
      <c r="I1460" s="34" t="str">
        <f t="shared" ref="I1460:R1469" si="239">IF($D1460&lt;$Z$18,"",IF(MAX($G1460,INDEX($C$65:$F$108,$D1460+I$119-2026,$H1460))&lt;=12*I$119-$E1460+12,MAX($G1460,12*I$119-$E1460+1,INDEX($C$65:$F$108,$D1460+I$119-2026,$H1460)),""))</f>
        <v/>
      </c>
      <c r="J1460" s="34" t="str">
        <f t="shared" si="239"/>
        <v/>
      </c>
      <c r="K1460" s="34" t="str">
        <f t="shared" si="239"/>
        <v/>
      </c>
      <c r="L1460" s="34" t="str">
        <f t="shared" si="239"/>
        <v/>
      </c>
      <c r="M1460" s="34" t="str">
        <f t="shared" si="239"/>
        <v/>
      </c>
      <c r="N1460" s="34" t="str">
        <f t="shared" si="239"/>
        <v/>
      </c>
      <c r="O1460" s="34" t="str">
        <f t="shared" si="239"/>
        <v/>
      </c>
      <c r="P1460" s="34">
        <f t="shared" si="239"/>
        <v>84</v>
      </c>
      <c r="Q1460" s="34">
        <f t="shared" si="239"/>
        <v>88</v>
      </c>
      <c r="R1460" s="34">
        <f t="shared" si="239"/>
        <v>100</v>
      </c>
      <c r="S1460" s="35">
        <f t="shared" si="233"/>
        <v>84</v>
      </c>
    </row>
    <row r="1461" spans="2:19" hidden="1" outlineLevel="1">
      <c r="B1461" s="14" t="s">
        <v>116</v>
      </c>
      <c r="C1461" s="15" t="s">
        <v>66</v>
      </c>
      <c r="D1461" s="52">
        <v>2036</v>
      </c>
      <c r="E1461" s="34">
        <v>10</v>
      </c>
      <c r="F1461" s="38">
        <f t="shared" si="229"/>
        <v>21550.25144374057</v>
      </c>
      <c r="G1461" s="34">
        <f t="shared" si="230"/>
        <v>16</v>
      </c>
      <c r="H1461" s="34">
        <f t="shared" si="231"/>
        <v>4</v>
      </c>
      <c r="I1461" s="34" t="str">
        <f t="shared" si="239"/>
        <v/>
      </c>
      <c r="J1461" s="34" t="str">
        <f t="shared" si="239"/>
        <v/>
      </c>
      <c r="K1461" s="34" t="str">
        <f t="shared" si="239"/>
        <v/>
      </c>
      <c r="L1461" s="34" t="str">
        <f t="shared" si="239"/>
        <v/>
      </c>
      <c r="M1461" s="34" t="str">
        <f t="shared" si="239"/>
        <v/>
      </c>
      <c r="N1461" s="34" t="str">
        <f t="shared" si="239"/>
        <v/>
      </c>
      <c r="O1461" s="34" t="str">
        <f t="shared" si="239"/>
        <v/>
      </c>
      <c r="P1461" s="34">
        <f t="shared" si="239"/>
        <v>84</v>
      </c>
      <c r="Q1461" s="34">
        <f t="shared" si="239"/>
        <v>87</v>
      </c>
      <c r="R1461" s="34">
        <f t="shared" si="239"/>
        <v>99</v>
      </c>
      <c r="S1461" s="35">
        <f t="shared" si="233"/>
        <v>84</v>
      </c>
    </row>
    <row r="1462" spans="2:19" hidden="1" outlineLevel="1">
      <c r="B1462" s="14" t="s">
        <v>116</v>
      </c>
      <c r="C1462" s="15" t="s">
        <v>66</v>
      </c>
      <c r="D1462" s="52">
        <v>2036</v>
      </c>
      <c r="E1462" s="34">
        <v>11</v>
      </c>
      <c r="F1462" s="38">
        <f t="shared" si="229"/>
        <v>21550.25144374057</v>
      </c>
      <c r="G1462" s="34">
        <f t="shared" si="230"/>
        <v>16</v>
      </c>
      <c r="H1462" s="34">
        <f t="shared" si="231"/>
        <v>4</v>
      </c>
      <c r="I1462" s="34" t="str">
        <f t="shared" si="239"/>
        <v/>
      </c>
      <c r="J1462" s="34" t="str">
        <f t="shared" si="239"/>
        <v/>
      </c>
      <c r="K1462" s="34" t="str">
        <f t="shared" si="239"/>
        <v/>
      </c>
      <c r="L1462" s="34" t="str">
        <f t="shared" si="239"/>
        <v/>
      </c>
      <c r="M1462" s="34" t="str">
        <f t="shared" si="239"/>
        <v/>
      </c>
      <c r="N1462" s="34" t="str">
        <f t="shared" si="239"/>
        <v/>
      </c>
      <c r="O1462" s="34" t="str">
        <f t="shared" si="239"/>
        <v/>
      </c>
      <c r="P1462" s="34">
        <f t="shared" si="239"/>
        <v>84</v>
      </c>
      <c r="Q1462" s="34">
        <f t="shared" si="239"/>
        <v>86</v>
      </c>
      <c r="R1462" s="34">
        <f t="shared" si="239"/>
        <v>98</v>
      </c>
      <c r="S1462" s="35">
        <f t="shared" si="233"/>
        <v>84</v>
      </c>
    </row>
    <row r="1463" spans="2:19" hidden="1" outlineLevel="1">
      <c r="B1463" s="14" t="s">
        <v>116</v>
      </c>
      <c r="C1463" s="15" t="s">
        <v>66</v>
      </c>
      <c r="D1463" s="52">
        <v>2036</v>
      </c>
      <c r="E1463" s="34">
        <v>12</v>
      </c>
      <c r="F1463" s="38">
        <f t="shared" si="229"/>
        <v>21550.25144374057</v>
      </c>
      <c r="G1463" s="34">
        <f t="shared" si="230"/>
        <v>16</v>
      </c>
      <c r="H1463" s="34">
        <f t="shared" si="231"/>
        <v>4</v>
      </c>
      <c r="I1463" s="34" t="str">
        <f t="shared" si="239"/>
        <v/>
      </c>
      <c r="J1463" s="34" t="str">
        <f t="shared" si="239"/>
        <v/>
      </c>
      <c r="K1463" s="34" t="str">
        <f t="shared" si="239"/>
        <v/>
      </c>
      <c r="L1463" s="34" t="str">
        <f t="shared" si="239"/>
        <v/>
      </c>
      <c r="M1463" s="34" t="str">
        <f t="shared" si="239"/>
        <v/>
      </c>
      <c r="N1463" s="34" t="str">
        <f t="shared" si="239"/>
        <v/>
      </c>
      <c r="O1463" s="34" t="str">
        <f t="shared" si="239"/>
        <v/>
      </c>
      <c r="P1463" s="34">
        <f t="shared" si="239"/>
        <v>84</v>
      </c>
      <c r="Q1463" s="34">
        <f t="shared" si="239"/>
        <v>85</v>
      </c>
      <c r="R1463" s="34">
        <f t="shared" si="239"/>
        <v>97</v>
      </c>
      <c r="S1463" s="35">
        <f t="shared" si="233"/>
        <v>84</v>
      </c>
    </row>
    <row r="1464" spans="2:19" hidden="1" outlineLevel="1">
      <c r="B1464" s="14" t="s">
        <v>116</v>
      </c>
      <c r="C1464" s="15" t="s">
        <v>66</v>
      </c>
      <c r="D1464" s="52">
        <v>2037</v>
      </c>
      <c r="E1464" s="34">
        <v>1</v>
      </c>
      <c r="F1464" s="38">
        <f t="shared" ref="F1464:F1527" si="240">IF($C1464="Homens",INDEX($C$5:$C$55,MATCH($D1464,$B$5:$B$55,0)),INDEX($F$5:$F$55,MATCH($D1464,$B$5:$B$55,0)))/12</f>
        <v>21629.622873241184</v>
      </c>
      <c r="G1464" s="34">
        <f t="shared" ref="G1464:G1527" si="241">IF($C1464="Homens",$Z$17,$AA$17)</f>
        <v>16</v>
      </c>
      <c r="H1464" s="34">
        <f t="shared" ref="H1464:H1527" si="242">1+2*($B1464="Com Transição")+($C1464="Mulheres")</f>
        <v>4</v>
      </c>
      <c r="I1464" s="34" t="str">
        <f t="shared" si="239"/>
        <v/>
      </c>
      <c r="J1464" s="34" t="str">
        <f t="shared" si="239"/>
        <v/>
      </c>
      <c r="K1464" s="34" t="str">
        <f t="shared" si="239"/>
        <v/>
      </c>
      <c r="L1464" s="34" t="str">
        <f t="shared" si="239"/>
        <v/>
      </c>
      <c r="M1464" s="34" t="str">
        <f t="shared" si="239"/>
        <v/>
      </c>
      <c r="N1464" s="34" t="str">
        <f t="shared" si="239"/>
        <v/>
      </c>
      <c r="O1464" s="34" t="str">
        <f t="shared" si="239"/>
        <v/>
      </c>
      <c r="P1464" s="34">
        <f t="shared" si="239"/>
        <v>84</v>
      </c>
      <c r="Q1464" s="34">
        <f t="shared" si="239"/>
        <v>96</v>
      </c>
      <c r="R1464" s="34">
        <f t="shared" si="239"/>
        <v>108</v>
      </c>
      <c r="S1464" s="35">
        <f t="shared" ref="S1464:S1527" si="243">IF($D1464&lt;$Z$18,$G1464,MIN(I1464:R1464))</f>
        <v>84</v>
      </c>
    </row>
    <row r="1465" spans="2:19" hidden="1" outlineLevel="1">
      <c r="B1465" s="14" t="s">
        <v>116</v>
      </c>
      <c r="C1465" s="15" t="s">
        <v>66</v>
      </c>
      <c r="D1465" s="52">
        <v>2037</v>
      </c>
      <c r="E1465" s="34">
        <v>2</v>
      </c>
      <c r="F1465" s="38">
        <f t="shared" si="240"/>
        <v>21629.622873241184</v>
      </c>
      <c r="G1465" s="34">
        <f t="shared" si="241"/>
        <v>16</v>
      </c>
      <c r="H1465" s="34">
        <f t="shared" si="242"/>
        <v>4</v>
      </c>
      <c r="I1465" s="34" t="str">
        <f t="shared" si="239"/>
        <v/>
      </c>
      <c r="J1465" s="34" t="str">
        <f t="shared" si="239"/>
        <v/>
      </c>
      <c r="K1465" s="34" t="str">
        <f t="shared" si="239"/>
        <v/>
      </c>
      <c r="L1465" s="34" t="str">
        <f t="shared" si="239"/>
        <v/>
      </c>
      <c r="M1465" s="34" t="str">
        <f t="shared" si="239"/>
        <v/>
      </c>
      <c r="N1465" s="34" t="str">
        <f t="shared" si="239"/>
        <v/>
      </c>
      <c r="O1465" s="34" t="str">
        <f t="shared" si="239"/>
        <v/>
      </c>
      <c r="P1465" s="34">
        <f t="shared" si="239"/>
        <v>84</v>
      </c>
      <c r="Q1465" s="34">
        <f t="shared" si="239"/>
        <v>95</v>
      </c>
      <c r="R1465" s="34">
        <f t="shared" si="239"/>
        <v>107</v>
      </c>
      <c r="S1465" s="35">
        <f t="shared" si="243"/>
        <v>84</v>
      </c>
    </row>
    <row r="1466" spans="2:19" hidden="1" outlineLevel="1">
      <c r="B1466" s="14" t="s">
        <v>116</v>
      </c>
      <c r="C1466" s="15" t="s">
        <v>66</v>
      </c>
      <c r="D1466" s="52">
        <v>2037</v>
      </c>
      <c r="E1466" s="34">
        <v>3</v>
      </c>
      <c r="F1466" s="38">
        <f t="shared" si="240"/>
        <v>21629.622873241184</v>
      </c>
      <c r="G1466" s="34">
        <f t="shared" si="241"/>
        <v>16</v>
      </c>
      <c r="H1466" s="34">
        <f t="shared" si="242"/>
        <v>4</v>
      </c>
      <c r="I1466" s="34" t="str">
        <f t="shared" si="239"/>
        <v/>
      </c>
      <c r="J1466" s="34" t="str">
        <f t="shared" si="239"/>
        <v/>
      </c>
      <c r="K1466" s="34" t="str">
        <f t="shared" si="239"/>
        <v/>
      </c>
      <c r="L1466" s="34" t="str">
        <f t="shared" si="239"/>
        <v/>
      </c>
      <c r="M1466" s="34" t="str">
        <f t="shared" si="239"/>
        <v/>
      </c>
      <c r="N1466" s="34" t="str">
        <f t="shared" si="239"/>
        <v/>
      </c>
      <c r="O1466" s="34" t="str">
        <f t="shared" si="239"/>
        <v/>
      </c>
      <c r="P1466" s="34">
        <f t="shared" si="239"/>
        <v>84</v>
      </c>
      <c r="Q1466" s="34">
        <f t="shared" si="239"/>
        <v>94</v>
      </c>
      <c r="R1466" s="34">
        <f t="shared" si="239"/>
        <v>106</v>
      </c>
      <c r="S1466" s="35">
        <f t="shared" si="243"/>
        <v>84</v>
      </c>
    </row>
    <row r="1467" spans="2:19" hidden="1" outlineLevel="1">
      <c r="B1467" s="14" t="s">
        <v>116</v>
      </c>
      <c r="C1467" s="15" t="s">
        <v>66</v>
      </c>
      <c r="D1467" s="52">
        <v>2037</v>
      </c>
      <c r="E1467" s="34">
        <v>4</v>
      </c>
      <c r="F1467" s="38">
        <f t="shared" si="240"/>
        <v>21629.622873241184</v>
      </c>
      <c r="G1467" s="34">
        <f t="shared" si="241"/>
        <v>16</v>
      </c>
      <c r="H1467" s="34">
        <f t="shared" si="242"/>
        <v>4</v>
      </c>
      <c r="I1467" s="34" t="str">
        <f t="shared" si="239"/>
        <v/>
      </c>
      <c r="J1467" s="34" t="str">
        <f t="shared" si="239"/>
        <v/>
      </c>
      <c r="K1467" s="34" t="str">
        <f t="shared" si="239"/>
        <v/>
      </c>
      <c r="L1467" s="34" t="str">
        <f t="shared" si="239"/>
        <v/>
      </c>
      <c r="M1467" s="34" t="str">
        <f t="shared" si="239"/>
        <v/>
      </c>
      <c r="N1467" s="34" t="str">
        <f t="shared" si="239"/>
        <v/>
      </c>
      <c r="O1467" s="34" t="str">
        <f t="shared" si="239"/>
        <v/>
      </c>
      <c r="P1467" s="34">
        <f t="shared" si="239"/>
        <v>84</v>
      </c>
      <c r="Q1467" s="34">
        <f t="shared" si="239"/>
        <v>93</v>
      </c>
      <c r="R1467" s="34">
        <f t="shared" si="239"/>
        <v>105</v>
      </c>
      <c r="S1467" s="35">
        <f t="shared" si="243"/>
        <v>84</v>
      </c>
    </row>
    <row r="1468" spans="2:19" hidden="1" outlineLevel="1">
      <c r="B1468" s="14" t="s">
        <v>116</v>
      </c>
      <c r="C1468" s="15" t="s">
        <v>66</v>
      </c>
      <c r="D1468" s="52">
        <v>2037</v>
      </c>
      <c r="E1468" s="34">
        <v>5</v>
      </c>
      <c r="F1468" s="38">
        <f t="shared" si="240"/>
        <v>21629.622873241184</v>
      </c>
      <c r="G1468" s="34">
        <f t="shared" si="241"/>
        <v>16</v>
      </c>
      <c r="H1468" s="34">
        <f t="shared" si="242"/>
        <v>4</v>
      </c>
      <c r="I1468" s="34" t="str">
        <f t="shared" si="239"/>
        <v/>
      </c>
      <c r="J1468" s="34" t="str">
        <f t="shared" si="239"/>
        <v/>
      </c>
      <c r="K1468" s="34" t="str">
        <f t="shared" si="239"/>
        <v/>
      </c>
      <c r="L1468" s="34" t="str">
        <f t="shared" si="239"/>
        <v/>
      </c>
      <c r="M1468" s="34" t="str">
        <f t="shared" si="239"/>
        <v/>
      </c>
      <c r="N1468" s="34" t="str">
        <f t="shared" si="239"/>
        <v/>
      </c>
      <c r="O1468" s="34" t="str">
        <f t="shared" si="239"/>
        <v/>
      </c>
      <c r="P1468" s="34">
        <f t="shared" si="239"/>
        <v>84</v>
      </c>
      <c r="Q1468" s="34">
        <f t="shared" si="239"/>
        <v>92</v>
      </c>
      <c r="R1468" s="34">
        <f t="shared" si="239"/>
        <v>104</v>
      </c>
      <c r="S1468" s="35">
        <f t="shared" si="243"/>
        <v>84</v>
      </c>
    </row>
    <row r="1469" spans="2:19" hidden="1" outlineLevel="1">
      <c r="B1469" s="14" t="s">
        <v>116</v>
      </c>
      <c r="C1469" s="15" t="s">
        <v>66</v>
      </c>
      <c r="D1469" s="52">
        <v>2037</v>
      </c>
      <c r="E1469" s="34">
        <v>6</v>
      </c>
      <c r="F1469" s="38">
        <f t="shared" si="240"/>
        <v>21629.622873241184</v>
      </c>
      <c r="G1469" s="34">
        <f t="shared" si="241"/>
        <v>16</v>
      </c>
      <c r="H1469" s="34">
        <f t="shared" si="242"/>
        <v>4</v>
      </c>
      <c r="I1469" s="34" t="str">
        <f t="shared" si="239"/>
        <v/>
      </c>
      <c r="J1469" s="34" t="str">
        <f t="shared" si="239"/>
        <v/>
      </c>
      <c r="K1469" s="34" t="str">
        <f t="shared" si="239"/>
        <v/>
      </c>
      <c r="L1469" s="34" t="str">
        <f t="shared" si="239"/>
        <v/>
      </c>
      <c r="M1469" s="34" t="str">
        <f t="shared" si="239"/>
        <v/>
      </c>
      <c r="N1469" s="34" t="str">
        <f t="shared" si="239"/>
        <v/>
      </c>
      <c r="O1469" s="34" t="str">
        <f t="shared" si="239"/>
        <v/>
      </c>
      <c r="P1469" s="34">
        <f t="shared" si="239"/>
        <v>84</v>
      </c>
      <c r="Q1469" s="34">
        <f t="shared" si="239"/>
        <v>91</v>
      </c>
      <c r="R1469" s="34">
        <f t="shared" si="239"/>
        <v>103</v>
      </c>
      <c r="S1469" s="35">
        <f t="shared" si="243"/>
        <v>84</v>
      </c>
    </row>
    <row r="1470" spans="2:19" hidden="1" outlineLevel="1">
      <c r="B1470" s="14" t="s">
        <v>116</v>
      </c>
      <c r="C1470" s="15" t="s">
        <v>66</v>
      </c>
      <c r="D1470" s="52">
        <v>2037</v>
      </c>
      <c r="E1470" s="34">
        <v>7</v>
      </c>
      <c r="F1470" s="38">
        <f t="shared" si="240"/>
        <v>21629.622873241184</v>
      </c>
      <c r="G1470" s="34">
        <f t="shared" si="241"/>
        <v>16</v>
      </c>
      <c r="H1470" s="34">
        <f t="shared" si="242"/>
        <v>4</v>
      </c>
      <c r="I1470" s="34" t="str">
        <f t="shared" ref="I1470:R1479" si="244">IF($D1470&lt;$Z$18,"",IF(MAX($G1470,INDEX($C$65:$F$108,$D1470+I$119-2026,$H1470))&lt;=12*I$119-$E1470+12,MAX($G1470,12*I$119-$E1470+1,INDEX($C$65:$F$108,$D1470+I$119-2026,$H1470)),""))</f>
        <v/>
      </c>
      <c r="J1470" s="34" t="str">
        <f t="shared" si="244"/>
        <v/>
      </c>
      <c r="K1470" s="34" t="str">
        <f t="shared" si="244"/>
        <v/>
      </c>
      <c r="L1470" s="34" t="str">
        <f t="shared" si="244"/>
        <v/>
      </c>
      <c r="M1470" s="34" t="str">
        <f t="shared" si="244"/>
        <v/>
      </c>
      <c r="N1470" s="34" t="str">
        <f t="shared" si="244"/>
        <v/>
      </c>
      <c r="O1470" s="34" t="str">
        <f t="shared" si="244"/>
        <v/>
      </c>
      <c r="P1470" s="34">
        <f t="shared" si="244"/>
        <v>84</v>
      </c>
      <c r="Q1470" s="34">
        <f t="shared" si="244"/>
        <v>90</v>
      </c>
      <c r="R1470" s="34">
        <f t="shared" si="244"/>
        <v>102</v>
      </c>
      <c r="S1470" s="35">
        <f t="shared" si="243"/>
        <v>84</v>
      </c>
    </row>
    <row r="1471" spans="2:19" hidden="1" outlineLevel="1">
      <c r="B1471" s="14" t="s">
        <v>116</v>
      </c>
      <c r="C1471" s="15" t="s">
        <v>66</v>
      </c>
      <c r="D1471" s="52">
        <v>2037</v>
      </c>
      <c r="E1471" s="34">
        <v>8</v>
      </c>
      <c r="F1471" s="38">
        <f t="shared" si="240"/>
        <v>21629.622873241184</v>
      </c>
      <c r="G1471" s="34">
        <f t="shared" si="241"/>
        <v>16</v>
      </c>
      <c r="H1471" s="34">
        <f t="shared" si="242"/>
        <v>4</v>
      </c>
      <c r="I1471" s="34" t="str">
        <f t="shared" si="244"/>
        <v/>
      </c>
      <c r="J1471" s="34" t="str">
        <f t="shared" si="244"/>
        <v/>
      </c>
      <c r="K1471" s="34" t="str">
        <f t="shared" si="244"/>
        <v/>
      </c>
      <c r="L1471" s="34" t="str">
        <f t="shared" si="244"/>
        <v/>
      </c>
      <c r="M1471" s="34" t="str">
        <f t="shared" si="244"/>
        <v/>
      </c>
      <c r="N1471" s="34" t="str">
        <f t="shared" si="244"/>
        <v/>
      </c>
      <c r="O1471" s="34" t="str">
        <f t="shared" si="244"/>
        <v/>
      </c>
      <c r="P1471" s="34">
        <f t="shared" si="244"/>
        <v>84</v>
      </c>
      <c r="Q1471" s="34">
        <f t="shared" si="244"/>
        <v>89</v>
      </c>
      <c r="R1471" s="34">
        <f t="shared" si="244"/>
        <v>101</v>
      </c>
      <c r="S1471" s="35">
        <f t="shared" si="243"/>
        <v>84</v>
      </c>
    </row>
    <row r="1472" spans="2:19" hidden="1" outlineLevel="1">
      <c r="B1472" s="14" t="s">
        <v>116</v>
      </c>
      <c r="C1472" s="15" t="s">
        <v>66</v>
      </c>
      <c r="D1472" s="52">
        <v>2037</v>
      </c>
      <c r="E1472" s="34">
        <v>9</v>
      </c>
      <c r="F1472" s="38">
        <f t="shared" si="240"/>
        <v>21629.622873241184</v>
      </c>
      <c r="G1472" s="34">
        <f t="shared" si="241"/>
        <v>16</v>
      </c>
      <c r="H1472" s="34">
        <f t="shared" si="242"/>
        <v>4</v>
      </c>
      <c r="I1472" s="34" t="str">
        <f t="shared" si="244"/>
        <v/>
      </c>
      <c r="J1472" s="34" t="str">
        <f t="shared" si="244"/>
        <v/>
      </c>
      <c r="K1472" s="34" t="str">
        <f t="shared" si="244"/>
        <v/>
      </c>
      <c r="L1472" s="34" t="str">
        <f t="shared" si="244"/>
        <v/>
      </c>
      <c r="M1472" s="34" t="str">
        <f t="shared" si="244"/>
        <v/>
      </c>
      <c r="N1472" s="34" t="str">
        <f t="shared" si="244"/>
        <v/>
      </c>
      <c r="O1472" s="34" t="str">
        <f t="shared" si="244"/>
        <v/>
      </c>
      <c r="P1472" s="34">
        <f t="shared" si="244"/>
        <v>84</v>
      </c>
      <c r="Q1472" s="34">
        <f t="shared" si="244"/>
        <v>88</v>
      </c>
      <c r="R1472" s="34">
        <f t="shared" si="244"/>
        <v>100</v>
      </c>
      <c r="S1472" s="35">
        <f t="shared" si="243"/>
        <v>84</v>
      </c>
    </row>
    <row r="1473" spans="2:19" hidden="1" outlineLevel="1">
      <c r="B1473" s="14" t="s">
        <v>116</v>
      </c>
      <c r="C1473" s="15" t="s">
        <v>66</v>
      </c>
      <c r="D1473" s="52">
        <v>2037</v>
      </c>
      <c r="E1473" s="34">
        <v>10</v>
      </c>
      <c r="F1473" s="38">
        <f t="shared" si="240"/>
        <v>21629.622873241184</v>
      </c>
      <c r="G1473" s="34">
        <f t="shared" si="241"/>
        <v>16</v>
      </c>
      <c r="H1473" s="34">
        <f t="shared" si="242"/>
        <v>4</v>
      </c>
      <c r="I1473" s="34" t="str">
        <f t="shared" si="244"/>
        <v/>
      </c>
      <c r="J1473" s="34" t="str">
        <f t="shared" si="244"/>
        <v/>
      </c>
      <c r="K1473" s="34" t="str">
        <f t="shared" si="244"/>
        <v/>
      </c>
      <c r="L1473" s="34" t="str">
        <f t="shared" si="244"/>
        <v/>
      </c>
      <c r="M1473" s="34" t="str">
        <f t="shared" si="244"/>
        <v/>
      </c>
      <c r="N1473" s="34" t="str">
        <f t="shared" si="244"/>
        <v/>
      </c>
      <c r="O1473" s="34" t="str">
        <f t="shared" si="244"/>
        <v/>
      </c>
      <c r="P1473" s="34">
        <f t="shared" si="244"/>
        <v>84</v>
      </c>
      <c r="Q1473" s="34">
        <f t="shared" si="244"/>
        <v>87</v>
      </c>
      <c r="R1473" s="34">
        <f t="shared" si="244"/>
        <v>99</v>
      </c>
      <c r="S1473" s="35">
        <f t="shared" si="243"/>
        <v>84</v>
      </c>
    </row>
    <row r="1474" spans="2:19" hidden="1" outlineLevel="1">
      <c r="B1474" s="14" t="s">
        <v>116</v>
      </c>
      <c r="C1474" s="15" t="s">
        <v>66</v>
      </c>
      <c r="D1474" s="52">
        <v>2037</v>
      </c>
      <c r="E1474" s="34">
        <v>11</v>
      </c>
      <c r="F1474" s="38">
        <f t="shared" si="240"/>
        <v>21629.622873241184</v>
      </c>
      <c r="G1474" s="34">
        <f t="shared" si="241"/>
        <v>16</v>
      </c>
      <c r="H1474" s="34">
        <f t="shared" si="242"/>
        <v>4</v>
      </c>
      <c r="I1474" s="34" t="str">
        <f t="shared" si="244"/>
        <v/>
      </c>
      <c r="J1474" s="34" t="str">
        <f t="shared" si="244"/>
        <v/>
      </c>
      <c r="K1474" s="34" t="str">
        <f t="shared" si="244"/>
        <v/>
      </c>
      <c r="L1474" s="34" t="str">
        <f t="shared" si="244"/>
        <v/>
      </c>
      <c r="M1474" s="34" t="str">
        <f t="shared" si="244"/>
        <v/>
      </c>
      <c r="N1474" s="34" t="str">
        <f t="shared" si="244"/>
        <v/>
      </c>
      <c r="O1474" s="34" t="str">
        <f t="shared" si="244"/>
        <v/>
      </c>
      <c r="P1474" s="34">
        <f t="shared" si="244"/>
        <v>84</v>
      </c>
      <c r="Q1474" s="34">
        <f t="shared" si="244"/>
        <v>86</v>
      </c>
      <c r="R1474" s="34">
        <f t="shared" si="244"/>
        <v>98</v>
      </c>
      <c r="S1474" s="35">
        <f t="shared" si="243"/>
        <v>84</v>
      </c>
    </row>
    <row r="1475" spans="2:19" hidden="1" outlineLevel="1">
      <c r="B1475" s="14" t="s">
        <v>116</v>
      </c>
      <c r="C1475" s="15" t="s">
        <v>66</v>
      </c>
      <c r="D1475" s="52">
        <v>2037</v>
      </c>
      <c r="E1475" s="34">
        <v>12</v>
      </c>
      <c r="F1475" s="38">
        <f t="shared" si="240"/>
        <v>21629.622873241184</v>
      </c>
      <c r="G1475" s="34">
        <f t="shared" si="241"/>
        <v>16</v>
      </c>
      <c r="H1475" s="34">
        <f t="shared" si="242"/>
        <v>4</v>
      </c>
      <c r="I1475" s="34" t="str">
        <f t="shared" si="244"/>
        <v/>
      </c>
      <c r="J1475" s="34" t="str">
        <f t="shared" si="244"/>
        <v/>
      </c>
      <c r="K1475" s="34" t="str">
        <f t="shared" si="244"/>
        <v/>
      </c>
      <c r="L1475" s="34" t="str">
        <f t="shared" si="244"/>
        <v/>
      </c>
      <c r="M1475" s="34" t="str">
        <f t="shared" si="244"/>
        <v/>
      </c>
      <c r="N1475" s="34" t="str">
        <f t="shared" si="244"/>
        <v/>
      </c>
      <c r="O1475" s="34" t="str">
        <f t="shared" si="244"/>
        <v/>
      </c>
      <c r="P1475" s="34">
        <f t="shared" si="244"/>
        <v>84</v>
      </c>
      <c r="Q1475" s="34">
        <f t="shared" si="244"/>
        <v>85</v>
      </c>
      <c r="R1475" s="34">
        <f t="shared" si="244"/>
        <v>97</v>
      </c>
      <c r="S1475" s="35">
        <f t="shared" si="243"/>
        <v>84</v>
      </c>
    </row>
    <row r="1476" spans="2:19" hidden="1" outlineLevel="1">
      <c r="B1476" s="14" t="s">
        <v>116</v>
      </c>
      <c r="C1476" s="15" t="s">
        <v>66</v>
      </c>
      <c r="D1476" s="52">
        <v>2038</v>
      </c>
      <c r="E1476" s="34">
        <v>1</v>
      </c>
      <c r="F1476" s="38">
        <f t="shared" si="240"/>
        <v>21667.001810895021</v>
      </c>
      <c r="G1476" s="34">
        <f t="shared" si="241"/>
        <v>16</v>
      </c>
      <c r="H1476" s="34">
        <f t="shared" si="242"/>
        <v>4</v>
      </c>
      <c r="I1476" s="34" t="str">
        <f t="shared" si="244"/>
        <v/>
      </c>
      <c r="J1476" s="34" t="str">
        <f t="shared" si="244"/>
        <v/>
      </c>
      <c r="K1476" s="34" t="str">
        <f t="shared" si="244"/>
        <v/>
      </c>
      <c r="L1476" s="34" t="str">
        <f t="shared" si="244"/>
        <v/>
      </c>
      <c r="M1476" s="34" t="str">
        <f t="shared" si="244"/>
        <v/>
      </c>
      <c r="N1476" s="34" t="str">
        <f t="shared" si="244"/>
        <v/>
      </c>
      <c r="O1476" s="34" t="str">
        <f t="shared" si="244"/>
        <v/>
      </c>
      <c r="P1476" s="34">
        <f t="shared" si="244"/>
        <v>84</v>
      </c>
      <c r="Q1476" s="34">
        <f t="shared" si="244"/>
        <v>96</v>
      </c>
      <c r="R1476" s="34">
        <f t="shared" si="244"/>
        <v>108</v>
      </c>
      <c r="S1476" s="35">
        <f t="shared" si="243"/>
        <v>84</v>
      </c>
    </row>
    <row r="1477" spans="2:19" hidden="1" outlineLevel="1">
      <c r="B1477" s="14" t="s">
        <v>116</v>
      </c>
      <c r="C1477" s="15" t="s">
        <v>66</v>
      </c>
      <c r="D1477" s="52">
        <v>2038</v>
      </c>
      <c r="E1477" s="34">
        <v>2</v>
      </c>
      <c r="F1477" s="38">
        <f t="shared" si="240"/>
        <v>21667.001810895021</v>
      </c>
      <c r="G1477" s="34">
        <f t="shared" si="241"/>
        <v>16</v>
      </c>
      <c r="H1477" s="34">
        <f t="shared" si="242"/>
        <v>4</v>
      </c>
      <c r="I1477" s="34" t="str">
        <f t="shared" si="244"/>
        <v/>
      </c>
      <c r="J1477" s="34" t="str">
        <f t="shared" si="244"/>
        <v/>
      </c>
      <c r="K1477" s="34" t="str">
        <f t="shared" si="244"/>
        <v/>
      </c>
      <c r="L1477" s="34" t="str">
        <f t="shared" si="244"/>
        <v/>
      </c>
      <c r="M1477" s="34" t="str">
        <f t="shared" si="244"/>
        <v/>
      </c>
      <c r="N1477" s="34" t="str">
        <f t="shared" si="244"/>
        <v/>
      </c>
      <c r="O1477" s="34" t="str">
        <f t="shared" si="244"/>
        <v/>
      </c>
      <c r="P1477" s="34">
        <f t="shared" si="244"/>
        <v>84</v>
      </c>
      <c r="Q1477" s="34">
        <f t="shared" si="244"/>
        <v>95</v>
      </c>
      <c r="R1477" s="34">
        <f t="shared" si="244"/>
        <v>107</v>
      </c>
      <c r="S1477" s="35">
        <f t="shared" si="243"/>
        <v>84</v>
      </c>
    </row>
    <row r="1478" spans="2:19" hidden="1" outlineLevel="1">
      <c r="B1478" s="14" t="s">
        <v>116</v>
      </c>
      <c r="C1478" s="15" t="s">
        <v>66</v>
      </c>
      <c r="D1478" s="52">
        <v>2038</v>
      </c>
      <c r="E1478" s="34">
        <v>3</v>
      </c>
      <c r="F1478" s="38">
        <f t="shared" si="240"/>
        <v>21667.001810895021</v>
      </c>
      <c r="G1478" s="34">
        <f t="shared" si="241"/>
        <v>16</v>
      </c>
      <c r="H1478" s="34">
        <f t="shared" si="242"/>
        <v>4</v>
      </c>
      <c r="I1478" s="34" t="str">
        <f t="shared" si="244"/>
        <v/>
      </c>
      <c r="J1478" s="34" t="str">
        <f t="shared" si="244"/>
        <v/>
      </c>
      <c r="K1478" s="34" t="str">
        <f t="shared" si="244"/>
        <v/>
      </c>
      <c r="L1478" s="34" t="str">
        <f t="shared" si="244"/>
        <v/>
      </c>
      <c r="M1478" s="34" t="str">
        <f t="shared" si="244"/>
        <v/>
      </c>
      <c r="N1478" s="34" t="str">
        <f t="shared" si="244"/>
        <v/>
      </c>
      <c r="O1478" s="34" t="str">
        <f t="shared" si="244"/>
        <v/>
      </c>
      <c r="P1478" s="34">
        <f t="shared" si="244"/>
        <v>84</v>
      </c>
      <c r="Q1478" s="34">
        <f t="shared" si="244"/>
        <v>94</v>
      </c>
      <c r="R1478" s="34">
        <f t="shared" si="244"/>
        <v>106</v>
      </c>
      <c r="S1478" s="35">
        <f t="shared" si="243"/>
        <v>84</v>
      </c>
    </row>
    <row r="1479" spans="2:19" hidden="1" outlineLevel="1">
      <c r="B1479" s="14" t="s">
        <v>116</v>
      </c>
      <c r="C1479" s="15" t="s">
        <v>66</v>
      </c>
      <c r="D1479" s="52">
        <v>2038</v>
      </c>
      <c r="E1479" s="34">
        <v>4</v>
      </c>
      <c r="F1479" s="38">
        <f t="shared" si="240"/>
        <v>21667.001810895021</v>
      </c>
      <c r="G1479" s="34">
        <f t="shared" si="241"/>
        <v>16</v>
      </c>
      <c r="H1479" s="34">
        <f t="shared" si="242"/>
        <v>4</v>
      </c>
      <c r="I1479" s="34" t="str">
        <f t="shared" si="244"/>
        <v/>
      </c>
      <c r="J1479" s="34" t="str">
        <f t="shared" si="244"/>
        <v/>
      </c>
      <c r="K1479" s="34" t="str">
        <f t="shared" si="244"/>
        <v/>
      </c>
      <c r="L1479" s="34" t="str">
        <f t="shared" si="244"/>
        <v/>
      </c>
      <c r="M1479" s="34" t="str">
        <f t="shared" si="244"/>
        <v/>
      </c>
      <c r="N1479" s="34" t="str">
        <f t="shared" si="244"/>
        <v/>
      </c>
      <c r="O1479" s="34" t="str">
        <f t="shared" si="244"/>
        <v/>
      </c>
      <c r="P1479" s="34">
        <f t="shared" si="244"/>
        <v>84</v>
      </c>
      <c r="Q1479" s="34">
        <f t="shared" si="244"/>
        <v>93</v>
      </c>
      <c r="R1479" s="34">
        <f t="shared" si="244"/>
        <v>105</v>
      </c>
      <c r="S1479" s="35">
        <f t="shared" si="243"/>
        <v>84</v>
      </c>
    </row>
    <row r="1480" spans="2:19" hidden="1" outlineLevel="1">
      <c r="B1480" s="14" t="s">
        <v>116</v>
      </c>
      <c r="C1480" s="15" t="s">
        <v>66</v>
      </c>
      <c r="D1480" s="52">
        <v>2038</v>
      </c>
      <c r="E1480" s="34">
        <v>5</v>
      </c>
      <c r="F1480" s="38">
        <f t="shared" si="240"/>
        <v>21667.001810895021</v>
      </c>
      <c r="G1480" s="34">
        <f t="shared" si="241"/>
        <v>16</v>
      </c>
      <c r="H1480" s="34">
        <f t="shared" si="242"/>
        <v>4</v>
      </c>
      <c r="I1480" s="34" t="str">
        <f t="shared" ref="I1480:R1489" si="245">IF($D1480&lt;$Z$18,"",IF(MAX($G1480,INDEX($C$65:$F$108,$D1480+I$119-2026,$H1480))&lt;=12*I$119-$E1480+12,MAX($G1480,12*I$119-$E1480+1,INDEX($C$65:$F$108,$D1480+I$119-2026,$H1480)),""))</f>
        <v/>
      </c>
      <c r="J1480" s="34" t="str">
        <f t="shared" si="245"/>
        <v/>
      </c>
      <c r="K1480" s="34" t="str">
        <f t="shared" si="245"/>
        <v/>
      </c>
      <c r="L1480" s="34" t="str">
        <f t="shared" si="245"/>
        <v/>
      </c>
      <c r="M1480" s="34" t="str">
        <f t="shared" si="245"/>
        <v/>
      </c>
      <c r="N1480" s="34" t="str">
        <f t="shared" si="245"/>
        <v/>
      </c>
      <c r="O1480" s="34" t="str">
        <f t="shared" si="245"/>
        <v/>
      </c>
      <c r="P1480" s="34">
        <f t="shared" si="245"/>
        <v>84</v>
      </c>
      <c r="Q1480" s="34">
        <f t="shared" si="245"/>
        <v>92</v>
      </c>
      <c r="R1480" s="34">
        <f t="shared" si="245"/>
        <v>104</v>
      </c>
      <c r="S1480" s="35">
        <f t="shared" si="243"/>
        <v>84</v>
      </c>
    </row>
    <row r="1481" spans="2:19" hidden="1" outlineLevel="1">
      <c r="B1481" s="14" t="s">
        <v>116</v>
      </c>
      <c r="C1481" s="15" t="s">
        <v>66</v>
      </c>
      <c r="D1481" s="52">
        <v>2038</v>
      </c>
      <c r="E1481" s="34">
        <v>6</v>
      </c>
      <c r="F1481" s="38">
        <f t="shared" si="240"/>
        <v>21667.001810895021</v>
      </c>
      <c r="G1481" s="34">
        <f t="shared" si="241"/>
        <v>16</v>
      </c>
      <c r="H1481" s="34">
        <f t="shared" si="242"/>
        <v>4</v>
      </c>
      <c r="I1481" s="34" t="str">
        <f t="shared" si="245"/>
        <v/>
      </c>
      <c r="J1481" s="34" t="str">
        <f t="shared" si="245"/>
        <v/>
      </c>
      <c r="K1481" s="34" t="str">
        <f t="shared" si="245"/>
        <v/>
      </c>
      <c r="L1481" s="34" t="str">
        <f t="shared" si="245"/>
        <v/>
      </c>
      <c r="M1481" s="34" t="str">
        <f t="shared" si="245"/>
        <v/>
      </c>
      <c r="N1481" s="34" t="str">
        <f t="shared" si="245"/>
        <v/>
      </c>
      <c r="O1481" s="34" t="str">
        <f t="shared" si="245"/>
        <v/>
      </c>
      <c r="P1481" s="34">
        <f t="shared" si="245"/>
        <v>84</v>
      </c>
      <c r="Q1481" s="34">
        <f t="shared" si="245"/>
        <v>91</v>
      </c>
      <c r="R1481" s="34">
        <f t="shared" si="245"/>
        <v>103</v>
      </c>
      <c r="S1481" s="35">
        <f t="shared" si="243"/>
        <v>84</v>
      </c>
    </row>
    <row r="1482" spans="2:19" hidden="1" outlineLevel="1">
      <c r="B1482" s="14" t="s">
        <v>116</v>
      </c>
      <c r="C1482" s="15" t="s">
        <v>66</v>
      </c>
      <c r="D1482" s="52">
        <v>2038</v>
      </c>
      <c r="E1482" s="34">
        <v>7</v>
      </c>
      <c r="F1482" s="38">
        <f t="shared" si="240"/>
        <v>21667.001810895021</v>
      </c>
      <c r="G1482" s="34">
        <f t="shared" si="241"/>
        <v>16</v>
      </c>
      <c r="H1482" s="34">
        <f t="shared" si="242"/>
        <v>4</v>
      </c>
      <c r="I1482" s="34" t="str">
        <f t="shared" si="245"/>
        <v/>
      </c>
      <c r="J1482" s="34" t="str">
        <f t="shared" si="245"/>
        <v/>
      </c>
      <c r="K1482" s="34" t="str">
        <f t="shared" si="245"/>
        <v/>
      </c>
      <c r="L1482" s="34" t="str">
        <f t="shared" si="245"/>
        <v/>
      </c>
      <c r="M1482" s="34" t="str">
        <f t="shared" si="245"/>
        <v/>
      </c>
      <c r="N1482" s="34" t="str">
        <f t="shared" si="245"/>
        <v/>
      </c>
      <c r="O1482" s="34" t="str">
        <f t="shared" si="245"/>
        <v/>
      </c>
      <c r="P1482" s="34">
        <f t="shared" si="245"/>
        <v>84</v>
      </c>
      <c r="Q1482" s="34">
        <f t="shared" si="245"/>
        <v>90</v>
      </c>
      <c r="R1482" s="34">
        <f t="shared" si="245"/>
        <v>102</v>
      </c>
      <c r="S1482" s="35">
        <f t="shared" si="243"/>
        <v>84</v>
      </c>
    </row>
    <row r="1483" spans="2:19" hidden="1" outlineLevel="1">
      <c r="B1483" s="14" t="s">
        <v>116</v>
      </c>
      <c r="C1483" s="15" t="s">
        <v>66</v>
      </c>
      <c r="D1483" s="52">
        <v>2038</v>
      </c>
      <c r="E1483" s="34">
        <v>8</v>
      </c>
      <c r="F1483" s="38">
        <f t="shared" si="240"/>
        <v>21667.001810895021</v>
      </c>
      <c r="G1483" s="34">
        <f t="shared" si="241"/>
        <v>16</v>
      </c>
      <c r="H1483" s="34">
        <f t="shared" si="242"/>
        <v>4</v>
      </c>
      <c r="I1483" s="34" t="str">
        <f t="shared" si="245"/>
        <v/>
      </c>
      <c r="J1483" s="34" t="str">
        <f t="shared" si="245"/>
        <v/>
      </c>
      <c r="K1483" s="34" t="str">
        <f t="shared" si="245"/>
        <v/>
      </c>
      <c r="L1483" s="34" t="str">
        <f t="shared" si="245"/>
        <v/>
      </c>
      <c r="M1483" s="34" t="str">
        <f t="shared" si="245"/>
        <v/>
      </c>
      <c r="N1483" s="34" t="str">
        <f t="shared" si="245"/>
        <v/>
      </c>
      <c r="O1483" s="34" t="str">
        <f t="shared" si="245"/>
        <v/>
      </c>
      <c r="P1483" s="34">
        <f t="shared" si="245"/>
        <v>84</v>
      </c>
      <c r="Q1483" s="34">
        <f t="shared" si="245"/>
        <v>89</v>
      </c>
      <c r="R1483" s="34">
        <f t="shared" si="245"/>
        <v>101</v>
      </c>
      <c r="S1483" s="35">
        <f t="shared" si="243"/>
        <v>84</v>
      </c>
    </row>
    <row r="1484" spans="2:19" hidden="1" outlineLevel="1">
      <c r="B1484" s="14" t="s">
        <v>116</v>
      </c>
      <c r="C1484" s="15" t="s">
        <v>66</v>
      </c>
      <c r="D1484" s="52">
        <v>2038</v>
      </c>
      <c r="E1484" s="34">
        <v>9</v>
      </c>
      <c r="F1484" s="38">
        <f t="shared" si="240"/>
        <v>21667.001810895021</v>
      </c>
      <c r="G1484" s="34">
        <f t="shared" si="241"/>
        <v>16</v>
      </c>
      <c r="H1484" s="34">
        <f t="shared" si="242"/>
        <v>4</v>
      </c>
      <c r="I1484" s="34" t="str">
        <f t="shared" si="245"/>
        <v/>
      </c>
      <c r="J1484" s="34" t="str">
        <f t="shared" si="245"/>
        <v/>
      </c>
      <c r="K1484" s="34" t="str">
        <f t="shared" si="245"/>
        <v/>
      </c>
      <c r="L1484" s="34" t="str">
        <f t="shared" si="245"/>
        <v/>
      </c>
      <c r="M1484" s="34" t="str">
        <f t="shared" si="245"/>
        <v/>
      </c>
      <c r="N1484" s="34" t="str">
        <f t="shared" si="245"/>
        <v/>
      </c>
      <c r="O1484" s="34" t="str">
        <f t="shared" si="245"/>
        <v/>
      </c>
      <c r="P1484" s="34">
        <f t="shared" si="245"/>
        <v>84</v>
      </c>
      <c r="Q1484" s="34">
        <f t="shared" si="245"/>
        <v>88</v>
      </c>
      <c r="R1484" s="34">
        <f t="shared" si="245"/>
        <v>100</v>
      </c>
      <c r="S1484" s="35">
        <f t="shared" si="243"/>
        <v>84</v>
      </c>
    </row>
    <row r="1485" spans="2:19" hidden="1" outlineLevel="1">
      <c r="B1485" s="14" t="s">
        <v>116</v>
      </c>
      <c r="C1485" s="15" t="s">
        <v>66</v>
      </c>
      <c r="D1485" s="52">
        <v>2038</v>
      </c>
      <c r="E1485" s="34">
        <v>10</v>
      </c>
      <c r="F1485" s="38">
        <f t="shared" si="240"/>
        <v>21667.001810895021</v>
      </c>
      <c r="G1485" s="34">
        <f t="shared" si="241"/>
        <v>16</v>
      </c>
      <c r="H1485" s="34">
        <f t="shared" si="242"/>
        <v>4</v>
      </c>
      <c r="I1485" s="34" t="str">
        <f t="shared" si="245"/>
        <v/>
      </c>
      <c r="J1485" s="34" t="str">
        <f t="shared" si="245"/>
        <v/>
      </c>
      <c r="K1485" s="34" t="str">
        <f t="shared" si="245"/>
        <v/>
      </c>
      <c r="L1485" s="34" t="str">
        <f t="shared" si="245"/>
        <v/>
      </c>
      <c r="M1485" s="34" t="str">
        <f t="shared" si="245"/>
        <v/>
      </c>
      <c r="N1485" s="34" t="str">
        <f t="shared" si="245"/>
        <v/>
      </c>
      <c r="O1485" s="34" t="str">
        <f t="shared" si="245"/>
        <v/>
      </c>
      <c r="P1485" s="34">
        <f t="shared" si="245"/>
        <v>84</v>
      </c>
      <c r="Q1485" s="34">
        <f t="shared" si="245"/>
        <v>87</v>
      </c>
      <c r="R1485" s="34">
        <f t="shared" si="245"/>
        <v>99</v>
      </c>
      <c r="S1485" s="35">
        <f t="shared" si="243"/>
        <v>84</v>
      </c>
    </row>
    <row r="1486" spans="2:19" hidden="1" outlineLevel="1">
      <c r="B1486" s="14" t="s">
        <v>116</v>
      </c>
      <c r="C1486" s="15" t="s">
        <v>66</v>
      </c>
      <c r="D1486" s="52">
        <v>2038</v>
      </c>
      <c r="E1486" s="34">
        <v>11</v>
      </c>
      <c r="F1486" s="38">
        <f t="shared" si="240"/>
        <v>21667.001810895021</v>
      </c>
      <c r="G1486" s="34">
        <f t="shared" si="241"/>
        <v>16</v>
      </c>
      <c r="H1486" s="34">
        <f t="shared" si="242"/>
        <v>4</v>
      </c>
      <c r="I1486" s="34" t="str">
        <f t="shared" si="245"/>
        <v/>
      </c>
      <c r="J1486" s="34" t="str">
        <f t="shared" si="245"/>
        <v/>
      </c>
      <c r="K1486" s="34" t="str">
        <f t="shared" si="245"/>
        <v/>
      </c>
      <c r="L1486" s="34" t="str">
        <f t="shared" si="245"/>
        <v/>
      </c>
      <c r="M1486" s="34" t="str">
        <f t="shared" si="245"/>
        <v/>
      </c>
      <c r="N1486" s="34" t="str">
        <f t="shared" si="245"/>
        <v/>
      </c>
      <c r="O1486" s="34" t="str">
        <f t="shared" si="245"/>
        <v/>
      </c>
      <c r="P1486" s="34">
        <f t="shared" si="245"/>
        <v>84</v>
      </c>
      <c r="Q1486" s="34">
        <f t="shared" si="245"/>
        <v>86</v>
      </c>
      <c r="R1486" s="34">
        <f t="shared" si="245"/>
        <v>98</v>
      </c>
      <c r="S1486" s="35">
        <f t="shared" si="243"/>
        <v>84</v>
      </c>
    </row>
    <row r="1487" spans="2:19" hidden="1" outlineLevel="1">
      <c r="B1487" s="14" t="s">
        <v>116</v>
      </c>
      <c r="C1487" s="15" t="s">
        <v>66</v>
      </c>
      <c r="D1487" s="52">
        <v>2038</v>
      </c>
      <c r="E1487" s="34">
        <v>12</v>
      </c>
      <c r="F1487" s="38">
        <f t="shared" si="240"/>
        <v>21667.001810895021</v>
      </c>
      <c r="G1487" s="34">
        <f t="shared" si="241"/>
        <v>16</v>
      </c>
      <c r="H1487" s="34">
        <f t="shared" si="242"/>
        <v>4</v>
      </c>
      <c r="I1487" s="34" t="str">
        <f t="shared" si="245"/>
        <v/>
      </c>
      <c r="J1487" s="34" t="str">
        <f t="shared" si="245"/>
        <v/>
      </c>
      <c r="K1487" s="34" t="str">
        <f t="shared" si="245"/>
        <v/>
      </c>
      <c r="L1487" s="34" t="str">
        <f t="shared" si="245"/>
        <v/>
      </c>
      <c r="M1487" s="34" t="str">
        <f t="shared" si="245"/>
        <v/>
      </c>
      <c r="N1487" s="34" t="str">
        <f t="shared" si="245"/>
        <v/>
      </c>
      <c r="O1487" s="34" t="str">
        <f t="shared" si="245"/>
        <v/>
      </c>
      <c r="P1487" s="34">
        <f t="shared" si="245"/>
        <v>84</v>
      </c>
      <c r="Q1487" s="34">
        <f t="shared" si="245"/>
        <v>85</v>
      </c>
      <c r="R1487" s="34">
        <f t="shared" si="245"/>
        <v>97</v>
      </c>
      <c r="S1487" s="35">
        <f t="shared" si="243"/>
        <v>84</v>
      </c>
    </row>
    <row r="1488" spans="2:19" hidden="1" outlineLevel="1">
      <c r="B1488" s="14" t="s">
        <v>116</v>
      </c>
      <c r="C1488" s="15" t="s">
        <v>66</v>
      </c>
      <c r="D1488" s="52">
        <v>2039</v>
      </c>
      <c r="E1488" s="34">
        <v>1</v>
      </c>
      <c r="F1488" s="38">
        <f t="shared" si="240"/>
        <v>21701.191776245523</v>
      </c>
      <c r="G1488" s="34">
        <f t="shared" si="241"/>
        <v>16</v>
      </c>
      <c r="H1488" s="34">
        <f t="shared" si="242"/>
        <v>4</v>
      </c>
      <c r="I1488" s="34" t="str">
        <f t="shared" si="245"/>
        <v/>
      </c>
      <c r="J1488" s="34" t="str">
        <f t="shared" si="245"/>
        <v/>
      </c>
      <c r="K1488" s="34" t="str">
        <f t="shared" si="245"/>
        <v/>
      </c>
      <c r="L1488" s="34" t="str">
        <f t="shared" si="245"/>
        <v/>
      </c>
      <c r="M1488" s="34" t="str">
        <f t="shared" si="245"/>
        <v/>
      </c>
      <c r="N1488" s="34" t="str">
        <f t="shared" si="245"/>
        <v/>
      </c>
      <c r="O1488" s="34" t="str">
        <f t="shared" si="245"/>
        <v/>
      </c>
      <c r="P1488" s="34">
        <f t="shared" si="245"/>
        <v>84</v>
      </c>
      <c r="Q1488" s="34">
        <f t="shared" si="245"/>
        <v>96</v>
      </c>
      <c r="R1488" s="34">
        <f t="shared" si="245"/>
        <v>108</v>
      </c>
      <c r="S1488" s="35">
        <f t="shared" si="243"/>
        <v>84</v>
      </c>
    </row>
    <row r="1489" spans="2:19" hidden="1" outlineLevel="1">
      <c r="B1489" s="14" t="s">
        <v>116</v>
      </c>
      <c r="C1489" s="15" t="s">
        <v>66</v>
      </c>
      <c r="D1489" s="52">
        <v>2039</v>
      </c>
      <c r="E1489" s="34">
        <v>2</v>
      </c>
      <c r="F1489" s="38">
        <f t="shared" si="240"/>
        <v>21701.191776245523</v>
      </c>
      <c r="G1489" s="34">
        <f t="shared" si="241"/>
        <v>16</v>
      </c>
      <c r="H1489" s="34">
        <f t="shared" si="242"/>
        <v>4</v>
      </c>
      <c r="I1489" s="34" t="str">
        <f t="shared" si="245"/>
        <v/>
      </c>
      <c r="J1489" s="34" t="str">
        <f t="shared" si="245"/>
        <v/>
      </c>
      <c r="K1489" s="34" t="str">
        <f t="shared" si="245"/>
        <v/>
      </c>
      <c r="L1489" s="34" t="str">
        <f t="shared" si="245"/>
        <v/>
      </c>
      <c r="M1489" s="34" t="str">
        <f t="shared" si="245"/>
        <v/>
      </c>
      <c r="N1489" s="34" t="str">
        <f t="shared" si="245"/>
        <v/>
      </c>
      <c r="O1489" s="34" t="str">
        <f t="shared" si="245"/>
        <v/>
      </c>
      <c r="P1489" s="34">
        <f t="shared" si="245"/>
        <v>84</v>
      </c>
      <c r="Q1489" s="34">
        <f t="shared" si="245"/>
        <v>95</v>
      </c>
      <c r="R1489" s="34">
        <f t="shared" si="245"/>
        <v>107</v>
      </c>
      <c r="S1489" s="35">
        <f t="shared" si="243"/>
        <v>84</v>
      </c>
    </row>
    <row r="1490" spans="2:19" hidden="1" outlineLevel="1">
      <c r="B1490" s="14" t="s">
        <v>116</v>
      </c>
      <c r="C1490" s="15" t="s">
        <v>66</v>
      </c>
      <c r="D1490" s="52">
        <v>2039</v>
      </c>
      <c r="E1490" s="34">
        <v>3</v>
      </c>
      <c r="F1490" s="38">
        <f t="shared" si="240"/>
        <v>21701.191776245523</v>
      </c>
      <c r="G1490" s="34">
        <f t="shared" si="241"/>
        <v>16</v>
      </c>
      <c r="H1490" s="34">
        <f t="shared" si="242"/>
        <v>4</v>
      </c>
      <c r="I1490" s="34" t="str">
        <f t="shared" ref="I1490:R1499" si="246">IF($D1490&lt;$Z$18,"",IF(MAX($G1490,INDEX($C$65:$F$108,$D1490+I$119-2026,$H1490))&lt;=12*I$119-$E1490+12,MAX($G1490,12*I$119-$E1490+1,INDEX($C$65:$F$108,$D1490+I$119-2026,$H1490)),""))</f>
        <v/>
      </c>
      <c r="J1490" s="34" t="str">
        <f t="shared" si="246"/>
        <v/>
      </c>
      <c r="K1490" s="34" t="str">
        <f t="shared" si="246"/>
        <v/>
      </c>
      <c r="L1490" s="34" t="str">
        <f t="shared" si="246"/>
        <v/>
      </c>
      <c r="M1490" s="34" t="str">
        <f t="shared" si="246"/>
        <v/>
      </c>
      <c r="N1490" s="34" t="str">
        <f t="shared" si="246"/>
        <v/>
      </c>
      <c r="O1490" s="34" t="str">
        <f t="shared" si="246"/>
        <v/>
      </c>
      <c r="P1490" s="34">
        <f t="shared" si="246"/>
        <v>84</v>
      </c>
      <c r="Q1490" s="34">
        <f t="shared" si="246"/>
        <v>94</v>
      </c>
      <c r="R1490" s="34">
        <f t="shared" si="246"/>
        <v>106</v>
      </c>
      <c r="S1490" s="35">
        <f t="shared" si="243"/>
        <v>84</v>
      </c>
    </row>
    <row r="1491" spans="2:19" hidden="1" outlineLevel="1">
      <c r="B1491" s="14" t="s">
        <v>116</v>
      </c>
      <c r="C1491" s="15" t="s">
        <v>66</v>
      </c>
      <c r="D1491" s="52">
        <v>2039</v>
      </c>
      <c r="E1491" s="34">
        <v>4</v>
      </c>
      <c r="F1491" s="38">
        <f t="shared" si="240"/>
        <v>21701.191776245523</v>
      </c>
      <c r="G1491" s="34">
        <f t="shared" si="241"/>
        <v>16</v>
      </c>
      <c r="H1491" s="34">
        <f t="shared" si="242"/>
        <v>4</v>
      </c>
      <c r="I1491" s="34" t="str">
        <f t="shared" si="246"/>
        <v/>
      </c>
      <c r="J1491" s="34" t="str">
        <f t="shared" si="246"/>
        <v/>
      </c>
      <c r="K1491" s="34" t="str">
        <f t="shared" si="246"/>
        <v/>
      </c>
      <c r="L1491" s="34" t="str">
        <f t="shared" si="246"/>
        <v/>
      </c>
      <c r="M1491" s="34" t="str">
        <f t="shared" si="246"/>
        <v/>
      </c>
      <c r="N1491" s="34" t="str">
        <f t="shared" si="246"/>
        <v/>
      </c>
      <c r="O1491" s="34" t="str">
        <f t="shared" si="246"/>
        <v/>
      </c>
      <c r="P1491" s="34">
        <f t="shared" si="246"/>
        <v>84</v>
      </c>
      <c r="Q1491" s="34">
        <f t="shared" si="246"/>
        <v>93</v>
      </c>
      <c r="R1491" s="34">
        <f t="shared" si="246"/>
        <v>105</v>
      </c>
      <c r="S1491" s="35">
        <f t="shared" si="243"/>
        <v>84</v>
      </c>
    </row>
    <row r="1492" spans="2:19" hidden="1" outlineLevel="1">
      <c r="B1492" s="14" t="s">
        <v>116</v>
      </c>
      <c r="C1492" s="15" t="s">
        <v>66</v>
      </c>
      <c r="D1492" s="52">
        <v>2039</v>
      </c>
      <c r="E1492" s="34">
        <v>5</v>
      </c>
      <c r="F1492" s="38">
        <f t="shared" si="240"/>
        <v>21701.191776245523</v>
      </c>
      <c r="G1492" s="34">
        <f t="shared" si="241"/>
        <v>16</v>
      </c>
      <c r="H1492" s="34">
        <f t="shared" si="242"/>
        <v>4</v>
      </c>
      <c r="I1492" s="34" t="str">
        <f t="shared" si="246"/>
        <v/>
      </c>
      <c r="J1492" s="34" t="str">
        <f t="shared" si="246"/>
        <v/>
      </c>
      <c r="K1492" s="34" t="str">
        <f t="shared" si="246"/>
        <v/>
      </c>
      <c r="L1492" s="34" t="str">
        <f t="shared" si="246"/>
        <v/>
      </c>
      <c r="M1492" s="34" t="str">
        <f t="shared" si="246"/>
        <v/>
      </c>
      <c r="N1492" s="34" t="str">
        <f t="shared" si="246"/>
        <v/>
      </c>
      <c r="O1492" s="34" t="str">
        <f t="shared" si="246"/>
        <v/>
      </c>
      <c r="P1492" s="34">
        <f t="shared" si="246"/>
        <v>84</v>
      </c>
      <c r="Q1492" s="34">
        <f t="shared" si="246"/>
        <v>92</v>
      </c>
      <c r="R1492" s="34">
        <f t="shared" si="246"/>
        <v>104</v>
      </c>
      <c r="S1492" s="35">
        <f t="shared" si="243"/>
        <v>84</v>
      </c>
    </row>
    <row r="1493" spans="2:19" hidden="1" outlineLevel="1">
      <c r="B1493" s="14" t="s">
        <v>116</v>
      </c>
      <c r="C1493" s="15" t="s">
        <v>66</v>
      </c>
      <c r="D1493" s="52">
        <v>2039</v>
      </c>
      <c r="E1493" s="34">
        <v>6</v>
      </c>
      <c r="F1493" s="38">
        <f t="shared" si="240"/>
        <v>21701.191776245523</v>
      </c>
      <c r="G1493" s="34">
        <f t="shared" si="241"/>
        <v>16</v>
      </c>
      <c r="H1493" s="34">
        <f t="shared" si="242"/>
        <v>4</v>
      </c>
      <c r="I1493" s="34" t="str">
        <f t="shared" si="246"/>
        <v/>
      </c>
      <c r="J1493" s="34" t="str">
        <f t="shared" si="246"/>
        <v/>
      </c>
      <c r="K1493" s="34" t="str">
        <f t="shared" si="246"/>
        <v/>
      </c>
      <c r="L1493" s="34" t="str">
        <f t="shared" si="246"/>
        <v/>
      </c>
      <c r="M1493" s="34" t="str">
        <f t="shared" si="246"/>
        <v/>
      </c>
      <c r="N1493" s="34" t="str">
        <f t="shared" si="246"/>
        <v/>
      </c>
      <c r="O1493" s="34" t="str">
        <f t="shared" si="246"/>
        <v/>
      </c>
      <c r="P1493" s="34">
        <f t="shared" si="246"/>
        <v>84</v>
      </c>
      <c r="Q1493" s="34">
        <f t="shared" si="246"/>
        <v>91</v>
      </c>
      <c r="R1493" s="34">
        <f t="shared" si="246"/>
        <v>103</v>
      </c>
      <c r="S1493" s="35">
        <f t="shared" si="243"/>
        <v>84</v>
      </c>
    </row>
    <row r="1494" spans="2:19" hidden="1" outlineLevel="1">
      <c r="B1494" s="14" t="s">
        <v>116</v>
      </c>
      <c r="C1494" s="15" t="s">
        <v>66</v>
      </c>
      <c r="D1494" s="52">
        <v>2039</v>
      </c>
      <c r="E1494" s="34">
        <v>7</v>
      </c>
      <c r="F1494" s="38">
        <f t="shared" si="240"/>
        <v>21701.191776245523</v>
      </c>
      <c r="G1494" s="34">
        <f t="shared" si="241"/>
        <v>16</v>
      </c>
      <c r="H1494" s="34">
        <f t="shared" si="242"/>
        <v>4</v>
      </c>
      <c r="I1494" s="34" t="str">
        <f t="shared" si="246"/>
        <v/>
      </c>
      <c r="J1494" s="34" t="str">
        <f t="shared" si="246"/>
        <v/>
      </c>
      <c r="K1494" s="34" t="str">
        <f t="shared" si="246"/>
        <v/>
      </c>
      <c r="L1494" s="34" t="str">
        <f t="shared" si="246"/>
        <v/>
      </c>
      <c r="M1494" s="34" t="str">
        <f t="shared" si="246"/>
        <v/>
      </c>
      <c r="N1494" s="34" t="str">
        <f t="shared" si="246"/>
        <v/>
      </c>
      <c r="O1494" s="34" t="str">
        <f t="shared" si="246"/>
        <v/>
      </c>
      <c r="P1494" s="34">
        <f t="shared" si="246"/>
        <v>84</v>
      </c>
      <c r="Q1494" s="34">
        <f t="shared" si="246"/>
        <v>90</v>
      </c>
      <c r="R1494" s="34">
        <f t="shared" si="246"/>
        <v>102</v>
      </c>
      <c r="S1494" s="35">
        <f t="shared" si="243"/>
        <v>84</v>
      </c>
    </row>
    <row r="1495" spans="2:19" hidden="1" outlineLevel="1">
      <c r="B1495" s="14" t="s">
        <v>116</v>
      </c>
      <c r="C1495" s="15" t="s">
        <v>66</v>
      </c>
      <c r="D1495" s="52">
        <v>2039</v>
      </c>
      <c r="E1495" s="34">
        <v>8</v>
      </c>
      <c r="F1495" s="38">
        <f t="shared" si="240"/>
        <v>21701.191776245523</v>
      </c>
      <c r="G1495" s="34">
        <f t="shared" si="241"/>
        <v>16</v>
      </c>
      <c r="H1495" s="34">
        <f t="shared" si="242"/>
        <v>4</v>
      </c>
      <c r="I1495" s="34" t="str">
        <f t="shared" si="246"/>
        <v/>
      </c>
      <c r="J1495" s="34" t="str">
        <f t="shared" si="246"/>
        <v/>
      </c>
      <c r="K1495" s="34" t="str">
        <f t="shared" si="246"/>
        <v/>
      </c>
      <c r="L1495" s="34" t="str">
        <f t="shared" si="246"/>
        <v/>
      </c>
      <c r="M1495" s="34" t="str">
        <f t="shared" si="246"/>
        <v/>
      </c>
      <c r="N1495" s="34" t="str">
        <f t="shared" si="246"/>
        <v/>
      </c>
      <c r="O1495" s="34" t="str">
        <f t="shared" si="246"/>
        <v/>
      </c>
      <c r="P1495" s="34">
        <f t="shared" si="246"/>
        <v>84</v>
      </c>
      <c r="Q1495" s="34">
        <f t="shared" si="246"/>
        <v>89</v>
      </c>
      <c r="R1495" s="34">
        <f t="shared" si="246"/>
        <v>101</v>
      </c>
      <c r="S1495" s="35">
        <f t="shared" si="243"/>
        <v>84</v>
      </c>
    </row>
    <row r="1496" spans="2:19" hidden="1" outlineLevel="1">
      <c r="B1496" s="14" t="s">
        <v>116</v>
      </c>
      <c r="C1496" s="15" t="s">
        <v>66</v>
      </c>
      <c r="D1496" s="52">
        <v>2039</v>
      </c>
      <c r="E1496" s="34">
        <v>9</v>
      </c>
      <c r="F1496" s="38">
        <f t="shared" si="240"/>
        <v>21701.191776245523</v>
      </c>
      <c r="G1496" s="34">
        <f t="shared" si="241"/>
        <v>16</v>
      </c>
      <c r="H1496" s="34">
        <f t="shared" si="242"/>
        <v>4</v>
      </c>
      <c r="I1496" s="34" t="str">
        <f t="shared" si="246"/>
        <v/>
      </c>
      <c r="J1496" s="34" t="str">
        <f t="shared" si="246"/>
        <v/>
      </c>
      <c r="K1496" s="34" t="str">
        <f t="shared" si="246"/>
        <v/>
      </c>
      <c r="L1496" s="34" t="str">
        <f t="shared" si="246"/>
        <v/>
      </c>
      <c r="M1496" s="34" t="str">
        <f t="shared" si="246"/>
        <v/>
      </c>
      <c r="N1496" s="34" t="str">
        <f t="shared" si="246"/>
        <v/>
      </c>
      <c r="O1496" s="34" t="str">
        <f t="shared" si="246"/>
        <v/>
      </c>
      <c r="P1496" s="34">
        <f t="shared" si="246"/>
        <v>84</v>
      </c>
      <c r="Q1496" s="34">
        <f t="shared" si="246"/>
        <v>88</v>
      </c>
      <c r="R1496" s="34">
        <f t="shared" si="246"/>
        <v>100</v>
      </c>
      <c r="S1496" s="35">
        <f t="shared" si="243"/>
        <v>84</v>
      </c>
    </row>
    <row r="1497" spans="2:19" hidden="1" outlineLevel="1">
      <c r="B1497" s="14" t="s">
        <v>116</v>
      </c>
      <c r="C1497" s="15" t="s">
        <v>66</v>
      </c>
      <c r="D1497" s="52">
        <v>2039</v>
      </c>
      <c r="E1497" s="34">
        <v>10</v>
      </c>
      <c r="F1497" s="38">
        <f t="shared" si="240"/>
        <v>21701.191776245523</v>
      </c>
      <c r="G1497" s="34">
        <f t="shared" si="241"/>
        <v>16</v>
      </c>
      <c r="H1497" s="34">
        <f t="shared" si="242"/>
        <v>4</v>
      </c>
      <c r="I1497" s="34" t="str">
        <f t="shared" si="246"/>
        <v/>
      </c>
      <c r="J1497" s="34" t="str">
        <f t="shared" si="246"/>
        <v/>
      </c>
      <c r="K1497" s="34" t="str">
        <f t="shared" si="246"/>
        <v/>
      </c>
      <c r="L1497" s="34" t="str">
        <f t="shared" si="246"/>
        <v/>
      </c>
      <c r="M1497" s="34" t="str">
        <f t="shared" si="246"/>
        <v/>
      </c>
      <c r="N1497" s="34" t="str">
        <f t="shared" si="246"/>
        <v/>
      </c>
      <c r="O1497" s="34" t="str">
        <f t="shared" si="246"/>
        <v/>
      </c>
      <c r="P1497" s="34">
        <f t="shared" si="246"/>
        <v>84</v>
      </c>
      <c r="Q1497" s="34">
        <f t="shared" si="246"/>
        <v>87</v>
      </c>
      <c r="R1497" s="34">
        <f t="shared" si="246"/>
        <v>99</v>
      </c>
      <c r="S1497" s="35">
        <f t="shared" si="243"/>
        <v>84</v>
      </c>
    </row>
    <row r="1498" spans="2:19" hidden="1" outlineLevel="1">
      <c r="B1498" s="14" t="s">
        <v>116</v>
      </c>
      <c r="C1498" s="15" t="s">
        <v>66</v>
      </c>
      <c r="D1498" s="52">
        <v>2039</v>
      </c>
      <c r="E1498" s="34">
        <v>11</v>
      </c>
      <c r="F1498" s="38">
        <f t="shared" si="240"/>
        <v>21701.191776245523</v>
      </c>
      <c r="G1498" s="34">
        <f t="shared" si="241"/>
        <v>16</v>
      </c>
      <c r="H1498" s="34">
        <f t="shared" si="242"/>
        <v>4</v>
      </c>
      <c r="I1498" s="34" t="str">
        <f t="shared" si="246"/>
        <v/>
      </c>
      <c r="J1498" s="34" t="str">
        <f t="shared" si="246"/>
        <v/>
      </c>
      <c r="K1498" s="34" t="str">
        <f t="shared" si="246"/>
        <v/>
      </c>
      <c r="L1498" s="34" t="str">
        <f t="shared" si="246"/>
        <v/>
      </c>
      <c r="M1498" s="34" t="str">
        <f t="shared" si="246"/>
        <v/>
      </c>
      <c r="N1498" s="34" t="str">
        <f t="shared" si="246"/>
        <v/>
      </c>
      <c r="O1498" s="34" t="str">
        <f t="shared" si="246"/>
        <v/>
      </c>
      <c r="P1498" s="34">
        <f t="shared" si="246"/>
        <v>84</v>
      </c>
      <c r="Q1498" s="34">
        <f t="shared" si="246"/>
        <v>86</v>
      </c>
      <c r="R1498" s="34">
        <f t="shared" si="246"/>
        <v>98</v>
      </c>
      <c r="S1498" s="35">
        <f t="shared" si="243"/>
        <v>84</v>
      </c>
    </row>
    <row r="1499" spans="2:19" hidden="1" outlineLevel="1">
      <c r="B1499" s="14" t="s">
        <v>116</v>
      </c>
      <c r="C1499" s="15" t="s">
        <v>66</v>
      </c>
      <c r="D1499" s="52">
        <v>2039</v>
      </c>
      <c r="E1499" s="34">
        <v>12</v>
      </c>
      <c r="F1499" s="38">
        <f t="shared" si="240"/>
        <v>21701.191776245523</v>
      </c>
      <c r="G1499" s="34">
        <f t="shared" si="241"/>
        <v>16</v>
      </c>
      <c r="H1499" s="34">
        <f t="shared" si="242"/>
        <v>4</v>
      </c>
      <c r="I1499" s="34" t="str">
        <f t="shared" si="246"/>
        <v/>
      </c>
      <c r="J1499" s="34" t="str">
        <f t="shared" si="246"/>
        <v/>
      </c>
      <c r="K1499" s="34" t="str">
        <f t="shared" si="246"/>
        <v/>
      </c>
      <c r="L1499" s="34" t="str">
        <f t="shared" si="246"/>
        <v/>
      </c>
      <c r="M1499" s="34" t="str">
        <f t="shared" si="246"/>
        <v/>
      </c>
      <c r="N1499" s="34" t="str">
        <f t="shared" si="246"/>
        <v/>
      </c>
      <c r="O1499" s="34" t="str">
        <f t="shared" si="246"/>
        <v/>
      </c>
      <c r="P1499" s="34">
        <f t="shared" si="246"/>
        <v>84</v>
      </c>
      <c r="Q1499" s="34">
        <f t="shared" si="246"/>
        <v>85</v>
      </c>
      <c r="R1499" s="34">
        <f t="shared" si="246"/>
        <v>97</v>
      </c>
      <c r="S1499" s="35">
        <f t="shared" si="243"/>
        <v>84</v>
      </c>
    </row>
    <row r="1500" spans="2:19" hidden="1" outlineLevel="1">
      <c r="B1500" s="14" t="s">
        <v>116</v>
      </c>
      <c r="C1500" s="15" t="s">
        <v>66</v>
      </c>
      <c r="D1500" s="52">
        <v>2040</v>
      </c>
      <c r="E1500" s="34">
        <v>1</v>
      </c>
      <c r="F1500" s="38">
        <f t="shared" si="240"/>
        <v>21646.56102121299</v>
      </c>
      <c r="G1500" s="34">
        <f t="shared" si="241"/>
        <v>16</v>
      </c>
      <c r="H1500" s="34">
        <f t="shared" si="242"/>
        <v>4</v>
      </c>
      <c r="I1500" s="34" t="str">
        <f t="shared" ref="I1500:R1509" si="247">IF($D1500&lt;$Z$18,"",IF(MAX($G1500,INDEX($C$65:$F$108,$D1500+I$119-2026,$H1500))&lt;=12*I$119-$E1500+12,MAX($G1500,12*I$119-$E1500+1,INDEX($C$65:$F$108,$D1500+I$119-2026,$H1500)),""))</f>
        <v/>
      </c>
      <c r="J1500" s="34" t="str">
        <f t="shared" si="247"/>
        <v/>
      </c>
      <c r="K1500" s="34" t="str">
        <f t="shared" si="247"/>
        <v/>
      </c>
      <c r="L1500" s="34" t="str">
        <f t="shared" si="247"/>
        <v/>
      </c>
      <c r="M1500" s="34" t="str">
        <f t="shared" si="247"/>
        <v/>
      </c>
      <c r="N1500" s="34" t="str">
        <f t="shared" si="247"/>
        <v/>
      </c>
      <c r="O1500" s="34" t="str">
        <f t="shared" si="247"/>
        <v/>
      </c>
      <c r="P1500" s="34">
        <f t="shared" si="247"/>
        <v>84</v>
      </c>
      <c r="Q1500" s="34">
        <f t="shared" si="247"/>
        <v>96</v>
      </c>
      <c r="R1500" s="34">
        <f t="shared" si="247"/>
        <v>108</v>
      </c>
      <c r="S1500" s="35">
        <f t="shared" si="243"/>
        <v>84</v>
      </c>
    </row>
    <row r="1501" spans="2:19" hidden="1" outlineLevel="1">
      <c r="B1501" s="14" t="s">
        <v>116</v>
      </c>
      <c r="C1501" s="15" t="s">
        <v>66</v>
      </c>
      <c r="D1501" s="52">
        <v>2040</v>
      </c>
      <c r="E1501" s="34">
        <v>2</v>
      </c>
      <c r="F1501" s="38">
        <f t="shared" si="240"/>
        <v>21646.56102121299</v>
      </c>
      <c r="G1501" s="34">
        <f t="shared" si="241"/>
        <v>16</v>
      </c>
      <c r="H1501" s="34">
        <f t="shared" si="242"/>
        <v>4</v>
      </c>
      <c r="I1501" s="34" t="str">
        <f t="shared" si="247"/>
        <v/>
      </c>
      <c r="J1501" s="34" t="str">
        <f t="shared" si="247"/>
        <v/>
      </c>
      <c r="K1501" s="34" t="str">
        <f t="shared" si="247"/>
        <v/>
      </c>
      <c r="L1501" s="34" t="str">
        <f t="shared" si="247"/>
        <v/>
      </c>
      <c r="M1501" s="34" t="str">
        <f t="shared" si="247"/>
        <v/>
      </c>
      <c r="N1501" s="34" t="str">
        <f t="shared" si="247"/>
        <v/>
      </c>
      <c r="O1501" s="34" t="str">
        <f t="shared" si="247"/>
        <v/>
      </c>
      <c r="P1501" s="34">
        <f t="shared" si="247"/>
        <v>84</v>
      </c>
      <c r="Q1501" s="34">
        <f t="shared" si="247"/>
        <v>95</v>
      </c>
      <c r="R1501" s="34">
        <f t="shared" si="247"/>
        <v>107</v>
      </c>
      <c r="S1501" s="35">
        <f t="shared" si="243"/>
        <v>84</v>
      </c>
    </row>
    <row r="1502" spans="2:19" hidden="1" outlineLevel="1">
      <c r="B1502" s="14" t="s">
        <v>116</v>
      </c>
      <c r="C1502" s="15" t="s">
        <v>66</v>
      </c>
      <c r="D1502" s="52">
        <v>2040</v>
      </c>
      <c r="E1502" s="34">
        <v>3</v>
      </c>
      <c r="F1502" s="38">
        <f t="shared" si="240"/>
        <v>21646.56102121299</v>
      </c>
      <c r="G1502" s="34">
        <f t="shared" si="241"/>
        <v>16</v>
      </c>
      <c r="H1502" s="34">
        <f t="shared" si="242"/>
        <v>4</v>
      </c>
      <c r="I1502" s="34" t="str">
        <f t="shared" si="247"/>
        <v/>
      </c>
      <c r="J1502" s="34" t="str">
        <f t="shared" si="247"/>
        <v/>
      </c>
      <c r="K1502" s="34" t="str">
        <f t="shared" si="247"/>
        <v/>
      </c>
      <c r="L1502" s="34" t="str">
        <f t="shared" si="247"/>
        <v/>
      </c>
      <c r="M1502" s="34" t="str">
        <f t="shared" si="247"/>
        <v/>
      </c>
      <c r="N1502" s="34" t="str">
        <f t="shared" si="247"/>
        <v/>
      </c>
      <c r="O1502" s="34" t="str">
        <f t="shared" si="247"/>
        <v/>
      </c>
      <c r="P1502" s="34">
        <f t="shared" si="247"/>
        <v>84</v>
      </c>
      <c r="Q1502" s="34">
        <f t="shared" si="247"/>
        <v>94</v>
      </c>
      <c r="R1502" s="34">
        <f t="shared" si="247"/>
        <v>106</v>
      </c>
      <c r="S1502" s="35">
        <f t="shared" si="243"/>
        <v>84</v>
      </c>
    </row>
    <row r="1503" spans="2:19" hidden="1" outlineLevel="1">
      <c r="B1503" s="14" t="s">
        <v>116</v>
      </c>
      <c r="C1503" s="15" t="s">
        <v>66</v>
      </c>
      <c r="D1503" s="52">
        <v>2040</v>
      </c>
      <c r="E1503" s="34">
        <v>4</v>
      </c>
      <c r="F1503" s="38">
        <f t="shared" si="240"/>
        <v>21646.56102121299</v>
      </c>
      <c r="G1503" s="34">
        <f t="shared" si="241"/>
        <v>16</v>
      </c>
      <c r="H1503" s="34">
        <f t="shared" si="242"/>
        <v>4</v>
      </c>
      <c r="I1503" s="34" t="str">
        <f t="shared" si="247"/>
        <v/>
      </c>
      <c r="J1503" s="34" t="str">
        <f t="shared" si="247"/>
        <v/>
      </c>
      <c r="K1503" s="34" t="str">
        <f t="shared" si="247"/>
        <v/>
      </c>
      <c r="L1503" s="34" t="str">
        <f t="shared" si="247"/>
        <v/>
      </c>
      <c r="M1503" s="34" t="str">
        <f t="shared" si="247"/>
        <v/>
      </c>
      <c r="N1503" s="34" t="str">
        <f t="shared" si="247"/>
        <v/>
      </c>
      <c r="O1503" s="34" t="str">
        <f t="shared" si="247"/>
        <v/>
      </c>
      <c r="P1503" s="34">
        <f t="shared" si="247"/>
        <v>84</v>
      </c>
      <c r="Q1503" s="34">
        <f t="shared" si="247"/>
        <v>93</v>
      </c>
      <c r="R1503" s="34">
        <f t="shared" si="247"/>
        <v>105</v>
      </c>
      <c r="S1503" s="35">
        <f t="shared" si="243"/>
        <v>84</v>
      </c>
    </row>
    <row r="1504" spans="2:19" hidden="1" outlineLevel="1">
      <c r="B1504" s="14" t="s">
        <v>116</v>
      </c>
      <c r="C1504" s="15" t="s">
        <v>66</v>
      </c>
      <c r="D1504" s="52">
        <v>2040</v>
      </c>
      <c r="E1504" s="34">
        <v>5</v>
      </c>
      <c r="F1504" s="38">
        <f t="shared" si="240"/>
        <v>21646.56102121299</v>
      </c>
      <c r="G1504" s="34">
        <f t="shared" si="241"/>
        <v>16</v>
      </c>
      <c r="H1504" s="34">
        <f t="shared" si="242"/>
        <v>4</v>
      </c>
      <c r="I1504" s="34" t="str">
        <f t="shared" si="247"/>
        <v/>
      </c>
      <c r="J1504" s="34" t="str">
        <f t="shared" si="247"/>
        <v/>
      </c>
      <c r="K1504" s="34" t="str">
        <f t="shared" si="247"/>
        <v/>
      </c>
      <c r="L1504" s="34" t="str">
        <f t="shared" si="247"/>
        <v/>
      </c>
      <c r="M1504" s="34" t="str">
        <f t="shared" si="247"/>
        <v/>
      </c>
      <c r="N1504" s="34" t="str">
        <f t="shared" si="247"/>
        <v/>
      </c>
      <c r="O1504" s="34" t="str">
        <f t="shared" si="247"/>
        <v/>
      </c>
      <c r="P1504" s="34">
        <f t="shared" si="247"/>
        <v>84</v>
      </c>
      <c r="Q1504" s="34">
        <f t="shared" si="247"/>
        <v>92</v>
      </c>
      <c r="R1504" s="34">
        <f t="shared" si="247"/>
        <v>104</v>
      </c>
      <c r="S1504" s="35">
        <f t="shared" si="243"/>
        <v>84</v>
      </c>
    </row>
    <row r="1505" spans="2:19" hidden="1" outlineLevel="1">
      <c r="B1505" s="14" t="s">
        <v>116</v>
      </c>
      <c r="C1505" s="15" t="s">
        <v>66</v>
      </c>
      <c r="D1505" s="52">
        <v>2040</v>
      </c>
      <c r="E1505" s="34">
        <v>6</v>
      </c>
      <c r="F1505" s="38">
        <f t="shared" si="240"/>
        <v>21646.56102121299</v>
      </c>
      <c r="G1505" s="34">
        <f t="shared" si="241"/>
        <v>16</v>
      </c>
      <c r="H1505" s="34">
        <f t="shared" si="242"/>
        <v>4</v>
      </c>
      <c r="I1505" s="34" t="str">
        <f t="shared" si="247"/>
        <v/>
      </c>
      <c r="J1505" s="34" t="str">
        <f t="shared" si="247"/>
        <v/>
      </c>
      <c r="K1505" s="34" t="str">
        <f t="shared" si="247"/>
        <v/>
      </c>
      <c r="L1505" s="34" t="str">
        <f t="shared" si="247"/>
        <v/>
      </c>
      <c r="M1505" s="34" t="str">
        <f t="shared" si="247"/>
        <v/>
      </c>
      <c r="N1505" s="34" t="str">
        <f t="shared" si="247"/>
        <v/>
      </c>
      <c r="O1505" s="34" t="str">
        <f t="shared" si="247"/>
        <v/>
      </c>
      <c r="P1505" s="34">
        <f t="shared" si="247"/>
        <v>84</v>
      </c>
      <c r="Q1505" s="34">
        <f t="shared" si="247"/>
        <v>91</v>
      </c>
      <c r="R1505" s="34">
        <f t="shared" si="247"/>
        <v>103</v>
      </c>
      <c r="S1505" s="35">
        <f t="shared" si="243"/>
        <v>84</v>
      </c>
    </row>
    <row r="1506" spans="2:19" hidden="1" outlineLevel="1">
      <c r="B1506" s="14" t="s">
        <v>116</v>
      </c>
      <c r="C1506" s="15" t="s">
        <v>66</v>
      </c>
      <c r="D1506" s="52">
        <v>2040</v>
      </c>
      <c r="E1506" s="34">
        <v>7</v>
      </c>
      <c r="F1506" s="38">
        <f t="shared" si="240"/>
        <v>21646.56102121299</v>
      </c>
      <c r="G1506" s="34">
        <f t="shared" si="241"/>
        <v>16</v>
      </c>
      <c r="H1506" s="34">
        <f t="shared" si="242"/>
        <v>4</v>
      </c>
      <c r="I1506" s="34" t="str">
        <f t="shared" si="247"/>
        <v/>
      </c>
      <c r="J1506" s="34" t="str">
        <f t="shared" si="247"/>
        <v/>
      </c>
      <c r="K1506" s="34" t="str">
        <f t="shared" si="247"/>
        <v/>
      </c>
      <c r="L1506" s="34" t="str">
        <f t="shared" si="247"/>
        <v/>
      </c>
      <c r="M1506" s="34" t="str">
        <f t="shared" si="247"/>
        <v/>
      </c>
      <c r="N1506" s="34" t="str">
        <f t="shared" si="247"/>
        <v/>
      </c>
      <c r="O1506" s="34" t="str">
        <f t="shared" si="247"/>
        <v/>
      </c>
      <c r="P1506" s="34">
        <f t="shared" si="247"/>
        <v>84</v>
      </c>
      <c r="Q1506" s="34">
        <f t="shared" si="247"/>
        <v>90</v>
      </c>
      <c r="R1506" s="34">
        <f t="shared" si="247"/>
        <v>102</v>
      </c>
      <c r="S1506" s="35">
        <f t="shared" si="243"/>
        <v>84</v>
      </c>
    </row>
    <row r="1507" spans="2:19" hidden="1" outlineLevel="1">
      <c r="B1507" s="14" t="s">
        <v>116</v>
      </c>
      <c r="C1507" s="15" t="s">
        <v>66</v>
      </c>
      <c r="D1507" s="52">
        <v>2040</v>
      </c>
      <c r="E1507" s="34">
        <v>8</v>
      </c>
      <c r="F1507" s="38">
        <f t="shared" si="240"/>
        <v>21646.56102121299</v>
      </c>
      <c r="G1507" s="34">
        <f t="shared" si="241"/>
        <v>16</v>
      </c>
      <c r="H1507" s="34">
        <f t="shared" si="242"/>
        <v>4</v>
      </c>
      <c r="I1507" s="34" t="str">
        <f t="shared" si="247"/>
        <v/>
      </c>
      <c r="J1507" s="34" t="str">
        <f t="shared" si="247"/>
        <v/>
      </c>
      <c r="K1507" s="34" t="str">
        <f t="shared" si="247"/>
        <v/>
      </c>
      <c r="L1507" s="34" t="str">
        <f t="shared" si="247"/>
        <v/>
      </c>
      <c r="M1507" s="34" t="str">
        <f t="shared" si="247"/>
        <v/>
      </c>
      <c r="N1507" s="34" t="str">
        <f t="shared" si="247"/>
        <v/>
      </c>
      <c r="O1507" s="34" t="str">
        <f t="shared" si="247"/>
        <v/>
      </c>
      <c r="P1507" s="34">
        <f t="shared" si="247"/>
        <v>84</v>
      </c>
      <c r="Q1507" s="34">
        <f t="shared" si="247"/>
        <v>89</v>
      </c>
      <c r="R1507" s="34">
        <f t="shared" si="247"/>
        <v>101</v>
      </c>
      <c r="S1507" s="35">
        <f t="shared" si="243"/>
        <v>84</v>
      </c>
    </row>
    <row r="1508" spans="2:19" hidden="1" outlineLevel="1">
      <c r="B1508" s="14" t="s">
        <v>116</v>
      </c>
      <c r="C1508" s="15" t="s">
        <v>66</v>
      </c>
      <c r="D1508" s="52">
        <v>2040</v>
      </c>
      <c r="E1508" s="34">
        <v>9</v>
      </c>
      <c r="F1508" s="38">
        <f t="shared" si="240"/>
        <v>21646.56102121299</v>
      </c>
      <c r="G1508" s="34">
        <f t="shared" si="241"/>
        <v>16</v>
      </c>
      <c r="H1508" s="34">
        <f t="shared" si="242"/>
        <v>4</v>
      </c>
      <c r="I1508" s="34" t="str">
        <f t="shared" si="247"/>
        <v/>
      </c>
      <c r="J1508" s="34" t="str">
        <f t="shared" si="247"/>
        <v/>
      </c>
      <c r="K1508" s="34" t="str">
        <f t="shared" si="247"/>
        <v/>
      </c>
      <c r="L1508" s="34" t="str">
        <f t="shared" si="247"/>
        <v/>
      </c>
      <c r="M1508" s="34" t="str">
        <f t="shared" si="247"/>
        <v/>
      </c>
      <c r="N1508" s="34" t="str">
        <f t="shared" si="247"/>
        <v/>
      </c>
      <c r="O1508" s="34" t="str">
        <f t="shared" si="247"/>
        <v/>
      </c>
      <c r="P1508" s="34">
        <f t="shared" si="247"/>
        <v>84</v>
      </c>
      <c r="Q1508" s="34">
        <f t="shared" si="247"/>
        <v>88</v>
      </c>
      <c r="R1508" s="34">
        <f t="shared" si="247"/>
        <v>100</v>
      </c>
      <c r="S1508" s="35">
        <f t="shared" si="243"/>
        <v>84</v>
      </c>
    </row>
    <row r="1509" spans="2:19" hidden="1" outlineLevel="1">
      <c r="B1509" s="14" t="s">
        <v>116</v>
      </c>
      <c r="C1509" s="15" t="s">
        <v>66</v>
      </c>
      <c r="D1509" s="52">
        <v>2040</v>
      </c>
      <c r="E1509" s="34">
        <v>10</v>
      </c>
      <c r="F1509" s="38">
        <f t="shared" si="240"/>
        <v>21646.56102121299</v>
      </c>
      <c r="G1509" s="34">
        <f t="shared" si="241"/>
        <v>16</v>
      </c>
      <c r="H1509" s="34">
        <f t="shared" si="242"/>
        <v>4</v>
      </c>
      <c r="I1509" s="34" t="str">
        <f t="shared" si="247"/>
        <v/>
      </c>
      <c r="J1509" s="34" t="str">
        <f t="shared" si="247"/>
        <v/>
      </c>
      <c r="K1509" s="34" t="str">
        <f t="shared" si="247"/>
        <v/>
      </c>
      <c r="L1509" s="34" t="str">
        <f t="shared" si="247"/>
        <v/>
      </c>
      <c r="M1509" s="34" t="str">
        <f t="shared" si="247"/>
        <v/>
      </c>
      <c r="N1509" s="34" t="str">
        <f t="shared" si="247"/>
        <v/>
      </c>
      <c r="O1509" s="34" t="str">
        <f t="shared" si="247"/>
        <v/>
      </c>
      <c r="P1509" s="34">
        <f t="shared" si="247"/>
        <v>84</v>
      </c>
      <c r="Q1509" s="34">
        <f t="shared" si="247"/>
        <v>87</v>
      </c>
      <c r="R1509" s="34">
        <f t="shared" si="247"/>
        <v>99</v>
      </c>
      <c r="S1509" s="35">
        <f t="shared" si="243"/>
        <v>84</v>
      </c>
    </row>
    <row r="1510" spans="2:19" hidden="1" outlineLevel="1">
      <c r="B1510" s="14" t="s">
        <v>116</v>
      </c>
      <c r="C1510" s="15" t="s">
        <v>66</v>
      </c>
      <c r="D1510" s="52">
        <v>2040</v>
      </c>
      <c r="E1510" s="34">
        <v>11</v>
      </c>
      <c r="F1510" s="38">
        <f t="shared" si="240"/>
        <v>21646.56102121299</v>
      </c>
      <c r="G1510" s="34">
        <f t="shared" si="241"/>
        <v>16</v>
      </c>
      <c r="H1510" s="34">
        <f t="shared" si="242"/>
        <v>4</v>
      </c>
      <c r="I1510" s="34" t="str">
        <f t="shared" ref="I1510:R1519" si="248">IF($D1510&lt;$Z$18,"",IF(MAX($G1510,INDEX($C$65:$F$108,$D1510+I$119-2026,$H1510))&lt;=12*I$119-$E1510+12,MAX($G1510,12*I$119-$E1510+1,INDEX($C$65:$F$108,$D1510+I$119-2026,$H1510)),""))</f>
        <v/>
      </c>
      <c r="J1510" s="34" t="str">
        <f t="shared" si="248"/>
        <v/>
      </c>
      <c r="K1510" s="34" t="str">
        <f t="shared" si="248"/>
        <v/>
      </c>
      <c r="L1510" s="34" t="str">
        <f t="shared" si="248"/>
        <v/>
      </c>
      <c r="M1510" s="34" t="str">
        <f t="shared" si="248"/>
        <v/>
      </c>
      <c r="N1510" s="34" t="str">
        <f t="shared" si="248"/>
        <v/>
      </c>
      <c r="O1510" s="34" t="str">
        <f t="shared" si="248"/>
        <v/>
      </c>
      <c r="P1510" s="34">
        <f t="shared" si="248"/>
        <v>84</v>
      </c>
      <c r="Q1510" s="34">
        <f t="shared" si="248"/>
        <v>86</v>
      </c>
      <c r="R1510" s="34">
        <f t="shared" si="248"/>
        <v>98</v>
      </c>
      <c r="S1510" s="35">
        <f t="shared" si="243"/>
        <v>84</v>
      </c>
    </row>
    <row r="1511" spans="2:19" hidden="1" outlineLevel="1">
      <c r="B1511" s="14" t="s">
        <v>116</v>
      </c>
      <c r="C1511" s="15" t="s">
        <v>66</v>
      </c>
      <c r="D1511" s="52">
        <v>2040</v>
      </c>
      <c r="E1511" s="34">
        <v>12</v>
      </c>
      <c r="F1511" s="38">
        <f t="shared" si="240"/>
        <v>21646.56102121299</v>
      </c>
      <c r="G1511" s="34">
        <f t="shared" si="241"/>
        <v>16</v>
      </c>
      <c r="H1511" s="34">
        <f t="shared" si="242"/>
        <v>4</v>
      </c>
      <c r="I1511" s="34" t="str">
        <f t="shared" si="248"/>
        <v/>
      </c>
      <c r="J1511" s="34" t="str">
        <f t="shared" si="248"/>
        <v/>
      </c>
      <c r="K1511" s="34" t="str">
        <f t="shared" si="248"/>
        <v/>
      </c>
      <c r="L1511" s="34" t="str">
        <f t="shared" si="248"/>
        <v/>
      </c>
      <c r="M1511" s="34" t="str">
        <f t="shared" si="248"/>
        <v/>
      </c>
      <c r="N1511" s="34" t="str">
        <f t="shared" si="248"/>
        <v/>
      </c>
      <c r="O1511" s="34" t="str">
        <f t="shared" si="248"/>
        <v/>
      </c>
      <c r="P1511" s="34">
        <f t="shared" si="248"/>
        <v>84</v>
      </c>
      <c r="Q1511" s="34">
        <f t="shared" si="248"/>
        <v>85</v>
      </c>
      <c r="R1511" s="34">
        <f t="shared" si="248"/>
        <v>97</v>
      </c>
      <c r="S1511" s="35">
        <f t="shared" si="243"/>
        <v>84</v>
      </c>
    </row>
    <row r="1512" spans="2:19" hidden="1" outlineLevel="1">
      <c r="B1512" s="14" t="s">
        <v>116</v>
      </c>
      <c r="C1512" s="15" t="s">
        <v>66</v>
      </c>
      <c r="D1512" s="52">
        <v>2041</v>
      </c>
      <c r="E1512" s="34">
        <v>1</v>
      </c>
      <c r="F1512" s="38">
        <f t="shared" si="240"/>
        <v>21489.556413508257</v>
      </c>
      <c r="G1512" s="34">
        <f t="shared" si="241"/>
        <v>16</v>
      </c>
      <c r="H1512" s="34">
        <f t="shared" si="242"/>
        <v>4</v>
      </c>
      <c r="I1512" s="34" t="str">
        <f t="shared" si="248"/>
        <v/>
      </c>
      <c r="J1512" s="34" t="str">
        <f t="shared" si="248"/>
        <v/>
      </c>
      <c r="K1512" s="34" t="str">
        <f t="shared" si="248"/>
        <v/>
      </c>
      <c r="L1512" s="34" t="str">
        <f t="shared" si="248"/>
        <v/>
      </c>
      <c r="M1512" s="34" t="str">
        <f t="shared" si="248"/>
        <v/>
      </c>
      <c r="N1512" s="34" t="str">
        <f t="shared" si="248"/>
        <v/>
      </c>
      <c r="O1512" s="34" t="str">
        <f t="shared" si="248"/>
        <v/>
      </c>
      <c r="P1512" s="34">
        <f t="shared" si="248"/>
        <v>84</v>
      </c>
      <c r="Q1512" s="34">
        <f t="shared" si="248"/>
        <v>96</v>
      </c>
      <c r="R1512" s="34">
        <f t="shared" si="248"/>
        <v>108</v>
      </c>
      <c r="S1512" s="35">
        <f t="shared" si="243"/>
        <v>84</v>
      </c>
    </row>
    <row r="1513" spans="2:19" hidden="1" outlineLevel="1">
      <c r="B1513" s="14" t="s">
        <v>116</v>
      </c>
      <c r="C1513" s="15" t="s">
        <v>66</v>
      </c>
      <c r="D1513" s="52">
        <v>2041</v>
      </c>
      <c r="E1513" s="34">
        <v>2</v>
      </c>
      <c r="F1513" s="38">
        <f t="shared" si="240"/>
        <v>21489.556413508257</v>
      </c>
      <c r="G1513" s="34">
        <f t="shared" si="241"/>
        <v>16</v>
      </c>
      <c r="H1513" s="34">
        <f t="shared" si="242"/>
        <v>4</v>
      </c>
      <c r="I1513" s="34" t="str">
        <f t="shared" si="248"/>
        <v/>
      </c>
      <c r="J1513" s="34" t="str">
        <f t="shared" si="248"/>
        <v/>
      </c>
      <c r="K1513" s="34" t="str">
        <f t="shared" si="248"/>
        <v/>
      </c>
      <c r="L1513" s="34" t="str">
        <f t="shared" si="248"/>
        <v/>
      </c>
      <c r="M1513" s="34" t="str">
        <f t="shared" si="248"/>
        <v/>
      </c>
      <c r="N1513" s="34" t="str">
        <f t="shared" si="248"/>
        <v/>
      </c>
      <c r="O1513" s="34" t="str">
        <f t="shared" si="248"/>
        <v/>
      </c>
      <c r="P1513" s="34">
        <f t="shared" si="248"/>
        <v>84</v>
      </c>
      <c r="Q1513" s="34">
        <f t="shared" si="248"/>
        <v>95</v>
      </c>
      <c r="R1513" s="34">
        <f t="shared" si="248"/>
        <v>107</v>
      </c>
      <c r="S1513" s="35">
        <f t="shared" si="243"/>
        <v>84</v>
      </c>
    </row>
    <row r="1514" spans="2:19" hidden="1" outlineLevel="1">
      <c r="B1514" s="14" t="s">
        <v>116</v>
      </c>
      <c r="C1514" s="15" t="s">
        <v>66</v>
      </c>
      <c r="D1514" s="52">
        <v>2041</v>
      </c>
      <c r="E1514" s="34">
        <v>3</v>
      </c>
      <c r="F1514" s="38">
        <f t="shared" si="240"/>
        <v>21489.556413508257</v>
      </c>
      <c r="G1514" s="34">
        <f t="shared" si="241"/>
        <v>16</v>
      </c>
      <c r="H1514" s="34">
        <f t="shared" si="242"/>
        <v>4</v>
      </c>
      <c r="I1514" s="34" t="str">
        <f t="shared" si="248"/>
        <v/>
      </c>
      <c r="J1514" s="34" t="str">
        <f t="shared" si="248"/>
        <v/>
      </c>
      <c r="K1514" s="34" t="str">
        <f t="shared" si="248"/>
        <v/>
      </c>
      <c r="L1514" s="34" t="str">
        <f t="shared" si="248"/>
        <v/>
      </c>
      <c r="M1514" s="34" t="str">
        <f t="shared" si="248"/>
        <v/>
      </c>
      <c r="N1514" s="34" t="str">
        <f t="shared" si="248"/>
        <v/>
      </c>
      <c r="O1514" s="34" t="str">
        <f t="shared" si="248"/>
        <v/>
      </c>
      <c r="P1514" s="34">
        <f t="shared" si="248"/>
        <v>84</v>
      </c>
      <c r="Q1514" s="34">
        <f t="shared" si="248"/>
        <v>94</v>
      </c>
      <c r="R1514" s="34">
        <f t="shared" si="248"/>
        <v>106</v>
      </c>
      <c r="S1514" s="35">
        <f t="shared" si="243"/>
        <v>84</v>
      </c>
    </row>
    <row r="1515" spans="2:19" hidden="1" outlineLevel="1">
      <c r="B1515" s="14" t="s">
        <v>116</v>
      </c>
      <c r="C1515" s="15" t="s">
        <v>66</v>
      </c>
      <c r="D1515" s="52">
        <v>2041</v>
      </c>
      <c r="E1515" s="34">
        <v>4</v>
      </c>
      <c r="F1515" s="38">
        <f t="shared" si="240"/>
        <v>21489.556413508257</v>
      </c>
      <c r="G1515" s="34">
        <f t="shared" si="241"/>
        <v>16</v>
      </c>
      <c r="H1515" s="34">
        <f t="shared" si="242"/>
        <v>4</v>
      </c>
      <c r="I1515" s="34" t="str">
        <f t="shared" si="248"/>
        <v/>
      </c>
      <c r="J1515" s="34" t="str">
        <f t="shared" si="248"/>
        <v/>
      </c>
      <c r="K1515" s="34" t="str">
        <f t="shared" si="248"/>
        <v/>
      </c>
      <c r="L1515" s="34" t="str">
        <f t="shared" si="248"/>
        <v/>
      </c>
      <c r="M1515" s="34" t="str">
        <f t="shared" si="248"/>
        <v/>
      </c>
      <c r="N1515" s="34" t="str">
        <f t="shared" si="248"/>
        <v/>
      </c>
      <c r="O1515" s="34" t="str">
        <f t="shared" si="248"/>
        <v/>
      </c>
      <c r="P1515" s="34">
        <f t="shared" si="248"/>
        <v>84</v>
      </c>
      <c r="Q1515" s="34">
        <f t="shared" si="248"/>
        <v>93</v>
      </c>
      <c r="R1515" s="34">
        <f t="shared" si="248"/>
        <v>105</v>
      </c>
      <c r="S1515" s="35">
        <f t="shared" si="243"/>
        <v>84</v>
      </c>
    </row>
    <row r="1516" spans="2:19" hidden="1" outlineLevel="1">
      <c r="B1516" s="14" t="s">
        <v>116</v>
      </c>
      <c r="C1516" s="15" t="s">
        <v>66</v>
      </c>
      <c r="D1516" s="52">
        <v>2041</v>
      </c>
      <c r="E1516" s="34">
        <v>5</v>
      </c>
      <c r="F1516" s="38">
        <f t="shared" si="240"/>
        <v>21489.556413508257</v>
      </c>
      <c r="G1516" s="34">
        <f t="shared" si="241"/>
        <v>16</v>
      </c>
      <c r="H1516" s="34">
        <f t="shared" si="242"/>
        <v>4</v>
      </c>
      <c r="I1516" s="34" t="str">
        <f t="shared" si="248"/>
        <v/>
      </c>
      <c r="J1516" s="34" t="str">
        <f t="shared" si="248"/>
        <v/>
      </c>
      <c r="K1516" s="34" t="str">
        <f t="shared" si="248"/>
        <v/>
      </c>
      <c r="L1516" s="34" t="str">
        <f t="shared" si="248"/>
        <v/>
      </c>
      <c r="M1516" s="34" t="str">
        <f t="shared" si="248"/>
        <v/>
      </c>
      <c r="N1516" s="34" t="str">
        <f t="shared" si="248"/>
        <v/>
      </c>
      <c r="O1516" s="34" t="str">
        <f t="shared" si="248"/>
        <v/>
      </c>
      <c r="P1516" s="34">
        <f t="shared" si="248"/>
        <v>84</v>
      </c>
      <c r="Q1516" s="34">
        <f t="shared" si="248"/>
        <v>92</v>
      </c>
      <c r="R1516" s="34">
        <f t="shared" si="248"/>
        <v>104</v>
      </c>
      <c r="S1516" s="35">
        <f t="shared" si="243"/>
        <v>84</v>
      </c>
    </row>
    <row r="1517" spans="2:19" hidden="1" outlineLevel="1">
      <c r="B1517" s="14" t="s">
        <v>116</v>
      </c>
      <c r="C1517" s="15" t="s">
        <v>66</v>
      </c>
      <c r="D1517" s="52">
        <v>2041</v>
      </c>
      <c r="E1517" s="34">
        <v>6</v>
      </c>
      <c r="F1517" s="38">
        <f t="shared" si="240"/>
        <v>21489.556413508257</v>
      </c>
      <c r="G1517" s="34">
        <f t="shared" si="241"/>
        <v>16</v>
      </c>
      <c r="H1517" s="34">
        <f t="shared" si="242"/>
        <v>4</v>
      </c>
      <c r="I1517" s="34" t="str">
        <f t="shared" si="248"/>
        <v/>
      </c>
      <c r="J1517" s="34" t="str">
        <f t="shared" si="248"/>
        <v/>
      </c>
      <c r="K1517" s="34" t="str">
        <f t="shared" si="248"/>
        <v/>
      </c>
      <c r="L1517" s="34" t="str">
        <f t="shared" si="248"/>
        <v/>
      </c>
      <c r="M1517" s="34" t="str">
        <f t="shared" si="248"/>
        <v/>
      </c>
      <c r="N1517" s="34" t="str">
        <f t="shared" si="248"/>
        <v/>
      </c>
      <c r="O1517" s="34" t="str">
        <f t="shared" si="248"/>
        <v/>
      </c>
      <c r="P1517" s="34">
        <f t="shared" si="248"/>
        <v>84</v>
      </c>
      <c r="Q1517" s="34">
        <f t="shared" si="248"/>
        <v>91</v>
      </c>
      <c r="R1517" s="34">
        <f t="shared" si="248"/>
        <v>103</v>
      </c>
      <c r="S1517" s="35">
        <f t="shared" si="243"/>
        <v>84</v>
      </c>
    </row>
    <row r="1518" spans="2:19" hidden="1" outlineLevel="1">
      <c r="B1518" s="14" t="s">
        <v>116</v>
      </c>
      <c r="C1518" s="15" t="s">
        <v>66</v>
      </c>
      <c r="D1518" s="52">
        <v>2041</v>
      </c>
      <c r="E1518" s="34">
        <v>7</v>
      </c>
      <c r="F1518" s="38">
        <f t="shared" si="240"/>
        <v>21489.556413508257</v>
      </c>
      <c r="G1518" s="34">
        <f t="shared" si="241"/>
        <v>16</v>
      </c>
      <c r="H1518" s="34">
        <f t="shared" si="242"/>
        <v>4</v>
      </c>
      <c r="I1518" s="34" t="str">
        <f t="shared" si="248"/>
        <v/>
      </c>
      <c r="J1518" s="34" t="str">
        <f t="shared" si="248"/>
        <v/>
      </c>
      <c r="K1518" s="34" t="str">
        <f t="shared" si="248"/>
        <v/>
      </c>
      <c r="L1518" s="34" t="str">
        <f t="shared" si="248"/>
        <v/>
      </c>
      <c r="M1518" s="34" t="str">
        <f t="shared" si="248"/>
        <v/>
      </c>
      <c r="N1518" s="34" t="str">
        <f t="shared" si="248"/>
        <v/>
      </c>
      <c r="O1518" s="34" t="str">
        <f t="shared" si="248"/>
        <v/>
      </c>
      <c r="P1518" s="34">
        <f t="shared" si="248"/>
        <v>84</v>
      </c>
      <c r="Q1518" s="34">
        <f t="shared" si="248"/>
        <v>90</v>
      </c>
      <c r="R1518" s="34">
        <f t="shared" si="248"/>
        <v>102</v>
      </c>
      <c r="S1518" s="35">
        <f t="shared" si="243"/>
        <v>84</v>
      </c>
    </row>
    <row r="1519" spans="2:19" hidden="1" outlineLevel="1">
      <c r="B1519" s="14" t="s">
        <v>116</v>
      </c>
      <c r="C1519" s="15" t="s">
        <v>66</v>
      </c>
      <c r="D1519" s="52">
        <v>2041</v>
      </c>
      <c r="E1519" s="34">
        <v>8</v>
      </c>
      <c r="F1519" s="38">
        <f t="shared" si="240"/>
        <v>21489.556413508257</v>
      </c>
      <c r="G1519" s="34">
        <f t="shared" si="241"/>
        <v>16</v>
      </c>
      <c r="H1519" s="34">
        <f t="shared" si="242"/>
        <v>4</v>
      </c>
      <c r="I1519" s="34" t="str">
        <f t="shared" si="248"/>
        <v/>
      </c>
      <c r="J1519" s="34" t="str">
        <f t="shared" si="248"/>
        <v/>
      </c>
      <c r="K1519" s="34" t="str">
        <f t="shared" si="248"/>
        <v/>
      </c>
      <c r="L1519" s="34" t="str">
        <f t="shared" si="248"/>
        <v/>
      </c>
      <c r="M1519" s="34" t="str">
        <f t="shared" si="248"/>
        <v/>
      </c>
      <c r="N1519" s="34" t="str">
        <f t="shared" si="248"/>
        <v/>
      </c>
      <c r="O1519" s="34" t="str">
        <f t="shared" si="248"/>
        <v/>
      </c>
      <c r="P1519" s="34">
        <f t="shared" si="248"/>
        <v>84</v>
      </c>
      <c r="Q1519" s="34">
        <f t="shared" si="248"/>
        <v>89</v>
      </c>
      <c r="R1519" s="34">
        <f t="shared" si="248"/>
        <v>101</v>
      </c>
      <c r="S1519" s="35">
        <f t="shared" si="243"/>
        <v>84</v>
      </c>
    </row>
    <row r="1520" spans="2:19" hidden="1" outlineLevel="1">
      <c r="B1520" s="14" t="s">
        <v>116</v>
      </c>
      <c r="C1520" s="15" t="s">
        <v>66</v>
      </c>
      <c r="D1520" s="52">
        <v>2041</v>
      </c>
      <c r="E1520" s="34">
        <v>9</v>
      </c>
      <c r="F1520" s="38">
        <f t="shared" si="240"/>
        <v>21489.556413508257</v>
      </c>
      <c r="G1520" s="34">
        <f t="shared" si="241"/>
        <v>16</v>
      </c>
      <c r="H1520" s="34">
        <f t="shared" si="242"/>
        <v>4</v>
      </c>
      <c r="I1520" s="34" t="str">
        <f t="shared" ref="I1520:R1529" si="249">IF($D1520&lt;$Z$18,"",IF(MAX($G1520,INDEX($C$65:$F$108,$D1520+I$119-2026,$H1520))&lt;=12*I$119-$E1520+12,MAX($G1520,12*I$119-$E1520+1,INDEX($C$65:$F$108,$D1520+I$119-2026,$H1520)),""))</f>
        <v/>
      </c>
      <c r="J1520" s="34" t="str">
        <f t="shared" si="249"/>
        <v/>
      </c>
      <c r="K1520" s="34" t="str">
        <f t="shared" si="249"/>
        <v/>
      </c>
      <c r="L1520" s="34" t="str">
        <f t="shared" si="249"/>
        <v/>
      </c>
      <c r="M1520" s="34" t="str">
        <f t="shared" si="249"/>
        <v/>
      </c>
      <c r="N1520" s="34" t="str">
        <f t="shared" si="249"/>
        <v/>
      </c>
      <c r="O1520" s="34" t="str">
        <f t="shared" si="249"/>
        <v/>
      </c>
      <c r="P1520" s="34">
        <f t="shared" si="249"/>
        <v>84</v>
      </c>
      <c r="Q1520" s="34">
        <f t="shared" si="249"/>
        <v>88</v>
      </c>
      <c r="R1520" s="34">
        <f t="shared" si="249"/>
        <v>100</v>
      </c>
      <c r="S1520" s="35">
        <f t="shared" si="243"/>
        <v>84</v>
      </c>
    </row>
    <row r="1521" spans="2:19" hidden="1" outlineLevel="1">
      <c r="B1521" s="14" t="s">
        <v>116</v>
      </c>
      <c r="C1521" s="15" t="s">
        <v>66</v>
      </c>
      <c r="D1521" s="52">
        <v>2041</v>
      </c>
      <c r="E1521" s="34">
        <v>10</v>
      </c>
      <c r="F1521" s="38">
        <f t="shared" si="240"/>
        <v>21489.556413508257</v>
      </c>
      <c r="G1521" s="34">
        <f t="shared" si="241"/>
        <v>16</v>
      </c>
      <c r="H1521" s="34">
        <f t="shared" si="242"/>
        <v>4</v>
      </c>
      <c r="I1521" s="34" t="str">
        <f t="shared" si="249"/>
        <v/>
      </c>
      <c r="J1521" s="34" t="str">
        <f t="shared" si="249"/>
        <v/>
      </c>
      <c r="K1521" s="34" t="str">
        <f t="shared" si="249"/>
        <v/>
      </c>
      <c r="L1521" s="34" t="str">
        <f t="shared" si="249"/>
        <v/>
      </c>
      <c r="M1521" s="34" t="str">
        <f t="shared" si="249"/>
        <v/>
      </c>
      <c r="N1521" s="34" t="str">
        <f t="shared" si="249"/>
        <v/>
      </c>
      <c r="O1521" s="34" t="str">
        <f t="shared" si="249"/>
        <v/>
      </c>
      <c r="P1521" s="34">
        <f t="shared" si="249"/>
        <v>84</v>
      </c>
      <c r="Q1521" s="34">
        <f t="shared" si="249"/>
        <v>87</v>
      </c>
      <c r="R1521" s="34">
        <f t="shared" si="249"/>
        <v>99</v>
      </c>
      <c r="S1521" s="35">
        <f t="shared" si="243"/>
        <v>84</v>
      </c>
    </row>
    <row r="1522" spans="2:19" hidden="1" outlineLevel="1">
      <c r="B1522" s="14" t="s">
        <v>116</v>
      </c>
      <c r="C1522" s="15" t="s">
        <v>66</v>
      </c>
      <c r="D1522" s="52">
        <v>2041</v>
      </c>
      <c r="E1522" s="34">
        <v>11</v>
      </c>
      <c r="F1522" s="38">
        <f t="shared" si="240"/>
        <v>21489.556413508257</v>
      </c>
      <c r="G1522" s="34">
        <f t="shared" si="241"/>
        <v>16</v>
      </c>
      <c r="H1522" s="34">
        <f t="shared" si="242"/>
        <v>4</v>
      </c>
      <c r="I1522" s="34" t="str">
        <f t="shared" si="249"/>
        <v/>
      </c>
      <c r="J1522" s="34" t="str">
        <f t="shared" si="249"/>
        <v/>
      </c>
      <c r="K1522" s="34" t="str">
        <f t="shared" si="249"/>
        <v/>
      </c>
      <c r="L1522" s="34" t="str">
        <f t="shared" si="249"/>
        <v/>
      </c>
      <c r="M1522" s="34" t="str">
        <f t="shared" si="249"/>
        <v/>
      </c>
      <c r="N1522" s="34" t="str">
        <f t="shared" si="249"/>
        <v/>
      </c>
      <c r="O1522" s="34" t="str">
        <f t="shared" si="249"/>
        <v/>
      </c>
      <c r="P1522" s="34">
        <f t="shared" si="249"/>
        <v>84</v>
      </c>
      <c r="Q1522" s="34">
        <f t="shared" si="249"/>
        <v>86</v>
      </c>
      <c r="R1522" s="34">
        <f t="shared" si="249"/>
        <v>98</v>
      </c>
      <c r="S1522" s="35">
        <f t="shared" si="243"/>
        <v>84</v>
      </c>
    </row>
    <row r="1523" spans="2:19" hidden="1" outlineLevel="1">
      <c r="B1523" s="14" t="s">
        <v>116</v>
      </c>
      <c r="C1523" s="15" t="s">
        <v>66</v>
      </c>
      <c r="D1523" s="52">
        <v>2041</v>
      </c>
      <c r="E1523" s="34">
        <v>12</v>
      </c>
      <c r="F1523" s="38">
        <f t="shared" si="240"/>
        <v>21489.556413508257</v>
      </c>
      <c r="G1523" s="34">
        <f t="shared" si="241"/>
        <v>16</v>
      </c>
      <c r="H1523" s="34">
        <f t="shared" si="242"/>
        <v>4</v>
      </c>
      <c r="I1523" s="34" t="str">
        <f t="shared" si="249"/>
        <v/>
      </c>
      <c r="J1523" s="34" t="str">
        <f t="shared" si="249"/>
        <v/>
      </c>
      <c r="K1523" s="34" t="str">
        <f t="shared" si="249"/>
        <v/>
      </c>
      <c r="L1523" s="34" t="str">
        <f t="shared" si="249"/>
        <v/>
      </c>
      <c r="M1523" s="34" t="str">
        <f t="shared" si="249"/>
        <v/>
      </c>
      <c r="N1523" s="34" t="str">
        <f t="shared" si="249"/>
        <v/>
      </c>
      <c r="O1523" s="34" t="str">
        <f t="shared" si="249"/>
        <v/>
      </c>
      <c r="P1523" s="34">
        <f t="shared" si="249"/>
        <v>84</v>
      </c>
      <c r="Q1523" s="34">
        <f t="shared" si="249"/>
        <v>85</v>
      </c>
      <c r="R1523" s="34">
        <f t="shared" si="249"/>
        <v>97</v>
      </c>
      <c r="S1523" s="35">
        <f t="shared" si="243"/>
        <v>84</v>
      </c>
    </row>
    <row r="1524" spans="2:19" hidden="1" outlineLevel="1">
      <c r="B1524" s="14" t="s">
        <v>116</v>
      </c>
      <c r="C1524" s="15" t="s">
        <v>66</v>
      </c>
      <c r="D1524" s="52">
        <v>2042</v>
      </c>
      <c r="E1524" s="34">
        <v>1</v>
      </c>
      <c r="F1524" s="38">
        <f t="shared" si="240"/>
        <v>21262.681945419808</v>
      </c>
      <c r="G1524" s="34">
        <f t="shared" si="241"/>
        <v>16</v>
      </c>
      <c r="H1524" s="34">
        <f t="shared" si="242"/>
        <v>4</v>
      </c>
      <c r="I1524" s="34" t="str">
        <f t="shared" si="249"/>
        <v/>
      </c>
      <c r="J1524" s="34" t="str">
        <f t="shared" si="249"/>
        <v/>
      </c>
      <c r="K1524" s="34" t="str">
        <f t="shared" si="249"/>
        <v/>
      </c>
      <c r="L1524" s="34" t="str">
        <f t="shared" si="249"/>
        <v/>
      </c>
      <c r="M1524" s="34" t="str">
        <f t="shared" si="249"/>
        <v/>
      </c>
      <c r="N1524" s="34" t="str">
        <f t="shared" si="249"/>
        <v/>
      </c>
      <c r="O1524" s="34" t="str">
        <f t="shared" si="249"/>
        <v/>
      </c>
      <c r="P1524" s="34">
        <f t="shared" si="249"/>
        <v>84</v>
      </c>
      <c r="Q1524" s="34">
        <f t="shared" si="249"/>
        <v>96</v>
      </c>
      <c r="R1524" s="34">
        <f t="shared" si="249"/>
        <v>108</v>
      </c>
      <c r="S1524" s="35">
        <f t="shared" si="243"/>
        <v>84</v>
      </c>
    </row>
    <row r="1525" spans="2:19" hidden="1" outlineLevel="1">
      <c r="B1525" s="14" t="s">
        <v>116</v>
      </c>
      <c r="C1525" s="15" t="s">
        <v>66</v>
      </c>
      <c r="D1525" s="52">
        <v>2042</v>
      </c>
      <c r="E1525" s="34">
        <v>2</v>
      </c>
      <c r="F1525" s="38">
        <f t="shared" si="240"/>
        <v>21262.681945419808</v>
      </c>
      <c r="G1525" s="34">
        <f t="shared" si="241"/>
        <v>16</v>
      </c>
      <c r="H1525" s="34">
        <f t="shared" si="242"/>
        <v>4</v>
      </c>
      <c r="I1525" s="34" t="str">
        <f t="shared" si="249"/>
        <v/>
      </c>
      <c r="J1525" s="34" t="str">
        <f t="shared" si="249"/>
        <v/>
      </c>
      <c r="K1525" s="34" t="str">
        <f t="shared" si="249"/>
        <v/>
      </c>
      <c r="L1525" s="34" t="str">
        <f t="shared" si="249"/>
        <v/>
      </c>
      <c r="M1525" s="34" t="str">
        <f t="shared" si="249"/>
        <v/>
      </c>
      <c r="N1525" s="34" t="str">
        <f t="shared" si="249"/>
        <v/>
      </c>
      <c r="O1525" s="34" t="str">
        <f t="shared" si="249"/>
        <v/>
      </c>
      <c r="P1525" s="34">
        <f t="shared" si="249"/>
        <v>84</v>
      </c>
      <c r="Q1525" s="34">
        <f t="shared" si="249"/>
        <v>95</v>
      </c>
      <c r="R1525" s="34">
        <f t="shared" si="249"/>
        <v>107</v>
      </c>
      <c r="S1525" s="35">
        <f t="shared" si="243"/>
        <v>84</v>
      </c>
    </row>
    <row r="1526" spans="2:19" hidden="1" outlineLevel="1">
      <c r="B1526" s="14" t="s">
        <v>116</v>
      </c>
      <c r="C1526" s="15" t="s">
        <v>66</v>
      </c>
      <c r="D1526" s="52">
        <v>2042</v>
      </c>
      <c r="E1526" s="34">
        <v>3</v>
      </c>
      <c r="F1526" s="38">
        <f t="shared" si="240"/>
        <v>21262.681945419808</v>
      </c>
      <c r="G1526" s="34">
        <f t="shared" si="241"/>
        <v>16</v>
      </c>
      <c r="H1526" s="34">
        <f t="shared" si="242"/>
        <v>4</v>
      </c>
      <c r="I1526" s="34" t="str">
        <f t="shared" si="249"/>
        <v/>
      </c>
      <c r="J1526" s="34" t="str">
        <f t="shared" si="249"/>
        <v/>
      </c>
      <c r="K1526" s="34" t="str">
        <f t="shared" si="249"/>
        <v/>
      </c>
      <c r="L1526" s="34" t="str">
        <f t="shared" si="249"/>
        <v/>
      </c>
      <c r="M1526" s="34" t="str">
        <f t="shared" si="249"/>
        <v/>
      </c>
      <c r="N1526" s="34" t="str">
        <f t="shared" si="249"/>
        <v/>
      </c>
      <c r="O1526" s="34" t="str">
        <f t="shared" si="249"/>
        <v/>
      </c>
      <c r="P1526" s="34">
        <f t="shared" si="249"/>
        <v>84</v>
      </c>
      <c r="Q1526" s="34">
        <f t="shared" si="249"/>
        <v>94</v>
      </c>
      <c r="R1526" s="34">
        <f t="shared" si="249"/>
        <v>106</v>
      </c>
      <c r="S1526" s="35">
        <f t="shared" si="243"/>
        <v>84</v>
      </c>
    </row>
    <row r="1527" spans="2:19" hidden="1" outlineLevel="1">
      <c r="B1527" s="14" t="s">
        <v>116</v>
      </c>
      <c r="C1527" s="15" t="s">
        <v>66</v>
      </c>
      <c r="D1527" s="52">
        <v>2042</v>
      </c>
      <c r="E1527" s="34">
        <v>4</v>
      </c>
      <c r="F1527" s="38">
        <f t="shared" si="240"/>
        <v>21262.681945419808</v>
      </c>
      <c r="G1527" s="34">
        <f t="shared" si="241"/>
        <v>16</v>
      </c>
      <c r="H1527" s="34">
        <f t="shared" si="242"/>
        <v>4</v>
      </c>
      <c r="I1527" s="34" t="str">
        <f t="shared" si="249"/>
        <v/>
      </c>
      <c r="J1527" s="34" t="str">
        <f t="shared" si="249"/>
        <v/>
      </c>
      <c r="K1527" s="34" t="str">
        <f t="shared" si="249"/>
        <v/>
      </c>
      <c r="L1527" s="34" t="str">
        <f t="shared" si="249"/>
        <v/>
      </c>
      <c r="M1527" s="34" t="str">
        <f t="shared" si="249"/>
        <v/>
      </c>
      <c r="N1527" s="34" t="str">
        <f t="shared" si="249"/>
        <v/>
      </c>
      <c r="O1527" s="34" t="str">
        <f t="shared" si="249"/>
        <v/>
      </c>
      <c r="P1527" s="34">
        <f t="shared" si="249"/>
        <v>84</v>
      </c>
      <c r="Q1527" s="34">
        <f t="shared" si="249"/>
        <v>93</v>
      </c>
      <c r="R1527" s="34">
        <f t="shared" si="249"/>
        <v>105</v>
      </c>
      <c r="S1527" s="35">
        <f t="shared" si="243"/>
        <v>84</v>
      </c>
    </row>
    <row r="1528" spans="2:19" hidden="1" outlineLevel="1">
      <c r="B1528" s="14" t="s">
        <v>116</v>
      </c>
      <c r="C1528" s="15" t="s">
        <v>66</v>
      </c>
      <c r="D1528" s="52">
        <v>2042</v>
      </c>
      <c r="E1528" s="34">
        <v>5</v>
      </c>
      <c r="F1528" s="38">
        <f t="shared" ref="F1528:F1591" si="250">IF($C1528="Homens",INDEX($C$5:$C$55,MATCH($D1528,$B$5:$B$55,0)),INDEX($F$5:$F$55,MATCH($D1528,$B$5:$B$55,0)))/12</f>
        <v>21262.681945419808</v>
      </c>
      <c r="G1528" s="34">
        <f t="shared" ref="G1528:G1591" si="251">IF($C1528="Homens",$Z$17,$AA$17)</f>
        <v>16</v>
      </c>
      <c r="H1528" s="34">
        <f t="shared" ref="H1528:H1591" si="252">1+2*($B1528="Com Transição")+($C1528="Mulheres")</f>
        <v>4</v>
      </c>
      <c r="I1528" s="34" t="str">
        <f t="shared" si="249"/>
        <v/>
      </c>
      <c r="J1528" s="34" t="str">
        <f t="shared" si="249"/>
        <v/>
      </c>
      <c r="K1528" s="34" t="str">
        <f t="shared" si="249"/>
        <v/>
      </c>
      <c r="L1528" s="34" t="str">
        <f t="shared" si="249"/>
        <v/>
      </c>
      <c r="M1528" s="34" t="str">
        <f t="shared" si="249"/>
        <v/>
      </c>
      <c r="N1528" s="34" t="str">
        <f t="shared" si="249"/>
        <v/>
      </c>
      <c r="O1528" s="34" t="str">
        <f t="shared" si="249"/>
        <v/>
      </c>
      <c r="P1528" s="34">
        <f t="shared" si="249"/>
        <v>84</v>
      </c>
      <c r="Q1528" s="34">
        <f t="shared" si="249"/>
        <v>92</v>
      </c>
      <c r="R1528" s="34">
        <f t="shared" si="249"/>
        <v>104</v>
      </c>
      <c r="S1528" s="35">
        <f t="shared" ref="S1528:S1591" si="253">IF($D1528&lt;$Z$18,$G1528,MIN(I1528:R1528))</f>
        <v>84</v>
      </c>
    </row>
    <row r="1529" spans="2:19" hidden="1" outlineLevel="1">
      <c r="B1529" s="14" t="s">
        <v>116</v>
      </c>
      <c r="C1529" s="15" t="s">
        <v>66</v>
      </c>
      <c r="D1529" s="52">
        <v>2042</v>
      </c>
      <c r="E1529" s="34">
        <v>6</v>
      </c>
      <c r="F1529" s="38">
        <f t="shared" si="250"/>
        <v>21262.681945419808</v>
      </c>
      <c r="G1529" s="34">
        <f t="shared" si="251"/>
        <v>16</v>
      </c>
      <c r="H1529" s="34">
        <f t="shared" si="252"/>
        <v>4</v>
      </c>
      <c r="I1529" s="34" t="str">
        <f t="shared" si="249"/>
        <v/>
      </c>
      <c r="J1529" s="34" t="str">
        <f t="shared" si="249"/>
        <v/>
      </c>
      <c r="K1529" s="34" t="str">
        <f t="shared" si="249"/>
        <v/>
      </c>
      <c r="L1529" s="34" t="str">
        <f t="shared" si="249"/>
        <v/>
      </c>
      <c r="M1529" s="34" t="str">
        <f t="shared" si="249"/>
        <v/>
      </c>
      <c r="N1529" s="34" t="str">
        <f t="shared" si="249"/>
        <v/>
      </c>
      <c r="O1529" s="34" t="str">
        <f t="shared" si="249"/>
        <v/>
      </c>
      <c r="P1529" s="34">
        <f t="shared" si="249"/>
        <v>84</v>
      </c>
      <c r="Q1529" s="34">
        <f t="shared" si="249"/>
        <v>91</v>
      </c>
      <c r="R1529" s="34">
        <f t="shared" si="249"/>
        <v>103</v>
      </c>
      <c r="S1529" s="35">
        <f t="shared" si="253"/>
        <v>84</v>
      </c>
    </row>
    <row r="1530" spans="2:19" hidden="1" outlineLevel="1">
      <c r="B1530" s="14" t="s">
        <v>116</v>
      </c>
      <c r="C1530" s="15" t="s">
        <v>66</v>
      </c>
      <c r="D1530" s="52">
        <v>2042</v>
      </c>
      <c r="E1530" s="34">
        <v>7</v>
      </c>
      <c r="F1530" s="38">
        <f t="shared" si="250"/>
        <v>21262.681945419808</v>
      </c>
      <c r="G1530" s="34">
        <f t="shared" si="251"/>
        <v>16</v>
      </c>
      <c r="H1530" s="34">
        <f t="shared" si="252"/>
        <v>4</v>
      </c>
      <c r="I1530" s="34" t="str">
        <f t="shared" ref="I1530:R1539" si="254">IF($D1530&lt;$Z$18,"",IF(MAX($G1530,INDEX($C$65:$F$108,$D1530+I$119-2026,$H1530))&lt;=12*I$119-$E1530+12,MAX($G1530,12*I$119-$E1530+1,INDEX($C$65:$F$108,$D1530+I$119-2026,$H1530)),""))</f>
        <v/>
      </c>
      <c r="J1530" s="34" t="str">
        <f t="shared" si="254"/>
        <v/>
      </c>
      <c r="K1530" s="34" t="str">
        <f t="shared" si="254"/>
        <v/>
      </c>
      <c r="L1530" s="34" t="str">
        <f t="shared" si="254"/>
        <v/>
      </c>
      <c r="M1530" s="34" t="str">
        <f t="shared" si="254"/>
        <v/>
      </c>
      <c r="N1530" s="34" t="str">
        <f t="shared" si="254"/>
        <v/>
      </c>
      <c r="O1530" s="34" t="str">
        <f t="shared" si="254"/>
        <v/>
      </c>
      <c r="P1530" s="34">
        <f t="shared" si="254"/>
        <v>84</v>
      </c>
      <c r="Q1530" s="34">
        <f t="shared" si="254"/>
        <v>90</v>
      </c>
      <c r="R1530" s="34">
        <f t="shared" si="254"/>
        <v>102</v>
      </c>
      <c r="S1530" s="35">
        <f t="shared" si="253"/>
        <v>84</v>
      </c>
    </row>
    <row r="1531" spans="2:19" hidden="1" outlineLevel="1">
      <c r="B1531" s="14" t="s">
        <v>116</v>
      </c>
      <c r="C1531" s="15" t="s">
        <v>66</v>
      </c>
      <c r="D1531" s="52">
        <v>2042</v>
      </c>
      <c r="E1531" s="34">
        <v>8</v>
      </c>
      <c r="F1531" s="38">
        <f t="shared" si="250"/>
        <v>21262.681945419808</v>
      </c>
      <c r="G1531" s="34">
        <f t="shared" si="251"/>
        <v>16</v>
      </c>
      <c r="H1531" s="34">
        <f t="shared" si="252"/>
        <v>4</v>
      </c>
      <c r="I1531" s="34" t="str">
        <f t="shared" si="254"/>
        <v/>
      </c>
      <c r="J1531" s="34" t="str">
        <f t="shared" si="254"/>
        <v/>
      </c>
      <c r="K1531" s="34" t="str">
        <f t="shared" si="254"/>
        <v/>
      </c>
      <c r="L1531" s="34" t="str">
        <f t="shared" si="254"/>
        <v/>
      </c>
      <c r="M1531" s="34" t="str">
        <f t="shared" si="254"/>
        <v/>
      </c>
      <c r="N1531" s="34" t="str">
        <f t="shared" si="254"/>
        <v/>
      </c>
      <c r="O1531" s="34" t="str">
        <f t="shared" si="254"/>
        <v/>
      </c>
      <c r="P1531" s="34">
        <f t="shared" si="254"/>
        <v>84</v>
      </c>
      <c r="Q1531" s="34">
        <f t="shared" si="254"/>
        <v>89</v>
      </c>
      <c r="R1531" s="34">
        <f t="shared" si="254"/>
        <v>101</v>
      </c>
      <c r="S1531" s="35">
        <f t="shared" si="253"/>
        <v>84</v>
      </c>
    </row>
    <row r="1532" spans="2:19" hidden="1" outlineLevel="1">
      <c r="B1532" s="14" t="s">
        <v>116</v>
      </c>
      <c r="C1532" s="15" t="s">
        <v>66</v>
      </c>
      <c r="D1532" s="52">
        <v>2042</v>
      </c>
      <c r="E1532" s="34">
        <v>9</v>
      </c>
      <c r="F1532" s="38">
        <f t="shared" si="250"/>
        <v>21262.681945419808</v>
      </c>
      <c r="G1532" s="34">
        <f t="shared" si="251"/>
        <v>16</v>
      </c>
      <c r="H1532" s="34">
        <f t="shared" si="252"/>
        <v>4</v>
      </c>
      <c r="I1532" s="34" t="str">
        <f t="shared" si="254"/>
        <v/>
      </c>
      <c r="J1532" s="34" t="str">
        <f t="shared" si="254"/>
        <v/>
      </c>
      <c r="K1532" s="34" t="str">
        <f t="shared" si="254"/>
        <v/>
      </c>
      <c r="L1532" s="34" t="str">
        <f t="shared" si="254"/>
        <v/>
      </c>
      <c r="M1532" s="34" t="str">
        <f t="shared" si="254"/>
        <v/>
      </c>
      <c r="N1532" s="34" t="str">
        <f t="shared" si="254"/>
        <v/>
      </c>
      <c r="O1532" s="34" t="str">
        <f t="shared" si="254"/>
        <v/>
      </c>
      <c r="P1532" s="34">
        <f t="shared" si="254"/>
        <v>84</v>
      </c>
      <c r="Q1532" s="34">
        <f t="shared" si="254"/>
        <v>88</v>
      </c>
      <c r="R1532" s="34">
        <f t="shared" si="254"/>
        <v>100</v>
      </c>
      <c r="S1532" s="35">
        <f t="shared" si="253"/>
        <v>84</v>
      </c>
    </row>
    <row r="1533" spans="2:19" hidden="1" outlineLevel="1">
      <c r="B1533" s="14" t="s">
        <v>116</v>
      </c>
      <c r="C1533" s="15" t="s">
        <v>66</v>
      </c>
      <c r="D1533" s="52">
        <v>2042</v>
      </c>
      <c r="E1533" s="34">
        <v>10</v>
      </c>
      <c r="F1533" s="38">
        <f t="shared" si="250"/>
        <v>21262.681945419808</v>
      </c>
      <c r="G1533" s="34">
        <f t="shared" si="251"/>
        <v>16</v>
      </c>
      <c r="H1533" s="34">
        <f t="shared" si="252"/>
        <v>4</v>
      </c>
      <c r="I1533" s="34" t="str">
        <f t="shared" si="254"/>
        <v/>
      </c>
      <c r="J1533" s="34" t="str">
        <f t="shared" si="254"/>
        <v/>
      </c>
      <c r="K1533" s="34" t="str">
        <f t="shared" si="254"/>
        <v/>
      </c>
      <c r="L1533" s="34" t="str">
        <f t="shared" si="254"/>
        <v/>
      </c>
      <c r="M1533" s="34" t="str">
        <f t="shared" si="254"/>
        <v/>
      </c>
      <c r="N1533" s="34" t="str">
        <f t="shared" si="254"/>
        <v/>
      </c>
      <c r="O1533" s="34" t="str">
        <f t="shared" si="254"/>
        <v/>
      </c>
      <c r="P1533" s="34">
        <f t="shared" si="254"/>
        <v>84</v>
      </c>
      <c r="Q1533" s="34">
        <f t="shared" si="254"/>
        <v>87</v>
      </c>
      <c r="R1533" s="34">
        <f t="shared" si="254"/>
        <v>99</v>
      </c>
      <c r="S1533" s="35">
        <f t="shared" si="253"/>
        <v>84</v>
      </c>
    </row>
    <row r="1534" spans="2:19" hidden="1" outlineLevel="1">
      <c r="B1534" s="14" t="s">
        <v>116</v>
      </c>
      <c r="C1534" s="15" t="s">
        <v>66</v>
      </c>
      <c r="D1534" s="52">
        <v>2042</v>
      </c>
      <c r="E1534" s="34">
        <v>11</v>
      </c>
      <c r="F1534" s="38">
        <f t="shared" si="250"/>
        <v>21262.681945419808</v>
      </c>
      <c r="G1534" s="34">
        <f t="shared" si="251"/>
        <v>16</v>
      </c>
      <c r="H1534" s="34">
        <f t="shared" si="252"/>
        <v>4</v>
      </c>
      <c r="I1534" s="34" t="str">
        <f t="shared" si="254"/>
        <v/>
      </c>
      <c r="J1534" s="34" t="str">
        <f t="shared" si="254"/>
        <v/>
      </c>
      <c r="K1534" s="34" t="str">
        <f t="shared" si="254"/>
        <v/>
      </c>
      <c r="L1534" s="34" t="str">
        <f t="shared" si="254"/>
        <v/>
      </c>
      <c r="M1534" s="34" t="str">
        <f t="shared" si="254"/>
        <v/>
      </c>
      <c r="N1534" s="34" t="str">
        <f t="shared" si="254"/>
        <v/>
      </c>
      <c r="O1534" s="34" t="str">
        <f t="shared" si="254"/>
        <v/>
      </c>
      <c r="P1534" s="34">
        <f t="shared" si="254"/>
        <v>84</v>
      </c>
      <c r="Q1534" s="34">
        <f t="shared" si="254"/>
        <v>86</v>
      </c>
      <c r="R1534" s="34">
        <f t="shared" si="254"/>
        <v>98</v>
      </c>
      <c r="S1534" s="35">
        <f t="shared" si="253"/>
        <v>84</v>
      </c>
    </row>
    <row r="1535" spans="2:19" hidden="1" outlineLevel="1">
      <c r="B1535" s="14" t="s">
        <v>116</v>
      </c>
      <c r="C1535" s="15" t="s">
        <v>66</v>
      </c>
      <c r="D1535" s="52">
        <v>2042</v>
      </c>
      <c r="E1535" s="34">
        <v>12</v>
      </c>
      <c r="F1535" s="38">
        <f t="shared" si="250"/>
        <v>21262.681945419808</v>
      </c>
      <c r="G1535" s="34">
        <f t="shared" si="251"/>
        <v>16</v>
      </c>
      <c r="H1535" s="34">
        <f t="shared" si="252"/>
        <v>4</v>
      </c>
      <c r="I1535" s="34" t="str">
        <f t="shared" si="254"/>
        <v/>
      </c>
      <c r="J1535" s="34" t="str">
        <f t="shared" si="254"/>
        <v/>
      </c>
      <c r="K1535" s="34" t="str">
        <f t="shared" si="254"/>
        <v/>
      </c>
      <c r="L1535" s="34" t="str">
        <f t="shared" si="254"/>
        <v/>
      </c>
      <c r="M1535" s="34" t="str">
        <f t="shared" si="254"/>
        <v/>
      </c>
      <c r="N1535" s="34" t="str">
        <f t="shared" si="254"/>
        <v/>
      </c>
      <c r="O1535" s="34" t="str">
        <f t="shared" si="254"/>
        <v/>
      </c>
      <c r="P1535" s="34">
        <f t="shared" si="254"/>
        <v>84</v>
      </c>
      <c r="Q1535" s="34">
        <f t="shared" si="254"/>
        <v>85</v>
      </c>
      <c r="R1535" s="34">
        <f t="shared" si="254"/>
        <v>97</v>
      </c>
      <c r="S1535" s="35">
        <f t="shared" si="253"/>
        <v>84</v>
      </c>
    </row>
    <row r="1536" spans="2:19" hidden="1" outlineLevel="1">
      <c r="B1536" s="14" t="s">
        <v>116</v>
      </c>
      <c r="C1536" s="15" t="s">
        <v>66</v>
      </c>
      <c r="D1536" s="52">
        <v>2043</v>
      </c>
      <c r="E1536" s="34">
        <v>1</v>
      </c>
      <c r="F1536" s="38">
        <f t="shared" si="250"/>
        <v>20971.191579512979</v>
      </c>
      <c r="G1536" s="34">
        <f t="shared" si="251"/>
        <v>16</v>
      </c>
      <c r="H1536" s="34">
        <f t="shared" si="252"/>
        <v>4</v>
      </c>
      <c r="I1536" s="34" t="str">
        <f t="shared" si="254"/>
        <v/>
      </c>
      <c r="J1536" s="34" t="str">
        <f t="shared" si="254"/>
        <v/>
      </c>
      <c r="K1536" s="34" t="str">
        <f t="shared" si="254"/>
        <v/>
      </c>
      <c r="L1536" s="34" t="str">
        <f t="shared" si="254"/>
        <v/>
      </c>
      <c r="M1536" s="34" t="str">
        <f t="shared" si="254"/>
        <v/>
      </c>
      <c r="N1536" s="34" t="str">
        <f t="shared" si="254"/>
        <v/>
      </c>
      <c r="O1536" s="34" t="str">
        <f t="shared" si="254"/>
        <v/>
      </c>
      <c r="P1536" s="34">
        <f t="shared" si="254"/>
        <v>84</v>
      </c>
      <c r="Q1536" s="34">
        <f t="shared" si="254"/>
        <v>96</v>
      </c>
      <c r="R1536" s="34">
        <f t="shared" si="254"/>
        <v>108</v>
      </c>
      <c r="S1536" s="35">
        <f t="shared" si="253"/>
        <v>84</v>
      </c>
    </row>
    <row r="1537" spans="2:19" hidden="1" outlineLevel="1">
      <c r="B1537" s="14" t="s">
        <v>116</v>
      </c>
      <c r="C1537" s="15" t="s">
        <v>66</v>
      </c>
      <c r="D1537" s="52">
        <v>2043</v>
      </c>
      <c r="E1537" s="34">
        <v>2</v>
      </c>
      <c r="F1537" s="38">
        <f t="shared" si="250"/>
        <v>20971.191579512979</v>
      </c>
      <c r="G1537" s="34">
        <f t="shared" si="251"/>
        <v>16</v>
      </c>
      <c r="H1537" s="34">
        <f t="shared" si="252"/>
        <v>4</v>
      </c>
      <c r="I1537" s="34" t="str">
        <f t="shared" si="254"/>
        <v/>
      </c>
      <c r="J1537" s="34" t="str">
        <f t="shared" si="254"/>
        <v/>
      </c>
      <c r="K1537" s="34" t="str">
        <f t="shared" si="254"/>
        <v/>
      </c>
      <c r="L1537" s="34" t="str">
        <f t="shared" si="254"/>
        <v/>
      </c>
      <c r="M1537" s="34" t="str">
        <f t="shared" si="254"/>
        <v/>
      </c>
      <c r="N1537" s="34" t="str">
        <f t="shared" si="254"/>
        <v/>
      </c>
      <c r="O1537" s="34" t="str">
        <f t="shared" si="254"/>
        <v/>
      </c>
      <c r="P1537" s="34">
        <f t="shared" si="254"/>
        <v>84</v>
      </c>
      <c r="Q1537" s="34">
        <f t="shared" si="254"/>
        <v>95</v>
      </c>
      <c r="R1537" s="34">
        <f t="shared" si="254"/>
        <v>107</v>
      </c>
      <c r="S1537" s="35">
        <f t="shared" si="253"/>
        <v>84</v>
      </c>
    </row>
    <row r="1538" spans="2:19" hidden="1" outlineLevel="1">
      <c r="B1538" s="14" t="s">
        <v>116</v>
      </c>
      <c r="C1538" s="15" t="s">
        <v>66</v>
      </c>
      <c r="D1538" s="52">
        <v>2043</v>
      </c>
      <c r="E1538" s="34">
        <v>3</v>
      </c>
      <c r="F1538" s="38">
        <f t="shared" si="250"/>
        <v>20971.191579512979</v>
      </c>
      <c r="G1538" s="34">
        <f t="shared" si="251"/>
        <v>16</v>
      </c>
      <c r="H1538" s="34">
        <f t="shared" si="252"/>
        <v>4</v>
      </c>
      <c r="I1538" s="34" t="str">
        <f t="shared" si="254"/>
        <v/>
      </c>
      <c r="J1538" s="34" t="str">
        <f t="shared" si="254"/>
        <v/>
      </c>
      <c r="K1538" s="34" t="str">
        <f t="shared" si="254"/>
        <v/>
      </c>
      <c r="L1538" s="34" t="str">
        <f t="shared" si="254"/>
        <v/>
      </c>
      <c r="M1538" s="34" t="str">
        <f t="shared" si="254"/>
        <v/>
      </c>
      <c r="N1538" s="34" t="str">
        <f t="shared" si="254"/>
        <v/>
      </c>
      <c r="O1538" s="34" t="str">
        <f t="shared" si="254"/>
        <v/>
      </c>
      <c r="P1538" s="34">
        <f t="shared" si="254"/>
        <v>84</v>
      </c>
      <c r="Q1538" s="34">
        <f t="shared" si="254"/>
        <v>94</v>
      </c>
      <c r="R1538" s="34">
        <f t="shared" si="254"/>
        <v>106</v>
      </c>
      <c r="S1538" s="35">
        <f t="shared" si="253"/>
        <v>84</v>
      </c>
    </row>
    <row r="1539" spans="2:19" hidden="1" outlineLevel="1">
      <c r="B1539" s="14" t="s">
        <v>116</v>
      </c>
      <c r="C1539" s="15" t="s">
        <v>66</v>
      </c>
      <c r="D1539" s="52">
        <v>2043</v>
      </c>
      <c r="E1539" s="34">
        <v>4</v>
      </c>
      <c r="F1539" s="38">
        <f t="shared" si="250"/>
        <v>20971.191579512979</v>
      </c>
      <c r="G1539" s="34">
        <f t="shared" si="251"/>
        <v>16</v>
      </c>
      <c r="H1539" s="34">
        <f t="shared" si="252"/>
        <v>4</v>
      </c>
      <c r="I1539" s="34" t="str">
        <f t="shared" si="254"/>
        <v/>
      </c>
      <c r="J1539" s="34" t="str">
        <f t="shared" si="254"/>
        <v/>
      </c>
      <c r="K1539" s="34" t="str">
        <f t="shared" si="254"/>
        <v/>
      </c>
      <c r="L1539" s="34" t="str">
        <f t="shared" si="254"/>
        <v/>
      </c>
      <c r="M1539" s="34" t="str">
        <f t="shared" si="254"/>
        <v/>
      </c>
      <c r="N1539" s="34" t="str">
        <f t="shared" si="254"/>
        <v/>
      </c>
      <c r="O1539" s="34" t="str">
        <f t="shared" si="254"/>
        <v/>
      </c>
      <c r="P1539" s="34">
        <f t="shared" si="254"/>
        <v>84</v>
      </c>
      <c r="Q1539" s="34">
        <f t="shared" si="254"/>
        <v>93</v>
      </c>
      <c r="R1539" s="34">
        <f t="shared" si="254"/>
        <v>105</v>
      </c>
      <c r="S1539" s="35">
        <f t="shared" si="253"/>
        <v>84</v>
      </c>
    </row>
    <row r="1540" spans="2:19" hidden="1" outlineLevel="1">
      <c r="B1540" s="14" t="s">
        <v>116</v>
      </c>
      <c r="C1540" s="15" t="s">
        <v>66</v>
      </c>
      <c r="D1540" s="52">
        <v>2043</v>
      </c>
      <c r="E1540" s="34">
        <v>5</v>
      </c>
      <c r="F1540" s="38">
        <f t="shared" si="250"/>
        <v>20971.191579512979</v>
      </c>
      <c r="G1540" s="34">
        <f t="shared" si="251"/>
        <v>16</v>
      </c>
      <c r="H1540" s="34">
        <f t="shared" si="252"/>
        <v>4</v>
      </c>
      <c r="I1540" s="34" t="str">
        <f t="shared" ref="I1540:R1549" si="255">IF($D1540&lt;$Z$18,"",IF(MAX($G1540,INDEX($C$65:$F$108,$D1540+I$119-2026,$H1540))&lt;=12*I$119-$E1540+12,MAX($G1540,12*I$119-$E1540+1,INDEX($C$65:$F$108,$D1540+I$119-2026,$H1540)),""))</f>
        <v/>
      </c>
      <c r="J1540" s="34" t="str">
        <f t="shared" si="255"/>
        <v/>
      </c>
      <c r="K1540" s="34" t="str">
        <f t="shared" si="255"/>
        <v/>
      </c>
      <c r="L1540" s="34" t="str">
        <f t="shared" si="255"/>
        <v/>
      </c>
      <c r="M1540" s="34" t="str">
        <f t="shared" si="255"/>
        <v/>
      </c>
      <c r="N1540" s="34" t="str">
        <f t="shared" si="255"/>
        <v/>
      </c>
      <c r="O1540" s="34" t="str">
        <f t="shared" si="255"/>
        <v/>
      </c>
      <c r="P1540" s="34">
        <f t="shared" si="255"/>
        <v>84</v>
      </c>
      <c r="Q1540" s="34">
        <f t="shared" si="255"/>
        <v>92</v>
      </c>
      <c r="R1540" s="34">
        <f t="shared" si="255"/>
        <v>104</v>
      </c>
      <c r="S1540" s="35">
        <f t="shared" si="253"/>
        <v>84</v>
      </c>
    </row>
    <row r="1541" spans="2:19" hidden="1" outlineLevel="1">
      <c r="B1541" s="14" t="s">
        <v>116</v>
      </c>
      <c r="C1541" s="15" t="s">
        <v>66</v>
      </c>
      <c r="D1541" s="52">
        <v>2043</v>
      </c>
      <c r="E1541" s="34">
        <v>6</v>
      </c>
      <c r="F1541" s="38">
        <f t="shared" si="250"/>
        <v>20971.191579512979</v>
      </c>
      <c r="G1541" s="34">
        <f t="shared" si="251"/>
        <v>16</v>
      </c>
      <c r="H1541" s="34">
        <f t="shared" si="252"/>
        <v>4</v>
      </c>
      <c r="I1541" s="34" t="str">
        <f t="shared" si="255"/>
        <v/>
      </c>
      <c r="J1541" s="34" t="str">
        <f t="shared" si="255"/>
        <v/>
      </c>
      <c r="K1541" s="34" t="str">
        <f t="shared" si="255"/>
        <v/>
      </c>
      <c r="L1541" s="34" t="str">
        <f t="shared" si="255"/>
        <v/>
      </c>
      <c r="M1541" s="34" t="str">
        <f t="shared" si="255"/>
        <v/>
      </c>
      <c r="N1541" s="34" t="str">
        <f t="shared" si="255"/>
        <v/>
      </c>
      <c r="O1541" s="34" t="str">
        <f t="shared" si="255"/>
        <v/>
      </c>
      <c r="P1541" s="34">
        <f t="shared" si="255"/>
        <v>84</v>
      </c>
      <c r="Q1541" s="34">
        <f t="shared" si="255"/>
        <v>91</v>
      </c>
      <c r="R1541" s="34">
        <f t="shared" si="255"/>
        <v>103</v>
      </c>
      <c r="S1541" s="35">
        <f t="shared" si="253"/>
        <v>84</v>
      </c>
    </row>
    <row r="1542" spans="2:19" hidden="1" outlineLevel="1">
      <c r="B1542" s="14" t="s">
        <v>116</v>
      </c>
      <c r="C1542" s="15" t="s">
        <v>66</v>
      </c>
      <c r="D1542" s="52">
        <v>2043</v>
      </c>
      <c r="E1542" s="34">
        <v>7</v>
      </c>
      <c r="F1542" s="38">
        <f t="shared" si="250"/>
        <v>20971.191579512979</v>
      </c>
      <c r="G1542" s="34">
        <f t="shared" si="251"/>
        <v>16</v>
      </c>
      <c r="H1542" s="34">
        <f t="shared" si="252"/>
        <v>4</v>
      </c>
      <c r="I1542" s="34" t="str">
        <f t="shared" si="255"/>
        <v/>
      </c>
      <c r="J1542" s="34" t="str">
        <f t="shared" si="255"/>
        <v/>
      </c>
      <c r="K1542" s="34" t="str">
        <f t="shared" si="255"/>
        <v/>
      </c>
      <c r="L1542" s="34" t="str">
        <f t="shared" si="255"/>
        <v/>
      </c>
      <c r="M1542" s="34" t="str">
        <f t="shared" si="255"/>
        <v/>
      </c>
      <c r="N1542" s="34" t="str">
        <f t="shared" si="255"/>
        <v/>
      </c>
      <c r="O1542" s="34" t="str">
        <f t="shared" si="255"/>
        <v/>
      </c>
      <c r="P1542" s="34">
        <f t="shared" si="255"/>
        <v>84</v>
      </c>
      <c r="Q1542" s="34">
        <f t="shared" si="255"/>
        <v>90</v>
      </c>
      <c r="R1542" s="34">
        <f t="shared" si="255"/>
        <v>102</v>
      </c>
      <c r="S1542" s="35">
        <f t="shared" si="253"/>
        <v>84</v>
      </c>
    </row>
    <row r="1543" spans="2:19" hidden="1" outlineLevel="1">
      <c r="B1543" s="14" t="s">
        <v>116</v>
      </c>
      <c r="C1543" s="15" t="s">
        <v>66</v>
      </c>
      <c r="D1543" s="52">
        <v>2043</v>
      </c>
      <c r="E1543" s="34">
        <v>8</v>
      </c>
      <c r="F1543" s="38">
        <f t="shared" si="250"/>
        <v>20971.191579512979</v>
      </c>
      <c r="G1543" s="34">
        <f t="shared" si="251"/>
        <v>16</v>
      </c>
      <c r="H1543" s="34">
        <f t="shared" si="252"/>
        <v>4</v>
      </c>
      <c r="I1543" s="34" t="str">
        <f t="shared" si="255"/>
        <v/>
      </c>
      <c r="J1543" s="34" t="str">
        <f t="shared" si="255"/>
        <v/>
      </c>
      <c r="K1543" s="34" t="str">
        <f t="shared" si="255"/>
        <v/>
      </c>
      <c r="L1543" s="34" t="str">
        <f t="shared" si="255"/>
        <v/>
      </c>
      <c r="M1543" s="34" t="str">
        <f t="shared" si="255"/>
        <v/>
      </c>
      <c r="N1543" s="34" t="str">
        <f t="shared" si="255"/>
        <v/>
      </c>
      <c r="O1543" s="34" t="str">
        <f t="shared" si="255"/>
        <v/>
      </c>
      <c r="P1543" s="34">
        <f t="shared" si="255"/>
        <v>84</v>
      </c>
      <c r="Q1543" s="34">
        <f t="shared" si="255"/>
        <v>89</v>
      </c>
      <c r="R1543" s="34">
        <f t="shared" si="255"/>
        <v>101</v>
      </c>
      <c r="S1543" s="35">
        <f t="shared" si="253"/>
        <v>84</v>
      </c>
    </row>
    <row r="1544" spans="2:19" hidden="1" outlineLevel="1">
      <c r="B1544" s="14" t="s">
        <v>116</v>
      </c>
      <c r="C1544" s="15" t="s">
        <v>66</v>
      </c>
      <c r="D1544" s="52">
        <v>2043</v>
      </c>
      <c r="E1544" s="34">
        <v>9</v>
      </c>
      <c r="F1544" s="38">
        <f t="shared" si="250"/>
        <v>20971.191579512979</v>
      </c>
      <c r="G1544" s="34">
        <f t="shared" si="251"/>
        <v>16</v>
      </c>
      <c r="H1544" s="34">
        <f t="shared" si="252"/>
        <v>4</v>
      </c>
      <c r="I1544" s="34" t="str">
        <f t="shared" si="255"/>
        <v/>
      </c>
      <c r="J1544" s="34" t="str">
        <f t="shared" si="255"/>
        <v/>
      </c>
      <c r="K1544" s="34" t="str">
        <f t="shared" si="255"/>
        <v/>
      </c>
      <c r="L1544" s="34" t="str">
        <f t="shared" si="255"/>
        <v/>
      </c>
      <c r="M1544" s="34" t="str">
        <f t="shared" si="255"/>
        <v/>
      </c>
      <c r="N1544" s="34" t="str">
        <f t="shared" si="255"/>
        <v/>
      </c>
      <c r="O1544" s="34" t="str">
        <f t="shared" si="255"/>
        <v/>
      </c>
      <c r="P1544" s="34">
        <f t="shared" si="255"/>
        <v>84</v>
      </c>
      <c r="Q1544" s="34">
        <f t="shared" si="255"/>
        <v>88</v>
      </c>
      <c r="R1544" s="34">
        <f t="shared" si="255"/>
        <v>100</v>
      </c>
      <c r="S1544" s="35">
        <f t="shared" si="253"/>
        <v>84</v>
      </c>
    </row>
    <row r="1545" spans="2:19" hidden="1" outlineLevel="1">
      <c r="B1545" s="14" t="s">
        <v>116</v>
      </c>
      <c r="C1545" s="15" t="s">
        <v>66</v>
      </c>
      <c r="D1545" s="52">
        <v>2043</v>
      </c>
      <c r="E1545" s="34">
        <v>10</v>
      </c>
      <c r="F1545" s="38">
        <f t="shared" si="250"/>
        <v>20971.191579512979</v>
      </c>
      <c r="G1545" s="34">
        <f t="shared" si="251"/>
        <v>16</v>
      </c>
      <c r="H1545" s="34">
        <f t="shared" si="252"/>
        <v>4</v>
      </c>
      <c r="I1545" s="34" t="str">
        <f t="shared" si="255"/>
        <v/>
      </c>
      <c r="J1545" s="34" t="str">
        <f t="shared" si="255"/>
        <v/>
      </c>
      <c r="K1545" s="34" t="str">
        <f t="shared" si="255"/>
        <v/>
      </c>
      <c r="L1545" s="34" t="str">
        <f t="shared" si="255"/>
        <v/>
      </c>
      <c r="M1545" s="34" t="str">
        <f t="shared" si="255"/>
        <v/>
      </c>
      <c r="N1545" s="34" t="str">
        <f t="shared" si="255"/>
        <v/>
      </c>
      <c r="O1545" s="34" t="str">
        <f t="shared" si="255"/>
        <v/>
      </c>
      <c r="P1545" s="34">
        <f t="shared" si="255"/>
        <v>84</v>
      </c>
      <c r="Q1545" s="34">
        <f t="shared" si="255"/>
        <v>87</v>
      </c>
      <c r="R1545" s="34">
        <f t="shared" si="255"/>
        <v>99</v>
      </c>
      <c r="S1545" s="35">
        <f t="shared" si="253"/>
        <v>84</v>
      </c>
    </row>
    <row r="1546" spans="2:19" hidden="1" outlineLevel="1">
      <c r="B1546" s="14" t="s">
        <v>116</v>
      </c>
      <c r="C1546" s="15" t="s">
        <v>66</v>
      </c>
      <c r="D1546" s="52">
        <v>2043</v>
      </c>
      <c r="E1546" s="34">
        <v>11</v>
      </c>
      <c r="F1546" s="38">
        <f t="shared" si="250"/>
        <v>20971.191579512979</v>
      </c>
      <c r="G1546" s="34">
        <f t="shared" si="251"/>
        <v>16</v>
      </c>
      <c r="H1546" s="34">
        <f t="shared" si="252"/>
        <v>4</v>
      </c>
      <c r="I1546" s="34" t="str">
        <f t="shared" si="255"/>
        <v/>
      </c>
      <c r="J1546" s="34" t="str">
        <f t="shared" si="255"/>
        <v/>
      </c>
      <c r="K1546" s="34" t="str">
        <f t="shared" si="255"/>
        <v/>
      </c>
      <c r="L1546" s="34" t="str">
        <f t="shared" si="255"/>
        <v/>
      </c>
      <c r="M1546" s="34" t="str">
        <f t="shared" si="255"/>
        <v/>
      </c>
      <c r="N1546" s="34" t="str">
        <f t="shared" si="255"/>
        <v/>
      </c>
      <c r="O1546" s="34" t="str">
        <f t="shared" si="255"/>
        <v/>
      </c>
      <c r="P1546" s="34">
        <f t="shared" si="255"/>
        <v>84</v>
      </c>
      <c r="Q1546" s="34">
        <f t="shared" si="255"/>
        <v>86</v>
      </c>
      <c r="R1546" s="34">
        <f t="shared" si="255"/>
        <v>98</v>
      </c>
      <c r="S1546" s="35">
        <f t="shared" si="253"/>
        <v>84</v>
      </c>
    </row>
    <row r="1547" spans="2:19" hidden="1" outlineLevel="1">
      <c r="B1547" s="14" t="s">
        <v>116</v>
      </c>
      <c r="C1547" s="15" t="s">
        <v>66</v>
      </c>
      <c r="D1547" s="52">
        <v>2043</v>
      </c>
      <c r="E1547" s="34">
        <v>12</v>
      </c>
      <c r="F1547" s="38">
        <f t="shared" si="250"/>
        <v>20971.191579512979</v>
      </c>
      <c r="G1547" s="34">
        <f t="shared" si="251"/>
        <v>16</v>
      </c>
      <c r="H1547" s="34">
        <f t="shared" si="252"/>
        <v>4</v>
      </c>
      <c r="I1547" s="34" t="str">
        <f t="shared" si="255"/>
        <v/>
      </c>
      <c r="J1547" s="34" t="str">
        <f t="shared" si="255"/>
        <v/>
      </c>
      <c r="K1547" s="34" t="str">
        <f t="shared" si="255"/>
        <v/>
      </c>
      <c r="L1547" s="34" t="str">
        <f t="shared" si="255"/>
        <v/>
      </c>
      <c r="M1547" s="34" t="str">
        <f t="shared" si="255"/>
        <v/>
      </c>
      <c r="N1547" s="34" t="str">
        <f t="shared" si="255"/>
        <v/>
      </c>
      <c r="O1547" s="34" t="str">
        <f t="shared" si="255"/>
        <v/>
      </c>
      <c r="P1547" s="34">
        <f t="shared" si="255"/>
        <v>84</v>
      </c>
      <c r="Q1547" s="34">
        <f t="shared" si="255"/>
        <v>85</v>
      </c>
      <c r="R1547" s="34">
        <f t="shared" si="255"/>
        <v>97</v>
      </c>
      <c r="S1547" s="35">
        <f t="shared" si="253"/>
        <v>84</v>
      </c>
    </row>
    <row r="1548" spans="2:19" hidden="1" outlineLevel="1">
      <c r="B1548" s="14" t="s">
        <v>116</v>
      </c>
      <c r="C1548" s="15" t="s">
        <v>66</v>
      </c>
      <c r="D1548" s="52">
        <v>2044</v>
      </c>
      <c r="E1548" s="34">
        <v>1</v>
      </c>
      <c r="F1548" s="38">
        <f t="shared" si="250"/>
        <v>20693.019093840154</v>
      </c>
      <c r="G1548" s="34">
        <f t="shared" si="251"/>
        <v>16</v>
      </c>
      <c r="H1548" s="34">
        <f t="shared" si="252"/>
        <v>4</v>
      </c>
      <c r="I1548" s="34" t="str">
        <f t="shared" si="255"/>
        <v/>
      </c>
      <c r="J1548" s="34" t="str">
        <f t="shared" si="255"/>
        <v/>
      </c>
      <c r="K1548" s="34" t="str">
        <f t="shared" si="255"/>
        <v/>
      </c>
      <c r="L1548" s="34" t="str">
        <f t="shared" si="255"/>
        <v/>
      </c>
      <c r="M1548" s="34" t="str">
        <f t="shared" si="255"/>
        <v/>
      </c>
      <c r="N1548" s="34" t="str">
        <f t="shared" si="255"/>
        <v/>
      </c>
      <c r="O1548" s="34" t="str">
        <f t="shared" si="255"/>
        <v/>
      </c>
      <c r="P1548" s="34">
        <f t="shared" si="255"/>
        <v>84</v>
      </c>
      <c r="Q1548" s="34">
        <f t="shared" si="255"/>
        <v>96</v>
      </c>
      <c r="R1548" s="34">
        <f t="shared" si="255"/>
        <v>108</v>
      </c>
      <c r="S1548" s="35">
        <f t="shared" si="253"/>
        <v>84</v>
      </c>
    </row>
    <row r="1549" spans="2:19" hidden="1" outlineLevel="1">
      <c r="B1549" s="14" t="s">
        <v>116</v>
      </c>
      <c r="C1549" s="15" t="s">
        <v>66</v>
      </c>
      <c r="D1549" s="52">
        <v>2044</v>
      </c>
      <c r="E1549" s="34">
        <v>2</v>
      </c>
      <c r="F1549" s="38">
        <f t="shared" si="250"/>
        <v>20693.019093840154</v>
      </c>
      <c r="G1549" s="34">
        <f t="shared" si="251"/>
        <v>16</v>
      </c>
      <c r="H1549" s="34">
        <f t="shared" si="252"/>
        <v>4</v>
      </c>
      <c r="I1549" s="34" t="str">
        <f t="shared" si="255"/>
        <v/>
      </c>
      <c r="J1549" s="34" t="str">
        <f t="shared" si="255"/>
        <v/>
      </c>
      <c r="K1549" s="34" t="str">
        <f t="shared" si="255"/>
        <v/>
      </c>
      <c r="L1549" s="34" t="str">
        <f t="shared" si="255"/>
        <v/>
      </c>
      <c r="M1549" s="34" t="str">
        <f t="shared" si="255"/>
        <v/>
      </c>
      <c r="N1549" s="34" t="str">
        <f t="shared" si="255"/>
        <v/>
      </c>
      <c r="O1549" s="34" t="str">
        <f t="shared" si="255"/>
        <v/>
      </c>
      <c r="P1549" s="34">
        <f t="shared" si="255"/>
        <v>84</v>
      </c>
      <c r="Q1549" s="34">
        <f t="shared" si="255"/>
        <v>95</v>
      </c>
      <c r="R1549" s="34">
        <f t="shared" si="255"/>
        <v>107</v>
      </c>
      <c r="S1549" s="35">
        <f t="shared" si="253"/>
        <v>84</v>
      </c>
    </row>
    <row r="1550" spans="2:19" hidden="1" outlineLevel="1">
      <c r="B1550" s="14" t="s">
        <v>116</v>
      </c>
      <c r="C1550" s="15" t="s">
        <v>66</v>
      </c>
      <c r="D1550" s="52">
        <v>2044</v>
      </c>
      <c r="E1550" s="34">
        <v>3</v>
      </c>
      <c r="F1550" s="38">
        <f t="shared" si="250"/>
        <v>20693.019093840154</v>
      </c>
      <c r="G1550" s="34">
        <f t="shared" si="251"/>
        <v>16</v>
      </c>
      <c r="H1550" s="34">
        <f t="shared" si="252"/>
        <v>4</v>
      </c>
      <c r="I1550" s="34" t="str">
        <f t="shared" ref="I1550:R1559" si="256">IF($D1550&lt;$Z$18,"",IF(MAX($G1550,INDEX($C$65:$F$108,$D1550+I$119-2026,$H1550))&lt;=12*I$119-$E1550+12,MAX($G1550,12*I$119-$E1550+1,INDEX($C$65:$F$108,$D1550+I$119-2026,$H1550)),""))</f>
        <v/>
      </c>
      <c r="J1550" s="34" t="str">
        <f t="shared" si="256"/>
        <v/>
      </c>
      <c r="K1550" s="34" t="str">
        <f t="shared" si="256"/>
        <v/>
      </c>
      <c r="L1550" s="34" t="str">
        <f t="shared" si="256"/>
        <v/>
      </c>
      <c r="M1550" s="34" t="str">
        <f t="shared" si="256"/>
        <v/>
      </c>
      <c r="N1550" s="34" t="str">
        <f t="shared" si="256"/>
        <v/>
      </c>
      <c r="O1550" s="34" t="str">
        <f t="shared" si="256"/>
        <v/>
      </c>
      <c r="P1550" s="34">
        <f t="shared" si="256"/>
        <v>84</v>
      </c>
      <c r="Q1550" s="34">
        <f t="shared" si="256"/>
        <v>94</v>
      </c>
      <c r="R1550" s="34">
        <f t="shared" si="256"/>
        <v>106</v>
      </c>
      <c r="S1550" s="35">
        <f t="shared" si="253"/>
        <v>84</v>
      </c>
    </row>
    <row r="1551" spans="2:19" hidden="1" outlineLevel="1">
      <c r="B1551" s="14" t="s">
        <v>116</v>
      </c>
      <c r="C1551" s="15" t="s">
        <v>66</v>
      </c>
      <c r="D1551" s="52">
        <v>2044</v>
      </c>
      <c r="E1551" s="34">
        <v>4</v>
      </c>
      <c r="F1551" s="38">
        <f t="shared" si="250"/>
        <v>20693.019093840154</v>
      </c>
      <c r="G1551" s="34">
        <f t="shared" si="251"/>
        <v>16</v>
      </c>
      <c r="H1551" s="34">
        <f t="shared" si="252"/>
        <v>4</v>
      </c>
      <c r="I1551" s="34" t="str">
        <f t="shared" si="256"/>
        <v/>
      </c>
      <c r="J1551" s="34" t="str">
        <f t="shared" si="256"/>
        <v/>
      </c>
      <c r="K1551" s="34" t="str">
        <f t="shared" si="256"/>
        <v/>
      </c>
      <c r="L1551" s="34" t="str">
        <f t="shared" si="256"/>
        <v/>
      </c>
      <c r="M1551" s="34" t="str">
        <f t="shared" si="256"/>
        <v/>
      </c>
      <c r="N1551" s="34" t="str">
        <f t="shared" si="256"/>
        <v/>
      </c>
      <c r="O1551" s="34" t="str">
        <f t="shared" si="256"/>
        <v/>
      </c>
      <c r="P1551" s="34">
        <f t="shared" si="256"/>
        <v>84</v>
      </c>
      <c r="Q1551" s="34">
        <f t="shared" si="256"/>
        <v>93</v>
      </c>
      <c r="R1551" s="34">
        <f t="shared" si="256"/>
        <v>105</v>
      </c>
      <c r="S1551" s="35">
        <f t="shared" si="253"/>
        <v>84</v>
      </c>
    </row>
    <row r="1552" spans="2:19" hidden="1" outlineLevel="1">
      <c r="B1552" s="14" t="s">
        <v>116</v>
      </c>
      <c r="C1552" s="15" t="s">
        <v>66</v>
      </c>
      <c r="D1552" s="52">
        <v>2044</v>
      </c>
      <c r="E1552" s="34">
        <v>5</v>
      </c>
      <c r="F1552" s="38">
        <f t="shared" si="250"/>
        <v>20693.019093840154</v>
      </c>
      <c r="G1552" s="34">
        <f t="shared" si="251"/>
        <v>16</v>
      </c>
      <c r="H1552" s="34">
        <f t="shared" si="252"/>
        <v>4</v>
      </c>
      <c r="I1552" s="34" t="str">
        <f t="shared" si="256"/>
        <v/>
      </c>
      <c r="J1552" s="34" t="str">
        <f t="shared" si="256"/>
        <v/>
      </c>
      <c r="K1552" s="34" t="str">
        <f t="shared" si="256"/>
        <v/>
      </c>
      <c r="L1552" s="34" t="str">
        <f t="shared" si="256"/>
        <v/>
      </c>
      <c r="M1552" s="34" t="str">
        <f t="shared" si="256"/>
        <v/>
      </c>
      <c r="N1552" s="34" t="str">
        <f t="shared" si="256"/>
        <v/>
      </c>
      <c r="O1552" s="34" t="str">
        <f t="shared" si="256"/>
        <v/>
      </c>
      <c r="P1552" s="34">
        <f t="shared" si="256"/>
        <v>84</v>
      </c>
      <c r="Q1552" s="34">
        <f t="shared" si="256"/>
        <v>92</v>
      </c>
      <c r="R1552" s="34">
        <f t="shared" si="256"/>
        <v>104</v>
      </c>
      <c r="S1552" s="35">
        <f t="shared" si="253"/>
        <v>84</v>
      </c>
    </row>
    <row r="1553" spans="2:19" hidden="1" outlineLevel="1">
      <c r="B1553" s="14" t="s">
        <v>116</v>
      </c>
      <c r="C1553" s="15" t="s">
        <v>66</v>
      </c>
      <c r="D1553" s="52">
        <v>2044</v>
      </c>
      <c r="E1553" s="34">
        <v>6</v>
      </c>
      <c r="F1553" s="38">
        <f t="shared" si="250"/>
        <v>20693.019093840154</v>
      </c>
      <c r="G1553" s="34">
        <f t="shared" si="251"/>
        <v>16</v>
      </c>
      <c r="H1553" s="34">
        <f t="shared" si="252"/>
        <v>4</v>
      </c>
      <c r="I1553" s="34" t="str">
        <f t="shared" si="256"/>
        <v/>
      </c>
      <c r="J1553" s="34" t="str">
        <f t="shared" si="256"/>
        <v/>
      </c>
      <c r="K1553" s="34" t="str">
        <f t="shared" si="256"/>
        <v/>
      </c>
      <c r="L1553" s="34" t="str">
        <f t="shared" si="256"/>
        <v/>
      </c>
      <c r="M1553" s="34" t="str">
        <f t="shared" si="256"/>
        <v/>
      </c>
      <c r="N1553" s="34" t="str">
        <f t="shared" si="256"/>
        <v/>
      </c>
      <c r="O1553" s="34" t="str">
        <f t="shared" si="256"/>
        <v/>
      </c>
      <c r="P1553" s="34">
        <f t="shared" si="256"/>
        <v>84</v>
      </c>
      <c r="Q1553" s="34">
        <f t="shared" si="256"/>
        <v>91</v>
      </c>
      <c r="R1553" s="34">
        <f t="shared" si="256"/>
        <v>103</v>
      </c>
      <c r="S1553" s="35">
        <f t="shared" si="253"/>
        <v>84</v>
      </c>
    </row>
    <row r="1554" spans="2:19" hidden="1" outlineLevel="1">
      <c r="B1554" s="14" t="s">
        <v>116</v>
      </c>
      <c r="C1554" s="15" t="s">
        <v>66</v>
      </c>
      <c r="D1554" s="52">
        <v>2044</v>
      </c>
      <c r="E1554" s="34">
        <v>7</v>
      </c>
      <c r="F1554" s="38">
        <f t="shared" si="250"/>
        <v>20693.019093840154</v>
      </c>
      <c r="G1554" s="34">
        <f t="shared" si="251"/>
        <v>16</v>
      </c>
      <c r="H1554" s="34">
        <f t="shared" si="252"/>
        <v>4</v>
      </c>
      <c r="I1554" s="34" t="str">
        <f t="shared" si="256"/>
        <v/>
      </c>
      <c r="J1554" s="34" t="str">
        <f t="shared" si="256"/>
        <v/>
      </c>
      <c r="K1554" s="34" t="str">
        <f t="shared" si="256"/>
        <v/>
      </c>
      <c r="L1554" s="34" t="str">
        <f t="shared" si="256"/>
        <v/>
      </c>
      <c r="M1554" s="34" t="str">
        <f t="shared" si="256"/>
        <v/>
      </c>
      <c r="N1554" s="34" t="str">
        <f t="shared" si="256"/>
        <v/>
      </c>
      <c r="O1554" s="34" t="str">
        <f t="shared" si="256"/>
        <v/>
      </c>
      <c r="P1554" s="34">
        <f t="shared" si="256"/>
        <v>84</v>
      </c>
      <c r="Q1554" s="34">
        <f t="shared" si="256"/>
        <v>90</v>
      </c>
      <c r="R1554" s="34">
        <f t="shared" si="256"/>
        <v>102</v>
      </c>
      <c r="S1554" s="35">
        <f t="shared" si="253"/>
        <v>84</v>
      </c>
    </row>
    <row r="1555" spans="2:19" hidden="1" outlineLevel="1">
      <c r="B1555" s="14" t="s">
        <v>116</v>
      </c>
      <c r="C1555" s="15" t="s">
        <v>66</v>
      </c>
      <c r="D1555" s="52">
        <v>2044</v>
      </c>
      <c r="E1555" s="34">
        <v>8</v>
      </c>
      <c r="F1555" s="38">
        <f t="shared" si="250"/>
        <v>20693.019093840154</v>
      </c>
      <c r="G1555" s="34">
        <f t="shared" si="251"/>
        <v>16</v>
      </c>
      <c r="H1555" s="34">
        <f t="shared" si="252"/>
        <v>4</v>
      </c>
      <c r="I1555" s="34" t="str">
        <f t="shared" si="256"/>
        <v/>
      </c>
      <c r="J1555" s="34" t="str">
        <f t="shared" si="256"/>
        <v/>
      </c>
      <c r="K1555" s="34" t="str">
        <f t="shared" si="256"/>
        <v/>
      </c>
      <c r="L1555" s="34" t="str">
        <f t="shared" si="256"/>
        <v/>
      </c>
      <c r="M1555" s="34" t="str">
        <f t="shared" si="256"/>
        <v/>
      </c>
      <c r="N1555" s="34" t="str">
        <f t="shared" si="256"/>
        <v/>
      </c>
      <c r="O1555" s="34" t="str">
        <f t="shared" si="256"/>
        <v/>
      </c>
      <c r="P1555" s="34">
        <f t="shared" si="256"/>
        <v>84</v>
      </c>
      <c r="Q1555" s="34">
        <f t="shared" si="256"/>
        <v>89</v>
      </c>
      <c r="R1555" s="34">
        <f t="shared" si="256"/>
        <v>101</v>
      </c>
      <c r="S1555" s="35">
        <f t="shared" si="253"/>
        <v>84</v>
      </c>
    </row>
    <row r="1556" spans="2:19" hidden="1" outlineLevel="1">
      <c r="B1556" s="14" t="s">
        <v>116</v>
      </c>
      <c r="C1556" s="15" t="s">
        <v>66</v>
      </c>
      <c r="D1556" s="52">
        <v>2044</v>
      </c>
      <c r="E1556" s="34">
        <v>9</v>
      </c>
      <c r="F1556" s="38">
        <f t="shared" si="250"/>
        <v>20693.019093840154</v>
      </c>
      <c r="G1556" s="34">
        <f t="shared" si="251"/>
        <v>16</v>
      </c>
      <c r="H1556" s="34">
        <f t="shared" si="252"/>
        <v>4</v>
      </c>
      <c r="I1556" s="34" t="str">
        <f t="shared" si="256"/>
        <v/>
      </c>
      <c r="J1556" s="34" t="str">
        <f t="shared" si="256"/>
        <v/>
      </c>
      <c r="K1556" s="34" t="str">
        <f t="shared" si="256"/>
        <v/>
      </c>
      <c r="L1556" s="34" t="str">
        <f t="shared" si="256"/>
        <v/>
      </c>
      <c r="M1556" s="34" t="str">
        <f t="shared" si="256"/>
        <v/>
      </c>
      <c r="N1556" s="34" t="str">
        <f t="shared" si="256"/>
        <v/>
      </c>
      <c r="O1556" s="34" t="str">
        <f t="shared" si="256"/>
        <v/>
      </c>
      <c r="P1556" s="34">
        <f t="shared" si="256"/>
        <v>84</v>
      </c>
      <c r="Q1556" s="34">
        <f t="shared" si="256"/>
        <v>88</v>
      </c>
      <c r="R1556" s="34">
        <f t="shared" si="256"/>
        <v>100</v>
      </c>
      <c r="S1556" s="35">
        <f t="shared" si="253"/>
        <v>84</v>
      </c>
    </row>
    <row r="1557" spans="2:19" hidden="1" outlineLevel="1">
      <c r="B1557" s="14" t="s">
        <v>116</v>
      </c>
      <c r="C1557" s="15" t="s">
        <v>66</v>
      </c>
      <c r="D1557" s="52">
        <v>2044</v>
      </c>
      <c r="E1557" s="34">
        <v>10</v>
      </c>
      <c r="F1557" s="38">
        <f t="shared" si="250"/>
        <v>20693.019093840154</v>
      </c>
      <c r="G1557" s="34">
        <f t="shared" si="251"/>
        <v>16</v>
      </c>
      <c r="H1557" s="34">
        <f t="shared" si="252"/>
        <v>4</v>
      </c>
      <c r="I1557" s="34" t="str">
        <f t="shared" si="256"/>
        <v/>
      </c>
      <c r="J1557" s="34" t="str">
        <f t="shared" si="256"/>
        <v/>
      </c>
      <c r="K1557" s="34" t="str">
        <f t="shared" si="256"/>
        <v/>
      </c>
      <c r="L1557" s="34" t="str">
        <f t="shared" si="256"/>
        <v/>
      </c>
      <c r="M1557" s="34" t="str">
        <f t="shared" si="256"/>
        <v/>
      </c>
      <c r="N1557" s="34" t="str">
        <f t="shared" si="256"/>
        <v/>
      </c>
      <c r="O1557" s="34" t="str">
        <f t="shared" si="256"/>
        <v/>
      </c>
      <c r="P1557" s="34">
        <f t="shared" si="256"/>
        <v>84</v>
      </c>
      <c r="Q1557" s="34">
        <f t="shared" si="256"/>
        <v>87</v>
      </c>
      <c r="R1557" s="34">
        <f t="shared" si="256"/>
        <v>99</v>
      </c>
      <c r="S1557" s="35">
        <f t="shared" si="253"/>
        <v>84</v>
      </c>
    </row>
    <row r="1558" spans="2:19" hidden="1" outlineLevel="1">
      <c r="B1558" s="14" t="s">
        <v>116</v>
      </c>
      <c r="C1558" s="15" t="s">
        <v>66</v>
      </c>
      <c r="D1558" s="52">
        <v>2044</v>
      </c>
      <c r="E1558" s="34">
        <v>11</v>
      </c>
      <c r="F1558" s="38">
        <f t="shared" si="250"/>
        <v>20693.019093840154</v>
      </c>
      <c r="G1558" s="34">
        <f t="shared" si="251"/>
        <v>16</v>
      </c>
      <c r="H1558" s="34">
        <f t="shared" si="252"/>
        <v>4</v>
      </c>
      <c r="I1558" s="34" t="str">
        <f t="shared" si="256"/>
        <v/>
      </c>
      <c r="J1558" s="34" t="str">
        <f t="shared" si="256"/>
        <v/>
      </c>
      <c r="K1558" s="34" t="str">
        <f t="shared" si="256"/>
        <v/>
      </c>
      <c r="L1558" s="34" t="str">
        <f t="shared" si="256"/>
        <v/>
      </c>
      <c r="M1558" s="34" t="str">
        <f t="shared" si="256"/>
        <v/>
      </c>
      <c r="N1558" s="34" t="str">
        <f t="shared" si="256"/>
        <v/>
      </c>
      <c r="O1558" s="34" t="str">
        <f t="shared" si="256"/>
        <v/>
      </c>
      <c r="P1558" s="34">
        <f t="shared" si="256"/>
        <v>84</v>
      </c>
      <c r="Q1558" s="34">
        <f t="shared" si="256"/>
        <v>86</v>
      </c>
      <c r="R1558" s="34">
        <f t="shared" si="256"/>
        <v>98</v>
      </c>
      <c r="S1558" s="35">
        <f t="shared" si="253"/>
        <v>84</v>
      </c>
    </row>
    <row r="1559" spans="2:19" hidden="1" outlineLevel="1">
      <c r="B1559" s="14" t="s">
        <v>116</v>
      </c>
      <c r="C1559" s="15" t="s">
        <v>66</v>
      </c>
      <c r="D1559" s="52">
        <v>2044</v>
      </c>
      <c r="E1559" s="34">
        <v>12</v>
      </c>
      <c r="F1559" s="38">
        <f t="shared" si="250"/>
        <v>20693.019093840154</v>
      </c>
      <c r="G1559" s="34">
        <f t="shared" si="251"/>
        <v>16</v>
      </c>
      <c r="H1559" s="34">
        <f t="shared" si="252"/>
        <v>4</v>
      </c>
      <c r="I1559" s="34" t="str">
        <f t="shared" si="256"/>
        <v/>
      </c>
      <c r="J1559" s="34" t="str">
        <f t="shared" si="256"/>
        <v/>
      </c>
      <c r="K1559" s="34" t="str">
        <f t="shared" si="256"/>
        <v/>
      </c>
      <c r="L1559" s="34" t="str">
        <f t="shared" si="256"/>
        <v/>
      </c>
      <c r="M1559" s="34" t="str">
        <f t="shared" si="256"/>
        <v/>
      </c>
      <c r="N1559" s="34" t="str">
        <f t="shared" si="256"/>
        <v/>
      </c>
      <c r="O1559" s="34" t="str">
        <f t="shared" si="256"/>
        <v/>
      </c>
      <c r="P1559" s="34">
        <f t="shared" si="256"/>
        <v>84</v>
      </c>
      <c r="Q1559" s="34">
        <f t="shared" si="256"/>
        <v>85</v>
      </c>
      <c r="R1559" s="34">
        <f t="shared" si="256"/>
        <v>97</v>
      </c>
      <c r="S1559" s="35">
        <f t="shared" si="253"/>
        <v>84</v>
      </c>
    </row>
    <row r="1560" spans="2:19" hidden="1" outlineLevel="1">
      <c r="B1560" s="14" t="s">
        <v>116</v>
      </c>
      <c r="C1560" s="15" t="s">
        <v>66</v>
      </c>
      <c r="D1560" s="52">
        <v>2045</v>
      </c>
      <c r="E1560" s="34">
        <v>1</v>
      </c>
      <c r="F1560" s="38">
        <f t="shared" si="250"/>
        <v>20513.325732370711</v>
      </c>
      <c r="G1560" s="34">
        <f t="shared" si="251"/>
        <v>16</v>
      </c>
      <c r="H1560" s="34">
        <f t="shared" si="252"/>
        <v>4</v>
      </c>
      <c r="I1560" s="34" t="str">
        <f t="shared" ref="I1560:R1569" si="257">IF($D1560&lt;$Z$18,"",IF(MAX($G1560,INDEX($C$65:$F$108,$D1560+I$119-2026,$H1560))&lt;=12*I$119-$E1560+12,MAX($G1560,12*I$119-$E1560+1,INDEX($C$65:$F$108,$D1560+I$119-2026,$H1560)),""))</f>
        <v/>
      </c>
      <c r="J1560" s="34" t="str">
        <f t="shared" si="257"/>
        <v/>
      </c>
      <c r="K1560" s="34" t="str">
        <f t="shared" si="257"/>
        <v/>
      </c>
      <c r="L1560" s="34" t="str">
        <f t="shared" si="257"/>
        <v/>
      </c>
      <c r="M1560" s="34" t="str">
        <f t="shared" si="257"/>
        <v/>
      </c>
      <c r="N1560" s="34" t="str">
        <f t="shared" si="257"/>
        <v/>
      </c>
      <c r="O1560" s="34" t="str">
        <f t="shared" si="257"/>
        <v/>
      </c>
      <c r="P1560" s="34">
        <f t="shared" si="257"/>
        <v>84</v>
      </c>
      <c r="Q1560" s="34">
        <f t="shared" si="257"/>
        <v>96</v>
      </c>
      <c r="R1560" s="34">
        <f t="shared" si="257"/>
        <v>108</v>
      </c>
      <c r="S1560" s="35">
        <f t="shared" si="253"/>
        <v>84</v>
      </c>
    </row>
    <row r="1561" spans="2:19" hidden="1" outlineLevel="1">
      <c r="B1561" s="14" t="s">
        <v>116</v>
      </c>
      <c r="C1561" s="15" t="s">
        <v>66</v>
      </c>
      <c r="D1561" s="52">
        <v>2045</v>
      </c>
      <c r="E1561" s="34">
        <v>2</v>
      </c>
      <c r="F1561" s="38">
        <f t="shared" si="250"/>
        <v>20513.325732370711</v>
      </c>
      <c r="G1561" s="34">
        <f t="shared" si="251"/>
        <v>16</v>
      </c>
      <c r="H1561" s="34">
        <f t="shared" si="252"/>
        <v>4</v>
      </c>
      <c r="I1561" s="34" t="str">
        <f t="shared" si="257"/>
        <v/>
      </c>
      <c r="J1561" s="34" t="str">
        <f t="shared" si="257"/>
        <v/>
      </c>
      <c r="K1561" s="34" t="str">
        <f t="shared" si="257"/>
        <v/>
      </c>
      <c r="L1561" s="34" t="str">
        <f t="shared" si="257"/>
        <v/>
      </c>
      <c r="M1561" s="34" t="str">
        <f t="shared" si="257"/>
        <v/>
      </c>
      <c r="N1561" s="34" t="str">
        <f t="shared" si="257"/>
        <v/>
      </c>
      <c r="O1561" s="34" t="str">
        <f t="shared" si="257"/>
        <v/>
      </c>
      <c r="P1561" s="34">
        <f t="shared" si="257"/>
        <v>84</v>
      </c>
      <c r="Q1561" s="34">
        <f t="shared" si="257"/>
        <v>95</v>
      </c>
      <c r="R1561" s="34">
        <f t="shared" si="257"/>
        <v>107</v>
      </c>
      <c r="S1561" s="35">
        <f t="shared" si="253"/>
        <v>84</v>
      </c>
    </row>
    <row r="1562" spans="2:19" hidden="1" outlineLevel="1">
      <c r="B1562" s="14" t="s">
        <v>116</v>
      </c>
      <c r="C1562" s="15" t="s">
        <v>66</v>
      </c>
      <c r="D1562" s="52">
        <v>2045</v>
      </c>
      <c r="E1562" s="34">
        <v>3</v>
      </c>
      <c r="F1562" s="38">
        <f t="shared" si="250"/>
        <v>20513.325732370711</v>
      </c>
      <c r="G1562" s="34">
        <f t="shared" si="251"/>
        <v>16</v>
      </c>
      <c r="H1562" s="34">
        <f t="shared" si="252"/>
        <v>4</v>
      </c>
      <c r="I1562" s="34" t="str">
        <f t="shared" si="257"/>
        <v/>
      </c>
      <c r="J1562" s="34" t="str">
        <f t="shared" si="257"/>
        <v/>
      </c>
      <c r="K1562" s="34" t="str">
        <f t="shared" si="257"/>
        <v/>
      </c>
      <c r="L1562" s="34" t="str">
        <f t="shared" si="257"/>
        <v/>
      </c>
      <c r="M1562" s="34" t="str">
        <f t="shared" si="257"/>
        <v/>
      </c>
      <c r="N1562" s="34" t="str">
        <f t="shared" si="257"/>
        <v/>
      </c>
      <c r="O1562" s="34" t="str">
        <f t="shared" si="257"/>
        <v/>
      </c>
      <c r="P1562" s="34">
        <f t="shared" si="257"/>
        <v>84</v>
      </c>
      <c r="Q1562" s="34">
        <f t="shared" si="257"/>
        <v>94</v>
      </c>
      <c r="R1562" s="34">
        <f t="shared" si="257"/>
        <v>106</v>
      </c>
      <c r="S1562" s="35">
        <f t="shared" si="253"/>
        <v>84</v>
      </c>
    </row>
    <row r="1563" spans="2:19" hidden="1" outlineLevel="1">
      <c r="B1563" s="14" t="s">
        <v>116</v>
      </c>
      <c r="C1563" s="15" t="s">
        <v>66</v>
      </c>
      <c r="D1563" s="52">
        <v>2045</v>
      </c>
      <c r="E1563" s="34">
        <v>4</v>
      </c>
      <c r="F1563" s="38">
        <f t="shared" si="250"/>
        <v>20513.325732370711</v>
      </c>
      <c r="G1563" s="34">
        <f t="shared" si="251"/>
        <v>16</v>
      </c>
      <c r="H1563" s="34">
        <f t="shared" si="252"/>
        <v>4</v>
      </c>
      <c r="I1563" s="34" t="str">
        <f t="shared" si="257"/>
        <v/>
      </c>
      <c r="J1563" s="34" t="str">
        <f t="shared" si="257"/>
        <v/>
      </c>
      <c r="K1563" s="34" t="str">
        <f t="shared" si="257"/>
        <v/>
      </c>
      <c r="L1563" s="34" t="str">
        <f t="shared" si="257"/>
        <v/>
      </c>
      <c r="M1563" s="34" t="str">
        <f t="shared" si="257"/>
        <v/>
      </c>
      <c r="N1563" s="34" t="str">
        <f t="shared" si="257"/>
        <v/>
      </c>
      <c r="O1563" s="34" t="str">
        <f t="shared" si="257"/>
        <v/>
      </c>
      <c r="P1563" s="34">
        <f t="shared" si="257"/>
        <v>84</v>
      </c>
      <c r="Q1563" s="34">
        <f t="shared" si="257"/>
        <v>93</v>
      </c>
      <c r="R1563" s="34">
        <f t="shared" si="257"/>
        <v>105</v>
      </c>
      <c r="S1563" s="35">
        <f t="shared" si="253"/>
        <v>84</v>
      </c>
    </row>
    <row r="1564" spans="2:19" hidden="1" outlineLevel="1">
      <c r="B1564" s="14" t="s">
        <v>116</v>
      </c>
      <c r="C1564" s="15" t="s">
        <v>66</v>
      </c>
      <c r="D1564" s="52">
        <v>2045</v>
      </c>
      <c r="E1564" s="34">
        <v>5</v>
      </c>
      <c r="F1564" s="38">
        <f t="shared" si="250"/>
        <v>20513.325732370711</v>
      </c>
      <c r="G1564" s="34">
        <f t="shared" si="251"/>
        <v>16</v>
      </c>
      <c r="H1564" s="34">
        <f t="shared" si="252"/>
        <v>4</v>
      </c>
      <c r="I1564" s="34" t="str">
        <f t="shared" si="257"/>
        <v/>
      </c>
      <c r="J1564" s="34" t="str">
        <f t="shared" si="257"/>
        <v/>
      </c>
      <c r="K1564" s="34" t="str">
        <f t="shared" si="257"/>
        <v/>
      </c>
      <c r="L1564" s="34" t="str">
        <f t="shared" si="257"/>
        <v/>
      </c>
      <c r="M1564" s="34" t="str">
        <f t="shared" si="257"/>
        <v/>
      </c>
      <c r="N1564" s="34" t="str">
        <f t="shared" si="257"/>
        <v/>
      </c>
      <c r="O1564" s="34" t="str">
        <f t="shared" si="257"/>
        <v/>
      </c>
      <c r="P1564" s="34">
        <f t="shared" si="257"/>
        <v>84</v>
      </c>
      <c r="Q1564" s="34">
        <f t="shared" si="257"/>
        <v>92</v>
      </c>
      <c r="R1564" s="34">
        <f t="shared" si="257"/>
        <v>104</v>
      </c>
      <c r="S1564" s="35">
        <f t="shared" si="253"/>
        <v>84</v>
      </c>
    </row>
    <row r="1565" spans="2:19" hidden="1" outlineLevel="1">
      <c r="B1565" s="14" t="s">
        <v>116</v>
      </c>
      <c r="C1565" s="15" t="s">
        <v>66</v>
      </c>
      <c r="D1565" s="52">
        <v>2045</v>
      </c>
      <c r="E1565" s="34">
        <v>6</v>
      </c>
      <c r="F1565" s="38">
        <f t="shared" si="250"/>
        <v>20513.325732370711</v>
      </c>
      <c r="G1565" s="34">
        <f t="shared" si="251"/>
        <v>16</v>
      </c>
      <c r="H1565" s="34">
        <f t="shared" si="252"/>
        <v>4</v>
      </c>
      <c r="I1565" s="34" t="str">
        <f t="shared" si="257"/>
        <v/>
      </c>
      <c r="J1565" s="34" t="str">
        <f t="shared" si="257"/>
        <v/>
      </c>
      <c r="K1565" s="34" t="str">
        <f t="shared" si="257"/>
        <v/>
      </c>
      <c r="L1565" s="34" t="str">
        <f t="shared" si="257"/>
        <v/>
      </c>
      <c r="M1565" s="34" t="str">
        <f t="shared" si="257"/>
        <v/>
      </c>
      <c r="N1565" s="34" t="str">
        <f t="shared" si="257"/>
        <v/>
      </c>
      <c r="O1565" s="34" t="str">
        <f t="shared" si="257"/>
        <v/>
      </c>
      <c r="P1565" s="34">
        <f t="shared" si="257"/>
        <v>84</v>
      </c>
      <c r="Q1565" s="34">
        <f t="shared" si="257"/>
        <v>91</v>
      </c>
      <c r="R1565" s="34">
        <f t="shared" si="257"/>
        <v>103</v>
      </c>
      <c r="S1565" s="35">
        <f t="shared" si="253"/>
        <v>84</v>
      </c>
    </row>
    <row r="1566" spans="2:19" hidden="1" outlineLevel="1">
      <c r="B1566" s="14" t="s">
        <v>116</v>
      </c>
      <c r="C1566" s="15" t="s">
        <v>66</v>
      </c>
      <c r="D1566" s="52">
        <v>2045</v>
      </c>
      <c r="E1566" s="34">
        <v>7</v>
      </c>
      <c r="F1566" s="38">
        <f t="shared" si="250"/>
        <v>20513.325732370711</v>
      </c>
      <c r="G1566" s="34">
        <f t="shared" si="251"/>
        <v>16</v>
      </c>
      <c r="H1566" s="34">
        <f t="shared" si="252"/>
        <v>4</v>
      </c>
      <c r="I1566" s="34" t="str">
        <f t="shared" si="257"/>
        <v/>
      </c>
      <c r="J1566" s="34" t="str">
        <f t="shared" si="257"/>
        <v/>
      </c>
      <c r="K1566" s="34" t="str">
        <f t="shared" si="257"/>
        <v/>
      </c>
      <c r="L1566" s="34" t="str">
        <f t="shared" si="257"/>
        <v/>
      </c>
      <c r="M1566" s="34" t="str">
        <f t="shared" si="257"/>
        <v/>
      </c>
      <c r="N1566" s="34" t="str">
        <f t="shared" si="257"/>
        <v/>
      </c>
      <c r="O1566" s="34" t="str">
        <f t="shared" si="257"/>
        <v/>
      </c>
      <c r="P1566" s="34">
        <f t="shared" si="257"/>
        <v>84</v>
      </c>
      <c r="Q1566" s="34">
        <f t="shared" si="257"/>
        <v>90</v>
      </c>
      <c r="R1566" s="34">
        <f t="shared" si="257"/>
        <v>102</v>
      </c>
      <c r="S1566" s="35">
        <f t="shared" si="253"/>
        <v>84</v>
      </c>
    </row>
    <row r="1567" spans="2:19" hidden="1" outlineLevel="1">
      <c r="B1567" s="14" t="s">
        <v>116</v>
      </c>
      <c r="C1567" s="15" t="s">
        <v>66</v>
      </c>
      <c r="D1567" s="52">
        <v>2045</v>
      </c>
      <c r="E1567" s="34">
        <v>8</v>
      </c>
      <c r="F1567" s="38">
        <f t="shared" si="250"/>
        <v>20513.325732370711</v>
      </c>
      <c r="G1567" s="34">
        <f t="shared" si="251"/>
        <v>16</v>
      </c>
      <c r="H1567" s="34">
        <f t="shared" si="252"/>
        <v>4</v>
      </c>
      <c r="I1567" s="34" t="str">
        <f t="shared" si="257"/>
        <v/>
      </c>
      <c r="J1567" s="34" t="str">
        <f t="shared" si="257"/>
        <v/>
      </c>
      <c r="K1567" s="34" t="str">
        <f t="shared" si="257"/>
        <v/>
      </c>
      <c r="L1567" s="34" t="str">
        <f t="shared" si="257"/>
        <v/>
      </c>
      <c r="M1567" s="34" t="str">
        <f t="shared" si="257"/>
        <v/>
      </c>
      <c r="N1567" s="34" t="str">
        <f t="shared" si="257"/>
        <v/>
      </c>
      <c r="O1567" s="34" t="str">
        <f t="shared" si="257"/>
        <v/>
      </c>
      <c r="P1567" s="34">
        <f t="shared" si="257"/>
        <v>84</v>
      </c>
      <c r="Q1567" s="34">
        <f t="shared" si="257"/>
        <v>89</v>
      </c>
      <c r="R1567" s="34">
        <f t="shared" si="257"/>
        <v>101</v>
      </c>
      <c r="S1567" s="35">
        <f t="shared" si="253"/>
        <v>84</v>
      </c>
    </row>
    <row r="1568" spans="2:19" hidden="1" outlineLevel="1">
      <c r="B1568" s="14" t="s">
        <v>116</v>
      </c>
      <c r="C1568" s="15" t="s">
        <v>66</v>
      </c>
      <c r="D1568" s="52">
        <v>2045</v>
      </c>
      <c r="E1568" s="34">
        <v>9</v>
      </c>
      <c r="F1568" s="38">
        <f t="shared" si="250"/>
        <v>20513.325732370711</v>
      </c>
      <c r="G1568" s="34">
        <f t="shared" si="251"/>
        <v>16</v>
      </c>
      <c r="H1568" s="34">
        <f t="shared" si="252"/>
        <v>4</v>
      </c>
      <c r="I1568" s="34" t="str">
        <f t="shared" si="257"/>
        <v/>
      </c>
      <c r="J1568" s="34" t="str">
        <f t="shared" si="257"/>
        <v/>
      </c>
      <c r="K1568" s="34" t="str">
        <f t="shared" si="257"/>
        <v/>
      </c>
      <c r="L1568" s="34" t="str">
        <f t="shared" si="257"/>
        <v/>
      </c>
      <c r="M1568" s="34" t="str">
        <f t="shared" si="257"/>
        <v/>
      </c>
      <c r="N1568" s="34" t="str">
        <f t="shared" si="257"/>
        <v/>
      </c>
      <c r="O1568" s="34" t="str">
        <f t="shared" si="257"/>
        <v/>
      </c>
      <c r="P1568" s="34">
        <f t="shared" si="257"/>
        <v>84</v>
      </c>
      <c r="Q1568" s="34">
        <f t="shared" si="257"/>
        <v>88</v>
      </c>
      <c r="R1568" s="34">
        <f t="shared" si="257"/>
        <v>100</v>
      </c>
      <c r="S1568" s="35">
        <f t="shared" si="253"/>
        <v>84</v>
      </c>
    </row>
    <row r="1569" spans="2:19" hidden="1" outlineLevel="1">
      <c r="B1569" s="14" t="s">
        <v>116</v>
      </c>
      <c r="C1569" s="15" t="s">
        <v>66</v>
      </c>
      <c r="D1569" s="52">
        <v>2045</v>
      </c>
      <c r="E1569" s="34">
        <v>10</v>
      </c>
      <c r="F1569" s="38">
        <f t="shared" si="250"/>
        <v>20513.325732370711</v>
      </c>
      <c r="G1569" s="34">
        <f t="shared" si="251"/>
        <v>16</v>
      </c>
      <c r="H1569" s="34">
        <f t="shared" si="252"/>
        <v>4</v>
      </c>
      <c r="I1569" s="34" t="str">
        <f t="shared" si="257"/>
        <v/>
      </c>
      <c r="J1569" s="34" t="str">
        <f t="shared" si="257"/>
        <v/>
      </c>
      <c r="K1569" s="34" t="str">
        <f t="shared" si="257"/>
        <v/>
      </c>
      <c r="L1569" s="34" t="str">
        <f t="shared" si="257"/>
        <v/>
      </c>
      <c r="M1569" s="34" t="str">
        <f t="shared" si="257"/>
        <v/>
      </c>
      <c r="N1569" s="34" t="str">
        <f t="shared" si="257"/>
        <v/>
      </c>
      <c r="O1569" s="34" t="str">
        <f t="shared" si="257"/>
        <v/>
      </c>
      <c r="P1569" s="34">
        <f t="shared" si="257"/>
        <v>84</v>
      </c>
      <c r="Q1569" s="34">
        <f t="shared" si="257"/>
        <v>87</v>
      </c>
      <c r="R1569" s="34">
        <f t="shared" si="257"/>
        <v>99</v>
      </c>
      <c r="S1569" s="35">
        <f t="shared" si="253"/>
        <v>84</v>
      </c>
    </row>
    <row r="1570" spans="2:19" hidden="1" outlineLevel="1">
      <c r="B1570" s="14" t="s">
        <v>116</v>
      </c>
      <c r="C1570" s="15" t="s">
        <v>66</v>
      </c>
      <c r="D1570" s="52">
        <v>2045</v>
      </c>
      <c r="E1570" s="34">
        <v>11</v>
      </c>
      <c r="F1570" s="38">
        <f t="shared" si="250"/>
        <v>20513.325732370711</v>
      </c>
      <c r="G1570" s="34">
        <f t="shared" si="251"/>
        <v>16</v>
      </c>
      <c r="H1570" s="34">
        <f t="shared" si="252"/>
        <v>4</v>
      </c>
      <c r="I1570" s="34" t="str">
        <f t="shared" ref="I1570:R1579" si="258">IF($D1570&lt;$Z$18,"",IF(MAX($G1570,INDEX($C$65:$F$108,$D1570+I$119-2026,$H1570))&lt;=12*I$119-$E1570+12,MAX($G1570,12*I$119-$E1570+1,INDEX($C$65:$F$108,$D1570+I$119-2026,$H1570)),""))</f>
        <v/>
      </c>
      <c r="J1570" s="34" t="str">
        <f t="shared" si="258"/>
        <v/>
      </c>
      <c r="K1570" s="34" t="str">
        <f t="shared" si="258"/>
        <v/>
      </c>
      <c r="L1570" s="34" t="str">
        <f t="shared" si="258"/>
        <v/>
      </c>
      <c r="M1570" s="34" t="str">
        <f t="shared" si="258"/>
        <v/>
      </c>
      <c r="N1570" s="34" t="str">
        <f t="shared" si="258"/>
        <v/>
      </c>
      <c r="O1570" s="34" t="str">
        <f t="shared" si="258"/>
        <v/>
      </c>
      <c r="P1570" s="34">
        <f t="shared" si="258"/>
        <v>84</v>
      </c>
      <c r="Q1570" s="34">
        <f t="shared" si="258"/>
        <v>86</v>
      </c>
      <c r="R1570" s="34">
        <f t="shared" si="258"/>
        <v>98</v>
      </c>
      <c r="S1570" s="35">
        <f t="shared" si="253"/>
        <v>84</v>
      </c>
    </row>
    <row r="1571" spans="2:19" hidden="1" outlineLevel="1">
      <c r="B1571" s="14" t="s">
        <v>116</v>
      </c>
      <c r="C1571" s="15" t="s">
        <v>66</v>
      </c>
      <c r="D1571" s="52">
        <v>2045</v>
      </c>
      <c r="E1571" s="34">
        <v>12</v>
      </c>
      <c r="F1571" s="38">
        <f t="shared" si="250"/>
        <v>20513.325732370711</v>
      </c>
      <c r="G1571" s="34">
        <f t="shared" si="251"/>
        <v>16</v>
      </c>
      <c r="H1571" s="34">
        <f t="shared" si="252"/>
        <v>4</v>
      </c>
      <c r="I1571" s="34" t="str">
        <f t="shared" si="258"/>
        <v/>
      </c>
      <c r="J1571" s="34" t="str">
        <f t="shared" si="258"/>
        <v/>
      </c>
      <c r="K1571" s="34" t="str">
        <f t="shared" si="258"/>
        <v/>
      </c>
      <c r="L1571" s="34" t="str">
        <f t="shared" si="258"/>
        <v/>
      </c>
      <c r="M1571" s="34" t="str">
        <f t="shared" si="258"/>
        <v/>
      </c>
      <c r="N1571" s="34" t="str">
        <f t="shared" si="258"/>
        <v/>
      </c>
      <c r="O1571" s="34" t="str">
        <f t="shared" si="258"/>
        <v/>
      </c>
      <c r="P1571" s="34">
        <f t="shared" si="258"/>
        <v>84</v>
      </c>
      <c r="Q1571" s="34">
        <f t="shared" si="258"/>
        <v>85</v>
      </c>
      <c r="R1571" s="34">
        <f t="shared" si="258"/>
        <v>97</v>
      </c>
      <c r="S1571" s="35">
        <f t="shared" si="253"/>
        <v>84</v>
      </c>
    </row>
    <row r="1572" spans="2:19" hidden="1" outlineLevel="1">
      <c r="B1572" s="14" t="s">
        <v>116</v>
      </c>
      <c r="C1572" s="15" t="s">
        <v>66</v>
      </c>
      <c r="D1572" s="52">
        <v>2046</v>
      </c>
      <c r="E1572" s="34">
        <v>1</v>
      </c>
      <c r="F1572" s="38">
        <f t="shared" si="250"/>
        <v>20477.789602482324</v>
      </c>
      <c r="G1572" s="34">
        <f t="shared" si="251"/>
        <v>16</v>
      </c>
      <c r="H1572" s="34">
        <f t="shared" si="252"/>
        <v>4</v>
      </c>
      <c r="I1572" s="34" t="str">
        <f t="shared" si="258"/>
        <v/>
      </c>
      <c r="J1572" s="34" t="str">
        <f t="shared" si="258"/>
        <v/>
      </c>
      <c r="K1572" s="34" t="str">
        <f t="shared" si="258"/>
        <v/>
      </c>
      <c r="L1572" s="34" t="str">
        <f t="shared" si="258"/>
        <v/>
      </c>
      <c r="M1572" s="34" t="str">
        <f t="shared" si="258"/>
        <v/>
      </c>
      <c r="N1572" s="34" t="str">
        <f t="shared" si="258"/>
        <v/>
      </c>
      <c r="O1572" s="34" t="str">
        <f t="shared" si="258"/>
        <v/>
      </c>
      <c r="P1572" s="34">
        <f t="shared" si="258"/>
        <v>84</v>
      </c>
      <c r="Q1572" s="34">
        <f t="shared" si="258"/>
        <v>96</v>
      </c>
      <c r="R1572" s="34">
        <f t="shared" si="258"/>
        <v>108</v>
      </c>
      <c r="S1572" s="35">
        <f t="shared" si="253"/>
        <v>84</v>
      </c>
    </row>
    <row r="1573" spans="2:19" hidden="1" outlineLevel="1">
      <c r="B1573" s="14" t="s">
        <v>116</v>
      </c>
      <c r="C1573" s="15" t="s">
        <v>66</v>
      </c>
      <c r="D1573" s="52">
        <v>2046</v>
      </c>
      <c r="E1573" s="34">
        <v>2</v>
      </c>
      <c r="F1573" s="38">
        <f t="shared" si="250"/>
        <v>20477.789602482324</v>
      </c>
      <c r="G1573" s="34">
        <f t="shared" si="251"/>
        <v>16</v>
      </c>
      <c r="H1573" s="34">
        <f t="shared" si="252"/>
        <v>4</v>
      </c>
      <c r="I1573" s="34" t="str">
        <f t="shared" si="258"/>
        <v/>
      </c>
      <c r="J1573" s="34" t="str">
        <f t="shared" si="258"/>
        <v/>
      </c>
      <c r="K1573" s="34" t="str">
        <f t="shared" si="258"/>
        <v/>
      </c>
      <c r="L1573" s="34" t="str">
        <f t="shared" si="258"/>
        <v/>
      </c>
      <c r="M1573" s="34" t="str">
        <f t="shared" si="258"/>
        <v/>
      </c>
      <c r="N1573" s="34" t="str">
        <f t="shared" si="258"/>
        <v/>
      </c>
      <c r="O1573" s="34" t="str">
        <f t="shared" si="258"/>
        <v/>
      </c>
      <c r="P1573" s="34">
        <f t="shared" si="258"/>
        <v>84</v>
      </c>
      <c r="Q1573" s="34">
        <f t="shared" si="258"/>
        <v>95</v>
      </c>
      <c r="R1573" s="34">
        <f t="shared" si="258"/>
        <v>107</v>
      </c>
      <c r="S1573" s="35">
        <f t="shared" si="253"/>
        <v>84</v>
      </c>
    </row>
    <row r="1574" spans="2:19" hidden="1" outlineLevel="1">
      <c r="B1574" s="14" t="s">
        <v>116</v>
      </c>
      <c r="C1574" s="15" t="s">
        <v>66</v>
      </c>
      <c r="D1574" s="52">
        <v>2046</v>
      </c>
      <c r="E1574" s="34">
        <v>3</v>
      </c>
      <c r="F1574" s="38">
        <f t="shared" si="250"/>
        <v>20477.789602482324</v>
      </c>
      <c r="G1574" s="34">
        <f t="shared" si="251"/>
        <v>16</v>
      </c>
      <c r="H1574" s="34">
        <f t="shared" si="252"/>
        <v>4</v>
      </c>
      <c r="I1574" s="34" t="str">
        <f t="shared" si="258"/>
        <v/>
      </c>
      <c r="J1574" s="34" t="str">
        <f t="shared" si="258"/>
        <v/>
      </c>
      <c r="K1574" s="34" t="str">
        <f t="shared" si="258"/>
        <v/>
      </c>
      <c r="L1574" s="34" t="str">
        <f t="shared" si="258"/>
        <v/>
      </c>
      <c r="M1574" s="34" t="str">
        <f t="shared" si="258"/>
        <v/>
      </c>
      <c r="N1574" s="34" t="str">
        <f t="shared" si="258"/>
        <v/>
      </c>
      <c r="O1574" s="34" t="str">
        <f t="shared" si="258"/>
        <v/>
      </c>
      <c r="P1574" s="34">
        <f t="shared" si="258"/>
        <v>84</v>
      </c>
      <c r="Q1574" s="34">
        <f t="shared" si="258"/>
        <v>94</v>
      </c>
      <c r="R1574" s="34">
        <f t="shared" si="258"/>
        <v>106</v>
      </c>
      <c r="S1574" s="35">
        <f t="shared" si="253"/>
        <v>84</v>
      </c>
    </row>
    <row r="1575" spans="2:19" hidden="1" outlineLevel="1">
      <c r="B1575" s="14" t="s">
        <v>116</v>
      </c>
      <c r="C1575" s="15" t="s">
        <v>66</v>
      </c>
      <c r="D1575" s="52">
        <v>2046</v>
      </c>
      <c r="E1575" s="34">
        <v>4</v>
      </c>
      <c r="F1575" s="38">
        <f t="shared" si="250"/>
        <v>20477.789602482324</v>
      </c>
      <c r="G1575" s="34">
        <f t="shared" si="251"/>
        <v>16</v>
      </c>
      <c r="H1575" s="34">
        <f t="shared" si="252"/>
        <v>4</v>
      </c>
      <c r="I1575" s="34" t="str">
        <f t="shared" si="258"/>
        <v/>
      </c>
      <c r="J1575" s="34" t="str">
        <f t="shared" si="258"/>
        <v/>
      </c>
      <c r="K1575" s="34" t="str">
        <f t="shared" si="258"/>
        <v/>
      </c>
      <c r="L1575" s="34" t="str">
        <f t="shared" si="258"/>
        <v/>
      </c>
      <c r="M1575" s="34" t="str">
        <f t="shared" si="258"/>
        <v/>
      </c>
      <c r="N1575" s="34" t="str">
        <f t="shared" si="258"/>
        <v/>
      </c>
      <c r="O1575" s="34" t="str">
        <f t="shared" si="258"/>
        <v/>
      </c>
      <c r="P1575" s="34">
        <f t="shared" si="258"/>
        <v>84</v>
      </c>
      <c r="Q1575" s="34">
        <f t="shared" si="258"/>
        <v>93</v>
      </c>
      <c r="R1575" s="34">
        <f t="shared" si="258"/>
        <v>105</v>
      </c>
      <c r="S1575" s="35">
        <f t="shared" si="253"/>
        <v>84</v>
      </c>
    </row>
    <row r="1576" spans="2:19" hidden="1" outlineLevel="1">
      <c r="B1576" s="14" t="s">
        <v>116</v>
      </c>
      <c r="C1576" s="15" t="s">
        <v>66</v>
      </c>
      <c r="D1576" s="52">
        <v>2046</v>
      </c>
      <c r="E1576" s="34">
        <v>5</v>
      </c>
      <c r="F1576" s="38">
        <f t="shared" si="250"/>
        <v>20477.789602482324</v>
      </c>
      <c r="G1576" s="34">
        <f t="shared" si="251"/>
        <v>16</v>
      </c>
      <c r="H1576" s="34">
        <f t="shared" si="252"/>
        <v>4</v>
      </c>
      <c r="I1576" s="34" t="str">
        <f t="shared" si="258"/>
        <v/>
      </c>
      <c r="J1576" s="34" t="str">
        <f t="shared" si="258"/>
        <v/>
      </c>
      <c r="K1576" s="34" t="str">
        <f t="shared" si="258"/>
        <v/>
      </c>
      <c r="L1576" s="34" t="str">
        <f t="shared" si="258"/>
        <v/>
      </c>
      <c r="M1576" s="34" t="str">
        <f t="shared" si="258"/>
        <v/>
      </c>
      <c r="N1576" s="34" t="str">
        <f t="shared" si="258"/>
        <v/>
      </c>
      <c r="O1576" s="34" t="str">
        <f t="shared" si="258"/>
        <v/>
      </c>
      <c r="P1576" s="34">
        <f t="shared" si="258"/>
        <v>84</v>
      </c>
      <c r="Q1576" s="34">
        <f t="shared" si="258"/>
        <v>92</v>
      </c>
      <c r="R1576" s="34">
        <f t="shared" si="258"/>
        <v>104</v>
      </c>
      <c r="S1576" s="35">
        <f t="shared" si="253"/>
        <v>84</v>
      </c>
    </row>
    <row r="1577" spans="2:19" hidden="1" outlineLevel="1">
      <c r="B1577" s="14" t="s">
        <v>116</v>
      </c>
      <c r="C1577" s="15" t="s">
        <v>66</v>
      </c>
      <c r="D1577" s="52">
        <v>2046</v>
      </c>
      <c r="E1577" s="34">
        <v>6</v>
      </c>
      <c r="F1577" s="38">
        <f t="shared" si="250"/>
        <v>20477.789602482324</v>
      </c>
      <c r="G1577" s="34">
        <f t="shared" si="251"/>
        <v>16</v>
      </c>
      <c r="H1577" s="34">
        <f t="shared" si="252"/>
        <v>4</v>
      </c>
      <c r="I1577" s="34" t="str">
        <f t="shared" si="258"/>
        <v/>
      </c>
      <c r="J1577" s="34" t="str">
        <f t="shared" si="258"/>
        <v/>
      </c>
      <c r="K1577" s="34" t="str">
        <f t="shared" si="258"/>
        <v/>
      </c>
      <c r="L1577" s="34" t="str">
        <f t="shared" si="258"/>
        <v/>
      </c>
      <c r="M1577" s="34" t="str">
        <f t="shared" si="258"/>
        <v/>
      </c>
      <c r="N1577" s="34" t="str">
        <f t="shared" si="258"/>
        <v/>
      </c>
      <c r="O1577" s="34" t="str">
        <f t="shared" si="258"/>
        <v/>
      </c>
      <c r="P1577" s="34">
        <f t="shared" si="258"/>
        <v>84</v>
      </c>
      <c r="Q1577" s="34">
        <f t="shared" si="258"/>
        <v>91</v>
      </c>
      <c r="R1577" s="34">
        <f t="shared" si="258"/>
        <v>103</v>
      </c>
      <c r="S1577" s="35">
        <f t="shared" si="253"/>
        <v>84</v>
      </c>
    </row>
    <row r="1578" spans="2:19" hidden="1" outlineLevel="1">
      <c r="B1578" s="14" t="s">
        <v>116</v>
      </c>
      <c r="C1578" s="15" t="s">
        <v>66</v>
      </c>
      <c r="D1578" s="52">
        <v>2046</v>
      </c>
      <c r="E1578" s="34">
        <v>7</v>
      </c>
      <c r="F1578" s="38">
        <f t="shared" si="250"/>
        <v>20477.789602482324</v>
      </c>
      <c r="G1578" s="34">
        <f t="shared" si="251"/>
        <v>16</v>
      </c>
      <c r="H1578" s="34">
        <f t="shared" si="252"/>
        <v>4</v>
      </c>
      <c r="I1578" s="34" t="str">
        <f t="shared" si="258"/>
        <v/>
      </c>
      <c r="J1578" s="34" t="str">
        <f t="shared" si="258"/>
        <v/>
      </c>
      <c r="K1578" s="34" t="str">
        <f t="shared" si="258"/>
        <v/>
      </c>
      <c r="L1578" s="34" t="str">
        <f t="shared" si="258"/>
        <v/>
      </c>
      <c r="M1578" s="34" t="str">
        <f t="shared" si="258"/>
        <v/>
      </c>
      <c r="N1578" s="34" t="str">
        <f t="shared" si="258"/>
        <v/>
      </c>
      <c r="O1578" s="34" t="str">
        <f t="shared" si="258"/>
        <v/>
      </c>
      <c r="P1578" s="34">
        <f t="shared" si="258"/>
        <v>84</v>
      </c>
      <c r="Q1578" s="34">
        <f t="shared" si="258"/>
        <v>90</v>
      </c>
      <c r="R1578" s="34">
        <f t="shared" si="258"/>
        <v>102</v>
      </c>
      <c r="S1578" s="35">
        <f t="shared" si="253"/>
        <v>84</v>
      </c>
    </row>
    <row r="1579" spans="2:19" hidden="1" outlineLevel="1">
      <c r="B1579" s="14" t="s">
        <v>116</v>
      </c>
      <c r="C1579" s="15" t="s">
        <v>66</v>
      </c>
      <c r="D1579" s="52">
        <v>2046</v>
      </c>
      <c r="E1579" s="34">
        <v>8</v>
      </c>
      <c r="F1579" s="38">
        <f t="shared" si="250"/>
        <v>20477.789602482324</v>
      </c>
      <c r="G1579" s="34">
        <f t="shared" si="251"/>
        <v>16</v>
      </c>
      <c r="H1579" s="34">
        <f t="shared" si="252"/>
        <v>4</v>
      </c>
      <c r="I1579" s="34" t="str">
        <f t="shared" si="258"/>
        <v/>
      </c>
      <c r="J1579" s="34" t="str">
        <f t="shared" si="258"/>
        <v/>
      </c>
      <c r="K1579" s="34" t="str">
        <f t="shared" si="258"/>
        <v/>
      </c>
      <c r="L1579" s="34" t="str">
        <f t="shared" si="258"/>
        <v/>
      </c>
      <c r="M1579" s="34" t="str">
        <f t="shared" si="258"/>
        <v/>
      </c>
      <c r="N1579" s="34" t="str">
        <f t="shared" si="258"/>
        <v/>
      </c>
      <c r="O1579" s="34" t="str">
        <f t="shared" si="258"/>
        <v/>
      </c>
      <c r="P1579" s="34">
        <f t="shared" si="258"/>
        <v>84</v>
      </c>
      <c r="Q1579" s="34">
        <f t="shared" si="258"/>
        <v>89</v>
      </c>
      <c r="R1579" s="34">
        <f t="shared" si="258"/>
        <v>101</v>
      </c>
      <c r="S1579" s="35">
        <f t="shared" si="253"/>
        <v>84</v>
      </c>
    </row>
    <row r="1580" spans="2:19" hidden="1" outlineLevel="1">
      <c r="B1580" s="14" t="s">
        <v>116</v>
      </c>
      <c r="C1580" s="15" t="s">
        <v>66</v>
      </c>
      <c r="D1580" s="52">
        <v>2046</v>
      </c>
      <c r="E1580" s="34">
        <v>9</v>
      </c>
      <c r="F1580" s="38">
        <f t="shared" si="250"/>
        <v>20477.789602482324</v>
      </c>
      <c r="G1580" s="34">
        <f t="shared" si="251"/>
        <v>16</v>
      </c>
      <c r="H1580" s="34">
        <f t="shared" si="252"/>
        <v>4</v>
      </c>
      <c r="I1580" s="34" t="str">
        <f t="shared" ref="I1580:R1589" si="259">IF($D1580&lt;$Z$18,"",IF(MAX($G1580,INDEX($C$65:$F$108,$D1580+I$119-2026,$H1580))&lt;=12*I$119-$E1580+12,MAX($G1580,12*I$119-$E1580+1,INDEX($C$65:$F$108,$D1580+I$119-2026,$H1580)),""))</f>
        <v/>
      </c>
      <c r="J1580" s="34" t="str">
        <f t="shared" si="259"/>
        <v/>
      </c>
      <c r="K1580" s="34" t="str">
        <f t="shared" si="259"/>
        <v/>
      </c>
      <c r="L1580" s="34" t="str">
        <f t="shared" si="259"/>
        <v/>
      </c>
      <c r="M1580" s="34" t="str">
        <f t="shared" si="259"/>
        <v/>
      </c>
      <c r="N1580" s="34" t="str">
        <f t="shared" si="259"/>
        <v/>
      </c>
      <c r="O1580" s="34" t="str">
        <f t="shared" si="259"/>
        <v/>
      </c>
      <c r="P1580" s="34">
        <f t="shared" si="259"/>
        <v>84</v>
      </c>
      <c r="Q1580" s="34">
        <f t="shared" si="259"/>
        <v>88</v>
      </c>
      <c r="R1580" s="34">
        <f t="shared" si="259"/>
        <v>100</v>
      </c>
      <c r="S1580" s="35">
        <f t="shared" si="253"/>
        <v>84</v>
      </c>
    </row>
    <row r="1581" spans="2:19" hidden="1" outlineLevel="1">
      <c r="B1581" s="14" t="s">
        <v>116</v>
      </c>
      <c r="C1581" s="15" t="s">
        <v>66</v>
      </c>
      <c r="D1581" s="52">
        <v>2046</v>
      </c>
      <c r="E1581" s="34">
        <v>10</v>
      </c>
      <c r="F1581" s="38">
        <f t="shared" si="250"/>
        <v>20477.789602482324</v>
      </c>
      <c r="G1581" s="34">
        <f t="shared" si="251"/>
        <v>16</v>
      </c>
      <c r="H1581" s="34">
        <f t="shared" si="252"/>
        <v>4</v>
      </c>
      <c r="I1581" s="34" t="str">
        <f t="shared" si="259"/>
        <v/>
      </c>
      <c r="J1581" s="34" t="str">
        <f t="shared" si="259"/>
        <v/>
      </c>
      <c r="K1581" s="34" t="str">
        <f t="shared" si="259"/>
        <v/>
      </c>
      <c r="L1581" s="34" t="str">
        <f t="shared" si="259"/>
        <v/>
      </c>
      <c r="M1581" s="34" t="str">
        <f t="shared" si="259"/>
        <v/>
      </c>
      <c r="N1581" s="34" t="str">
        <f t="shared" si="259"/>
        <v/>
      </c>
      <c r="O1581" s="34" t="str">
        <f t="shared" si="259"/>
        <v/>
      </c>
      <c r="P1581" s="34">
        <f t="shared" si="259"/>
        <v>84</v>
      </c>
      <c r="Q1581" s="34">
        <f t="shared" si="259"/>
        <v>87</v>
      </c>
      <c r="R1581" s="34">
        <f t="shared" si="259"/>
        <v>99</v>
      </c>
      <c r="S1581" s="35">
        <f t="shared" si="253"/>
        <v>84</v>
      </c>
    </row>
    <row r="1582" spans="2:19" hidden="1" outlineLevel="1">
      <c r="B1582" s="14" t="s">
        <v>116</v>
      </c>
      <c r="C1582" s="15" t="s">
        <v>66</v>
      </c>
      <c r="D1582" s="52">
        <v>2046</v>
      </c>
      <c r="E1582" s="34">
        <v>11</v>
      </c>
      <c r="F1582" s="38">
        <f t="shared" si="250"/>
        <v>20477.789602482324</v>
      </c>
      <c r="G1582" s="34">
        <f t="shared" si="251"/>
        <v>16</v>
      </c>
      <c r="H1582" s="34">
        <f t="shared" si="252"/>
        <v>4</v>
      </c>
      <c r="I1582" s="34" t="str">
        <f t="shared" si="259"/>
        <v/>
      </c>
      <c r="J1582" s="34" t="str">
        <f t="shared" si="259"/>
        <v/>
      </c>
      <c r="K1582" s="34" t="str">
        <f t="shared" si="259"/>
        <v/>
      </c>
      <c r="L1582" s="34" t="str">
        <f t="shared" si="259"/>
        <v/>
      </c>
      <c r="M1582" s="34" t="str">
        <f t="shared" si="259"/>
        <v/>
      </c>
      <c r="N1582" s="34" t="str">
        <f t="shared" si="259"/>
        <v/>
      </c>
      <c r="O1582" s="34" t="str">
        <f t="shared" si="259"/>
        <v/>
      </c>
      <c r="P1582" s="34">
        <f t="shared" si="259"/>
        <v>84</v>
      </c>
      <c r="Q1582" s="34">
        <f t="shared" si="259"/>
        <v>86</v>
      </c>
      <c r="R1582" s="34">
        <f t="shared" si="259"/>
        <v>98</v>
      </c>
      <c r="S1582" s="35">
        <f t="shared" si="253"/>
        <v>84</v>
      </c>
    </row>
    <row r="1583" spans="2:19" hidden="1" outlineLevel="1">
      <c r="B1583" s="14" t="s">
        <v>116</v>
      </c>
      <c r="C1583" s="15" t="s">
        <v>66</v>
      </c>
      <c r="D1583" s="52">
        <v>2046</v>
      </c>
      <c r="E1583" s="34">
        <v>12</v>
      </c>
      <c r="F1583" s="38">
        <f t="shared" si="250"/>
        <v>20477.789602482324</v>
      </c>
      <c r="G1583" s="34">
        <f t="shared" si="251"/>
        <v>16</v>
      </c>
      <c r="H1583" s="34">
        <f t="shared" si="252"/>
        <v>4</v>
      </c>
      <c r="I1583" s="34" t="str">
        <f t="shared" si="259"/>
        <v/>
      </c>
      <c r="J1583" s="34" t="str">
        <f t="shared" si="259"/>
        <v/>
      </c>
      <c r="K1583" s="34" t="str">
        <f t="shared" si="259"/>
        <v/>
      </c>
      <c r="L1583" s="34" t="str">
        <f t="shared" si="259"/>
        <v/>
      </c>
      <c r="M1583" s="34" t="str">
        <f t="shared" si="259"/>
        <v/>
      </c>
      <c r="N1583" s="34" t="str">
        <f t="shared" si="259"/>
        <v/>
      </c>
      <c r="O1583" s="34" t="str">
        <f t="shared" si="259"/>
        <v/>
      </c>
      <c r="P1583" s="34">
        <f t="shared" si="259"/>
        <v>84</v>
      </c>
      <c r="Q1583" s="34">
        <f t="shared" si="259"/>
        <v>85</v>
      </c>
      <c r="R1583" s="34">
        <f t="shared" si="259"/>
        <v>97</v>
      </c>
      <c r="S1583" s="35">
        <f t="shared" si="253"/>
        <v>84</v>
      </c>
    </row>
    <row r="1584" spans="2:19" hidden="1" outlineLevel="1">
      <c r="B1584" s="14" t="s">
        <v>116</v>
      </c>
      <c r="C1584" s="15" t="s">
        <v>66</v>
      </c>
      <c r="D1584" s="52">
        <v>2047</v>
      </c>
      <c r="E1584" s="34">
        <v>1</v>
      </c>
      <c r="F1584" s="38">
        <f t="shared" si="250"/>
        <v>20544.993272907512</v>
      </c>
      <c r="G1584" s="34">
        <f t="shared" si="251"/>
        <v>16</v>
      </c>
      <c r="H1584" s="34">
        <f t="shared" si="252"/>
        <v>4</v>
      </c>
      <c r="I1584" s="34" t="str">
        <f t="shared" si="259"/>
        <v/>
      </c>
      <c r="J1584" s="34" t="str">
        <f t="shared" si="259"/>
        <v/>
      </c>
      <c r="K1584" s="34" t="str">
        <f t="shared" si="259"/>
        <v/>
      </c>
      <c r="L1584" s="34" t="str">
        <f t="shared" si="259"/>
        <v/>
      </c>
      <c r="M1584" s="34" t="str">
        <f t="shared" si="259"/>
        <v/>
      </c>
      <c r="N1584" s="34" t="str">
        <f t="shared" si="259"/>
        <v/>
      </c>
      <c r="O1584" s="34" t="str">
        <f t="shared" si="259"/>
        <v/>
      </c>
      <c r="P1584" s="34">
        <f t="shared" si="259"/>
        <v>84</v>
      </c>
      <c r="Q1584" s="34">
        <f t="shared" si="259"/>
        <v>96</v>
      </c>
      <c r="R1584" s="34">
        <f t="shared" si="259"/>
        <v>108</v>
      </c>
      <c r="S1584" s="35">
        <f t="shared" si="253"/>
        <v>84</v>
      </c>
    </row>
    <row r="1585" spans="2:19" hidden="1" outlineLevel="1">
      <c r="B1585" s="14" t="s">
        <v>116</v>
      </c>
      <c r="C1585" s="15" t="s">
        <v>66</v>
      </c>
      <c r="D1585" s="52">
        <v>2047</v>
      </c>
      <c r="E1585" s="34">
        <v>2</v>
      </c>
      <c r="F1585" s="38">
        <f t="shared" si="250"/>
        <v>20544.993272907512</v>
      </c>
      <c r="G1585" s="34">
        <f t="shared" si="251"/>
        <v>16</v>
      </c>
      <c r="H1585" s="34">
        <f t="shared" si="252"/>
        <v>4</v>
      </c>
      <c r="I1585" s="34" t="str">
        <f t="shared" si="259"/>
        <v/>
      </c>
      <c r="J1585" s="34" t="str">
        <f t="shared" si="259"/>
        <v/>
      </c>
      <c r="K1585" s="34" t="str">
        <f t="shared" si="259"/>
        <v/>
      </c>
      <c r="L1585" s="34" t="str">
        <f t="shared" si="259"/>
        <v/>
      </c>
      <c r="M1585" s="34" t="str">
        <f t="shared" si="259"/>
        <v/>
      </c>
      <c r="N1585" s="34" t="str">
        <f t="shared" si="259"/>
        <v/>
      </c>
      <c r="O1585" s="34" t="str">
        <f t="shared" si="259"/>
        <v/>
      </c>
      <c r="P1585" s="34">
        <f t="shared" si="259"/>
        <v>84</v>
      </c>
      <c r="Q1585" s="34">
        <f t="shared" si="259"/>
        <v>95</v>
      </c>
      <c r="R1585" s="34">
        <f t="shared" si="259"/>
        <v>107</v>
      </c>
      <c r="S1585" s="35">
        <f t="shared" si="253"/>
        <v>84</v>
      </c>
    </row>
    <row r="1586" spans="2:19" hidden="1" outlineLevel="1">
      <c r="B1586" s="14" t="s">
        <v>116</v>
      </c>
      <c r="C1586" s="15" t="s">
        <v>66</v>
      </c>
      <c r="D1586" s="52">
        <v>2047</v>
      </c>
      <c r="E1586" s="34">
        <v>3</v>
      </c>
      <c r="F1586" s="38">
        <f t="shared" si="250"/>
        <v>20544.993272907512</v>
      </c>
      <c r="G1586" s="34">
        <f t="shared" si="251"/>
        <v>16</v>
      </c>
      <c r="H1586" s="34">
        <f t="shared" si="252"/>
        <v>4</v>
      </c>
      <c r="I1586" s="34" t="str">
        <f t="shared" si="259"/>
        <v/>
      </c>
      <c r="J1586" s="34" t="str">
        <f t="shared" si="259"/>
        <v/>
      </c>
      <c r="K1586" s="34" t="str">
        <f t="shared" si="259"/>
        <v/>
      </c>
      <c r="L1586" s="34" t="str">
        <f t="shared" si="259"/>
        <v/>
      </c>
      <c r="M1586" s="34" t="str">
        <f t="shared" si="259"/>
        <v/>
      </c>
      <c r="N1586" s="34" t="str">
        <f t="shared" si="259"/>
        <v/>
      </c>
      <c r="O1586" s="34" t="str">
        <f t="shared" si="259"/>
        <v/>
      </c>
      <c r="P1586" s="34">
        <f t="shared" si="259"/>
        <v>84</v>
      </c>
      <c r="Q1586" s="34">
        <f t="shared" si="259"/>
        <v>94</v>
      </c>
      <c r="R1586" s="34">
        <f t="shared" si="259"/>
        <v>106</v>
      </c>
      <c r="S1586" s="35">
        <f t="shared" si="253"/>
        <v>84</v>
      </c>
    </row>
    <row r="1587" spans="2:19" hidden="1" outlineLevel="1">
      <c r="B1587" s="14" t="s">
        <v>116</v>
      </c>
      <c r="C1587" s="15" t="s">
        <v>66</v>
      </c>
      <c r="D1587" s="52">
        <v>2047</v>
      </c>
      <c r="E1587" s="34">
        <v>4</v>
      </c>
      <c r="F1587" s="38">
        <f t="shared" si="250"/>
        <v>20544.993272907512</v>
      </c>
      <c r="G1587" s="34">
        <f t="shared" si="251"/>
        <v>16</v>
      </c>
      <c r="H1587" s="34">
        <f t="shared" si="252"/>
        <v>4</v>
      </c>
      <c r="I1587" s="34" t="str">
        <f t="shared" si="259"/>
        <v/>
      </c>
      <c r="J1587" s="34" t="str">
        <f t="shared" si="259"/>
        <v/>
      </c>
      <c r="K1587" s="34" t="str">
        <f t="shared" si="259"/>
        <v/>
      </c>
      <c r="L1587" s="34" t="str">
        <f t="shared" si="259"/>
        <v/>
      </c>
      <c r="M1587" s="34" t="str">
        <f t="shared" si="259"/>
        <v/>
      </c>
      <c r="N1587" s="34" t="str">
        <f t="shared" si="259"/>
        <v/>
      </c>
      <c r="O1587" s="34" t="str">
        <f t="shared" si="259"/>
        <v/>
      </c>
      <c r="P1587" s="34">
        <f t="shared" si="259"/>
        <v>84</v>
      </c>
      <c r="Q1587" s="34">
        <f t="shared" si="259"/>
        <v>93</v>
      </c>
      <c r="R1587" s="34">
        <f t="shared" si="259"/>
        <v>105</v>
      </c>
      <c r="S1587" s="35">
        <f t="shared" si="253"/>
        <v>84</v>
      </c>
    </row>
    <row r="1588" spans="2:19" hidden="1" outlineLevel="1">
      <c r="B1588" s="14" t="s">
        <v>116</v>
      </c>
      <c r="C1588" s="15" t="s">
        <v>66</v>
      </c>
      <c r="D1588" s="52">
        <v>2047</v>
      </c>
      <c r="E1588" s="34">
        <v>5</v>
      </c>
      <c r="F1588" s="38">
        <f t="shared" si="250"/>
        <v>20544.993272907512</v>
      </c>
      <c r="G1588" s="34">
        <f t="shared" si="251"/>
        <v>16</v>
      </c>
      <c r="H1588" s="34">
        <f t="shared" si="252"/>
        <v>4</v>
      </c>
      <c r="I1588" s="34" t="str">
        <f t="shared" si="259"/>
        <v/>
      </c>
      <c r="J1588" s="34" t="str">
        <f t="shared" si="259"/>
        <v/>
      </c>
      <c r="K1588" s="34" t="str">
        <f t="shared" si="259"/>
        <v/>
      </c>
      <c r="L1588" s="34" t="str">
        <f t="shared" si="259"/>
        <v/>
      </c>
      <c r="M1588" s="34" t="str">
        <f t="shared" si="259"/>
        <v/>
      </c>
      <c r="N1588" s="34" t="str">
        <f t="shared" si="259"/>
        <v/>
      </c>
      <c r="O1588" s="34" t="str">
        <f t="shared" si="259"/>
        <v/>
      </c>
      <c r="P1588" s="34">
        <f t="shared" si="259"/>
        <v>84</v>
      </c>
      <c r="Q1588" s="34">
        <f t="shared" si="259"/>
        <v>92</v>
      </c>
      <c r="R1588" s="34">
        <f t="shared" si="259"/>
        <v>104</v>
      </c>
      <c r="S1588" s="35">
        <f t="shared" si="253"/>
        <v>84</v>
      </c>
    </row>
    <row r="1589" spans="2:19" hidden="1" outlineLevel="1">
      <c r="B1589" s="14" t="s">
        <v>116</v>
      </c>
      <c r="C1589" s="15" t="s">
        <v>66</v>
      </c>
      <c r="D1589" s="52">
        <v>2047</v>
      </c>
      <c r="E1589" s="34">
        <v>6</v>
      </c>
      <c r="F1589" s="38">
        <f t="shared" si="250"/>
        <v>20544.993272907512</v>
      </c>
      <c r="G1589" s="34">
        <f t="shared" si="251"/>
        <v>16</v>
      </c>
      <c r="H1589" s="34">
        <f t="shared" si="252"/>
        <v>4</v>
      </c>
      <c r="I1589" s="34" t="str">
        <f t="shared" si="259"/>
        <v/>
      </c>
      <c r="J1589" s="34" t="str">
        <f t="shared" si="259"/>
        <v/>
      </c>
      <c r="K1589" s="34" t="str">
        <f t="shared" si="259"/>
        <v/>
      </c>
      <c r="L1589" s="34" t="str">
        <f t="shared" si="259"/>
        <v/>
      </c>
      <c r="M1589" s="34" t="str">
        <f t="shared" si="259"/>
        <v/>
      </c>
      <c r="N1589" s="34" t="str">
        <f t="shared" si="259"/>
        <v/>
      </c>
      <c r="O1589" s="34" t="str">
        <f t="shared" si="259"/>
        <v/>
      </c>
      <c r="P1589" s="34">
        <f t="shared" si="259"/>
        <v>84</v>
      </c>
      <c r="Q1589" s="34">
        <f t="shared" si="259"/>
        <v>91</v>
      </c>
      <c r="R1589" s="34">
        <f t="shared" si="259"/>
        <v>103</v>
      </c>
      <c r="S1589" s="35">
        <f t="shared" si="253"/>
        <v>84</v>
      </c>
    </row>
    <row r="1590" spans="2:19" hidden="1" outlineLevel="1">
      <c r="B1590" s="14" t="s">
        <v>116</v>
      </c>
      <c r="C1590" s="15" t="s">
        <v>66</v>
      </c>
      <c r="D1590" s="52">
        <v>2047</v>
      </c>
      <c r="E1590" s="34">
        <v>7</v>
      </c>
      <c r="F1590" s="38">
        <f t="shared" si="250"/>
        <v>20544.993272907512</v>
      </c>
      <c r="G1590" s="34">
        <f t="shared" si="251"/>
        <v>16</v>
      </c>
      <c r="H1590" s="34">
        <f t="shared" si="252"/>
        <v>4</v>
      </c>
      <c r="I1590" s="34" t="str">
        <f t="shared" ref="I1590:R1599" si="260">IF($D1590&lt;$Z$18,"",IF(MAX($G1590,INDEX($C$65:$F$108,$D1590+I$119-2026,$H1590))&lt;=12*I$119-$E1590+12,MAX($G1590,12*I$119-$E1590+1,INDEX($C$65:$F$108,$D1590+I$119-2026,$H1590)),""))</f>
        <v/>
      </c>
      <c r="J1590" s="34" t="str">
        <f t="shared" si="260"/>
        <v/>
      </c>
      <c r="K1590" s="34" t="str">
        <f t="shared" si="260"/>
        <v/>
      </c>
      <c r="L1590" s="34" t="str">
        <f t="shared" si="260"/>
        <v/>
      </c>
      <c r="M1590" s="34" t="str">
        <f t="shared" si="260"/>
        <v/>
      </c>
      <c r="N1590" s="34" t="str">
        <f t="shared" si="260"/>
        <v/>
      </c>
      <c r="O1590" s="34" t="str">
        <f t="shared" si="260"/>
        <v/>
      </c>
      <c r="P1590" s="34">
        <f t="shared" si="260"/>
        <v>84</v>
      </c>
      <c r="Q1590" s="34">
        <f t="shared" si="260"/>
        <v>90</v>
      </c>
      <c r="R1590" s="34">
        <f t="shared" si="260"/>
        <v>102</v>
      </c>
      <c r="S1590" s="35">
        <f t="shared" si="253"/>
        <v>84</v>
      </c>
    </row>
    <row r="1591" spans="2:19" hidden="1" outlineLevel="1">
      <c r="B1591" s="14" t="s">
        <v>116</v>
      </c>
      <c r="C1591" s="15" t="s">
        <v>66</v>
      </c>
      <c r="D1591" s="52">
        <v>2047</v>
      </c>
      <c r="E1591" s="34">
        <v>8</v>
      </c>
      <c r="F1591" s="38">
        <f t="shared" si="250"/>
        <v>20544.993272907512</v>
      </c>
      <c r="G1591" s="34">
        <f t="shared" si="251"/>
        <v>16</v>
      </c>
      <c r="H1591" s="34">
        <f t="shared" si="252"/>
        <v>4</v>
      </c>
      <c r="I1591" s="34" t="str">
        <f t="shared" si="260"/>
        <v/>
      </c>
      <c r="J1591" s="34" t="str">
        <f t="shared" si="260"/>
        <v/>
      </c>
      <c r="K1591" s="34" t="str">
        <f t="shared" si="260"/>
        <v/>
      </c>
      <c r="L1591" s="34" t="str">
        <f t="shared" si="260"/>
        <v/>
      </c>
      <c r="M1591" s="34" t="str">
        <f t="shared" si="260"/>
        <v/>
      </c>
      <c r="N1591" s="34" t="str">
        <f t="shared" si="260"/>
        <v/>
      </c>
      <c r="O1591" s="34" t="str">
        <f t="shared" si="260"/>
        <v/>
      </c>
      <c r="P1591" s="34">
        <f t="shared" si="260"/>
        <v>84</v>
      </c>
      <c r="Q1591" s="34">
        <f t="shared" si="260"/>
        <v>89</v>
      </c>
      <c r="R1591" s="34">
        <f t="shared" si="260"/>
        <v>101</v>
      </c>
      <c r="S1591" s="35">
        <f t="shared" si="253"/>
        <v>84</v>
      </c>
    </row>
    <row r="1592" spans="2:19" hidden="1" outlineLevel="1">
      <c r="B1592" s="14" t="s">
        <v>116</v>
      </c>
      <c r="C1592" s="15" t="s">
        <v>66</v>
      </c>
      <c r="D1592" s="52">
        <v>2047</v>
      </c>
      <c r="E1592" s="34">
        <v>9</v>
      </c>
      <c r="F1592" s="38">
        <f t="shared" ref="F1592:F1655" si="261">IF($C1592="Homens",INDEX($C$5:$C$55,MATCH($D1592,$B$5:$B$55,0)),INDEX($F$5:$F$55,MATCH($D1592,$B$5:$B$55,0)))/12</f>
        <v>20544.993272907512</v>
      </c>
      <c r="G1592" s="34">
        <f t="shared" ref="G1592:G1655" si="262">IF($C1592="Homens",$Z$17,$AA$17)</f>
        <v>16</v>
      </c>
      <c r="H1592" s="34">
        <f t="shared" ref="H1592:H1655" si="263">1+2*($B1592="Com Transição")+($C1592="Mulheres")</f>
        <v>4</v>
      </c>
      <c r="I1592" s="34" t="str">
        <f t="shared" si="260"/>
        <v/>
      </c>
      <c r="J1592" s="34" t="str">
        <f t="shared" si="260"/>
        <v/>
      </c>
      <c r="K1592" s="34" t="str">
        <f t="shared" si="260"/>
        <v/>
      </c>
      <c r="L1592" s="34" t="str">
        <f t="shared" si="260"/>
        <v/>
      </c>
      <c r="M1592" s="34" t="str">
        <f t="shared" si="260"/>
        <v/>
      </c>
      <c r="N1592" s="34" t="str">
        <f t="shared" si="260"/>
        <v/>
      </c>
      <c r="O1592" s="34" t="str">
        <f t="shared" si="260"/>
        <v/>
      </c>
      <c r="P1592" s="34">
        <f t="shared" si="260"/>
        <v>84</v>
      </c>
      <c r="Q1592" s="34">
        <f t="shared" si="260"/>
        <v>88</v>
      </c>
      <c r="R1592" s="34">
        <f t="shared" si="260"/>
        <v>100</v>
      </c>
      <c r="S1592" s="35">
        <f t="shared" ref="S1592:S1655" si="264">IF($D1592&lt;$Z$18,$G1592,MIN(I1592:R1592))</f>
        <v>84</v>
      </c>
    </row>
    <row r="1593" spans="2:19" hidden="1" outlineLevel="1">
      <c r="B1593" s="14" t="s">
        <v>116</v>
      </c>
      <c r="C1593" s="15" t="s">
        <v>66</v>
      </c>
      <c r="D1593" s="52">
        <v>2047</v>
      </c>
      <c r="E1593" s="34">
        <v>10</v>
      </c>
      <c r="F1593" s="38">
        <f t="shared" si="261"/>
        <v>20544.993272907512</v>
      </c>
      <c r="G1593" s="34">
        <f t="shared" si="262"/>
        <v>16</v>
      </c>
      <c r="H1593" s="34">
        <f t="shared" si="263"/>
        <v>4</v>
      </c>
      <c r="I1593" s="34" t="str">
        <f t="shared" si="260"/>
        <v/>
      </c>
      <c r="J1593" s="34" t="str">
        <f t="shared" si="260"/>
        <v/>
      </c>
      <c r="K1593" s="34" t="str">
        <f t="shared" si="260"/>
        <v/>
      </c>
      <c r="L1593" s="34" t="str">
        <f t="shared" si="260"/>
        <v/>
      </c>
      <c r="M1593" s="34" t="str">
        <f t="shared" si="260"/>
        <v/>
      </c>
      <c r="N1593" s="34" t="str">
        <f t="shared" si="260"/>
        <v/>
      </c>
      <c r="O1593" s="34" t="str">
        <f t="shared" si="260"/>
        <v/>
      </c>
      <c r="P1593" s="34">
        <f t="shared" si="260"/>
        <v>84</v>
      </c>
      <c r="Q1593" s="34">
        <f t="shared" si="260"/>
        <v>87</v>
      </c>
      <c r="R1593" s="34">
        <f t="shared" si="260"/>
        <v>99</v>
      </c>
      <c r="S1593" s="35">
        <f t="shared" si="264"/>
        <v>84</v>
      </c>
    </row>
    <row r="1594" spans="2:19" hidden="1" outlineLevel="1">
      <c r="B1594" s="14" t="s">
        <v>116</v>
      </c>
      <c r="C1594" s="15" t="s">
        <v>66</v>
      </c>
      <c r="D1594" s="52">
        <v>2047</v>
      </c>
      <c r="E1594" s="34">
        <v>11</v>
      </c>
      <c r="F1594" s="38">
        <f t="shared" si="261"/>
        <v>20544.993272907512</v>
      </c>
      <c r="G1594" s="34">
        <f t="shared" si="262"/>
        <v>16</v>
      </c>
      <c r="H1594" s="34">
        <f t="shared" si="263"/>
        <v>4</v>
      </c>
      <c r="I1594" s="34" t="str">
        <f t="shared" si="260"/>
        <v/>
      </c>
      <c r="J1594" s="34" t="str">
        <f t="shared" si="260"/>
        <v/>
      </c>
      <c r="K1594" s="34" t="str">
        <f t="shared" si="260"/>
        <v/>
      </c>
      <c r="L1594" s="34" t="str">
        <f t="shared" si="260"/>
        <v/>
      </c>
      <c r="M1594" s="34" t="str">
        <f t="shared" si="260"/>
        <v/>
      </c>
      <c r="N1594" s="34" t="str">
        <f t="shared" si="260"/>
        <v/>
      </c>
      <c r="O1594" s="34" t="str">
        <f t="shared" si="260"/>
        <v/>
      </c>
      <c r="P1594" s="34">
        <f t="shared" si="260"/>
        <v>84</v>
      </c>
      <c r="Q1594" s="34">
        <f t="shared" si="260"/>
        <v>86</v>
      </c>
      <c r="R1594" s="34">
        <f t="shared" si="260"/>
        <v>98</v>
      </c>
      <c r="S1594" s="35">
        <f t="shared" si="264"/>
        <v>84</v>
      </c>
    </row>
    <row r="1595" spans="2:19" hidden="1" outlineLevel="1">
      <c r="B1595" s="14" t="s">
        <v>116</v>
      </c>
      <c r="C1595" s="15" t="s">
        <v>66</v>
      </c>
      <c r="D1595" s="52">
        <v>2047</v>
      </c>
      <c r="E1595" s="34">
        <v>12</v>
      </c>
      <c r="F1595" s="38">
        <f t="shared" si="261"/>
        <v>20544.993272907512</v>
      </c>
      <c r="G1595" s="34">
        <f t="shared" si="262"/>
        <v>16</v>
      </c>
      <c r="H1595" s="34">
        <f t="shared" si="263"/>
        <v>4</v>
      </c>
      <c r="I1595" s="34" t="str">
        <f t="shared" si="260"/>
        <v/>
      </c>
      <c r="J1595" s="34" t="str">
        <f t="shared" si="260"/>
        <v/>
      </c>
      <c r="K1595" s="34" t="str">
        <f t="shared" si="260"/>
        <v/>
      </c>
      <c r="L1595" s="34" t="str">
        <f t="shared" si="260"/>
        <v/>
      </c>
      <c r="M1595" s="34" t="str">
        <f t="shared" si="260"/>
        <v/>
      </c>
      <c r="N1595" s="34" t="str">
        <f t="shared" si="260"/>
        <v/>
      </c>
      <c r="O1595" s="34" t="str">
        <f t="shared" si="260"/>
        <v/>
      </c>
      <c r="P1595" s="34">
        <f t="shared" si="260"/>
        <v>84</v>
      </c>
      <c r="Q1595" s="34">
        <f t="shared" si="260"/>
        <v>85</v>
      </c>
      <c r="R1595" s="34">
        <f t="shared" si="260"/>
        <v>97</v>
      </c>
      <c r="S1595" s="35">
        <f t="shared" si="264"/>
        <v>84</v>
      </c>
    </row>
    <row r="1596" spans="2:19" hidden="1" outlineLevel="1">
      <c r="B1596" s="14" t="s">
        <v>116</v>
      </c>
      <c r="C1596" s="15" t="s">
        <v>66</v>
      </c>
      <c r="D1596" s="52">
        <v>2048</v>
      </c>
      <c r="E1596" s="34">
        <v>1</v>
      </c>
      <c r="F1596" s="38">
        <f t="shared" si="261"/>
        <v>20621.214938780653</v>
      </c>
      <c r="G1596" s="34">
        <f t="shared" si="262"/>
        <v>16</v>
      </c>
      <c r="H1596" s="34">
        <f t="shared" si="263"/>
        <v>4</v>
      </c>
      <c r="I1596" s="34" t="str">
        <f t="shared" si="260"/>
        <v/>
      </c>
      <c r="J1596" s="34" t="str">
        <f t="shared" si="260"/>
        <v/>
      </c>
      <c r="K1596" s="34" t="str">
        <f t="shared" si="260"/>
        <v/>
      </c>
      <c r="L1596" s="34" t="str">
        <f t="shared" si="260"/>
        <v/>
      </c>
      <c r="M1596" s="34" t="str">
        <f t="shared" si="260"/>
        <v/>
      </c>
      <c r="N1596" s="34" t="str">
        <f t="shared" si="260"/>
        <v/>
      </c>
      <c r="O1596" s="34" t="str">
        <f t="shared" si="260"/>
        <v/>
      </c>
      <c r="P1596" s="34">
        <f t="shared" si="260"/>
        <v>84</v>
      </c>
      <c r="Q1596" s="34">
        <f t="shared" si="260"/>
        <v>96</v>
      </c>
      <c r="R1596" s="34">
        <f t="shared" si="260"/>
        <v>108</v>
      </c>
      <c r="S1596" s="35">
        <f t="shared" si="264"/>
        <v>84</v>
      </c>
    </row>
    <row r="1597" spans="2:19" hidden="1" outlineLevel="1">
      <c r="B1597" s="14" t="s">
        <v>116</v>
      </c>
      <c r="C1597" s="15" t="s">
        <v>66</v>
      </c>
      <c r="D1597" s="52">
        <v>2048</v>
      </c>
      <c r="E1597" s="34">
        <v>2</v>
      </c>
      <c r="F1597" s="38">
        <f t="shared" si="261"/>
        <v>20621.214938780653</v>
      </c>
      <c r="G1597" s="34">
        <f t="shared" si="262"/>
        <v>16</v>
      </c>
      <c r="H1597" s="34">
        <f t="shared" si="263"/>
        <v>4</v>
      </c>
      <c r="I1597" s="34" t="str">
        <f t="shared" si="260"/>
        <v/>
      </c>
      <c r="J1597" s="34" t="str">
        <f t="shared" si="260"/>
        <v/>
      </c>
      <c r="K1597" s="34" t="str">
        <f t="shared" si="260"/>
        <v/>
      </c>
      <c r="L1597" s="34" t="str">
        <f t="shared" si="260"/>
        <v/>
      </c>
      <c r="M1597" s="34" t="str">
        <f t="shared" si="260"/>
        <v/>
      </c>
      <c r="N1597" s="34" t="str">
        <f t="shared" si="260"/>
        <v/>
      </c>
      <c r="O1597" s="34" t="str">
        <f t="shared" si="260"/>
        <v/>
      </c>
      <c r="P1597" s="34">
        <f t="shared" si="260"/>
        <v>84</v>
      </c>
      <c r="Q1597" s="34">
        <f t="shared" si="260"/>
        <v>95</v>
      </c>
      <c r="R1597" s="34">
        <f t="shared" si="260"/>
        <v>107</v>
      </c>
      <c r="S1597" s="35">
        <f t="shared" si="264"/>
        <v>84</v>
      </c>
    </row>
    <row r="1598" spans="2:19" hidden="1" outlineLevel="1">
      <c r="B1598" s="14" t="s">
        <v>116</v>
      </c>
      <c r="C1598" s="15" t="s">
        <v>66</v>
      </c>
      <c r="D1598" s="52">
        <v>2048</v>
      </c>
      <c r="E1598" s="34">
        <v>3</v>
      </c>
      <c r="F1598" s="38">
        <f t="shared" si="261"/>
        <v>20621.214938780653</v>
      </c>
      <c r="G1598" s="34">
        <f t="shared" si="262"/>
        <v>16</v>
      </c>
      <c r="H1598" s="34">
        <f t="shared" si="263"/>
        <v>4</v>
      </c>
      <c r="I1598" s="34" t="str">
        <f t="shared" si="260"/>
        <v/>
      </c>
      <c r="J1598" s="34" t="str">
        <f t="shared" si="260"/>
        <v/>
      </c>
      <c r="K1598" s="34" t="str">
        <f t="shared" si="260"/>
        <v/>
      </c>
      <c r="L1598" s="34" t="str">
        <f t="shared" si="260"/>
        <v/>
      </c>
      <c r="M1598" s="34" t="str">
        <f t="shared" si="260"/>
        <v/>
      </c>
      <c r="N1598" s="34" t="str">
        <f t="shared" si="260"/>
        <v/>
      </c>
      <c r="O1598" s="34" t="str">
        <f t="shared" si="260"/>
        <v/>
      </c>
      <c r="P1598" s="34">
        <f t="shared" si="260"/>
        <v>84</v>
      </c>
      <c r="Q1598" s="34">
        <f t="shared" si="260"/>
        <v>94</v>
      </c>
      <c r="R1598" s="34">
        <f t="shared" si="260"/>
        <v>106</v>
      </c>
      <c r="S1598" s="35">
        <f t="shared" si="264"/>
        <v>84</v>
      </c>
    </row>
    <row r="1599" spans="2:19" hidden="1" outlineLevel="1">
      <c r="B1599" s="14" t="s">
        <v>116</v>
      </c>
      <c r="C1599" s="15" t="s">
        <v>66</v>
      </c>
      <c r="D1599" s="52">
        <v>2048</v>
      </c>
      <c r="E1599" s="34">
        <v>4</v>
      </c>
      <c r="F1599" s="38">
        <f t="shared" si="261"/>
        <v>20621.214938780653</v>
      </c>
      <c r="G1599" s="34">
        <f t="shared" si="262"/>
        <v>16</v>
      </c>
      <c r="H1599" s="34">
        <f t="shared" si="263"/>
        <v>4</v>
      </c>
      <c r="I1599" s="34" t="str">
        <f t="shared" si="260"/>
        <v/>
      </c>
      <c r="J1599" s="34" t="str">
        <f t="shared" si="260"/>
        <v/>
      </c>
      <c r="K1599" s="34" t="str">
        <f t="shared" si="260"/>
        <v/>
      </c>
      <c r="L1599" s="34" t="str">
        <f t="shared" si="260"/>
        <v/>
      </c>
      <c r="M1599" s="34" t="str">
        <f t="shared" si="260"/>
        <v/>
      </c>
      <c r="N1599" s="34" t="str">
        <f t="shared" si="260"/>
        <v/>
      </c>
      <c r="O1599" s="34" t="str">
        <f t="shared" si="260"/>
        <v/>
      </c>
      <c r="P1599" s="34">
        <f t="shared" si="260"/>
        <v>84</v>
      </c>
      <c r="Q1599" s="34">
        <f t="shared" si="260"/>
        <v>93</v>
      </c>
      <c r="R1599" s="34">
        <f t="shared" si="260"/>
        <v>105</v>
      </c>
      <c r="S1599" s="35">
        <f t="shared" si="264"/>
        <v>84</v>
      </c>
    </row>
    <row r="1600" spans="2:19" hidden="1" outlineLevel="1">
      <c r="B1600" s="14" t="s">
        <v>116</v>
      </c>
      <c r="C1600" s="15" t="s">
        <v>66</v>
      </c>
      <c r="D1600" s="52">
        <v>2048</v>
      </c>
      <c r="E1600" s="34">
        <v>5</v>
      </c>
      <c r="F1600" s="38">
        <f t="shared" si="261"/>
        <v>20621.214938780653</v>
      </c>
      <c r="G1600" s="34">
        <f t="shared" si="262"/>
        <v>16</v>
      </c>
      <c r="H1600" s="34">
        <f t="shared" si="263"/>
        <v>4</v>
      </c>
      <c r="I1600" s="34" t="str">
        <f t="shared" ref="I1600:R1609" si="265">IF($D1600&lt;$Z$18,"",IF(MAX($G1600,INDEX($C$65:$F$108,$D1600+I$119-2026,$H1600))&lt;=12*I$119-$E1600+12,MAX($G1600,12*I$119-$E1600+1,INDEX($C$65:$F$108,$D1600+I$119-2026,$H1600)),""))</f>
        <v/>
      </c>
      <c r="J1600" s="34" t="str">
        <f t="shared" si="265"/>
        <v/>
      </c>
      <c r="K1600" s="34" t="str">
        <f t="shared" si="265"/>
        <v/>
      </c>
      <c r="L1600" s="34" t="str">
        <f t="shared" si="265"/>
        <v/>
      </c>
      <c r="M1600" s="34" t="str">
        <f t="shared" si="265"/>
        <v/>
      </c>
      <c r="N1600" s="34" t="str">
        <f t="shared" si="265"/>
        <v/>
      </c>
      <c r="O1600" s="34" t="str">
        <f t="shared" si="265"/>
        <v/>
      </c>
      <c r="P1600" s="34">
        <f t="shared" si="265"/>
        <v>84</v>
      </c>
      <c r="Q1600" s="34">
        <f t="shared" si="265"/>
        <v>92</v>
      </c>
      <c r="R1600" s="34">
        <f t="shared" si="265"/>
        <v>104</v>
      </c>
      <c r="S1600" s="35">
        <f t="shared" si="264"/>
        <v>84</v>
      </c>
    </row>
    <row r="1601" spans="2:19" hidden="1" outlineLevel="1">
      <c r="B1601" s="14" t="s">
        <v>116</v>
      </c>
      <c r="C1601" s="15" t="s">
        <v>66</v>
      </c>
      <c r="D1601" s="52">
        <v>2048</v>
      </c>
      <c r="E1601" s="34">
        <v>6</v>
      </c>
      <c r="F1601" s="38">
        <f t="shared" si="261"/>
        <v>20621.214938780653</v>
      </c>
      <c r="G1601" s="34">
        <f t="shared" si="262"/>
        <v>16</v>
      </c>
      <c r="H1601" s="34">
        <f t="shared" si="263"/>
        <v>4</v>
      </c>
      <c r="I1601" s="34" t="str">
        <f t="shared" si="265"/>
        <v/>
      </c>
      <c r="J1601" s="34" t="str">
        <f t="shared" si="265"/>
        <v/>
      </c>
      <c r="K1601" s="34" t="str">
        <f t="shared" si="265"/>
        <v/>
      </c>
      <c r="L1601" s="34" t="str">
        <f t="shared" si="265"/>
        <v/>
      </c>
      <c r="M1601" s="34" t="str">
        <f t="shared" si="265"/>
        <v/>
      </c>
      <c r="N1601" s="34" t="str">
        <f t="shared" si="265"/>
        <v/>
      </c>
      <c r="O1601" s="34" t="str">
        <f t="shared" si="265"/>
        <v/>
      </c>
      <c r="P1601" s="34">
        <f t="shared" si="265"/>
        <v>84</v>
      </c>
      <c r="Q1601" s="34">
        <f t="shared" si="265"/>
        <v>91</v>
      </c>
      <c r="R1601" s="34">
        <f t="shared" si="265"/>
        <v>103</v>
      </c>
      <c r="S1601" s="35">
        <f t="shared" si="264"/>
        <v>84</v>
      </c>
    </row>
    <row r="1602" spans="2:19" hidden="1" outlineLevel="1">
      <c r="B1602" s="14" t="s">
        <v>116</v>
      </c>
      <c r="C1602" s="15" t="s">
        <v>66</v>
      </c>
      <c r="D1602" s="52">
        <v>2048</v>
      </c>
      <c r="E1602" s="34">
        <v>7</v>
      </c>
      <c r="F1602" s="38">
        <f t="shared" si="261"/>
        <v>20621.214938780653</v>
      </c>
      <c r="G1602" s="34">
        <f t="shared" si="262"/>
        <v>16</v>
      </c>
      <c r="H1602" s="34">
        <f t="shared" si="263"/>
        <v>4</v>
      </c>
      <c r="I1602" s="34" t="str">
        <f t="shared" si="265"/>
        <v/>
      </c>
      <c r="J1602" s="34" t="str">
        <f t="shared" si="265"/>
        <v/>
      </c>
      <c r="K1602" s="34" t="str">
        <f t="shared" si="265"/>
        <v/>
      </c>
      <c r="L1602" s="34" t="str">
        <f t="shared" si="265"/>
        <v/>
      </c>
      <c r="M1602" s="34" t="str">
        <f t="shared" si="265"/>
        <v/>
      </c>
      <c r="N1602" s="34" t="str">
        <f t="shared" si="265"/>
        <v/>
      </c>
      <c r="O1602" s="34" t="str">
        <f t="shared" si="265"/>
        <v/>
      </c>
      <c r="P1602" s="34">
        <f t="shared" si="265"/>
        <v>84</v>
      </c>
      <c r="Q1602" s="34">
        <f t="shared" si="265"/>
        <v>90</v>
      </c>
      <c r="R1602" s="34">
        <f t="shared" si="265"/>
        <v>102</v>
      </c>
      <c r="S1602" s="35">
        <f t="shared" si="264"/>
        <v>84</v>
      </c>
    </row>
    <row r="1603" spans="2:19" hidden="1" outlineLevel="1">
      <c r="B1603" s="14" t="s">
        <v>116</v>
      </c>
      <c r="C1603" s="15" t="s">
        <v>66</v>
      </c>
      <c r="D1603" s="52">
        <v>2048</v>
      </c>
      <c r="E1603" s="34">
        <v>8</v>
      </c>
      <c r="F1603" s="38">
        <f t="shared" si="261"/>
        <v>20621.214938780653</v>
      </c>
      <c r="G1603" s="34">
        <f t="shared" si="262"/>
        <v>16</v>
      </c>
      <c r="H1603" s="34">
        <f t="shared" si="263"/>
        <v>4</v>
      </c>
      <c r="I1603" s="34" t="str">
        <f t="shared" si="265"/>
        <v/>
      </c>
      <c r="J1603" s="34" t="str">
        <f t="shared" si="265"/>
        <v/>
      </c>
      <c r="K1603" s="34" t="str">
        <f t="shared" si="265"/>
        <v/>
      </c>
      <c r="L1603" s="34" t="str">
        <f t="shared" si="265"/>
        <v/>
      </c>
      <c r="M1603" s="34" t="str">
        <f t="shared" si="265"/>
        <v/>
      </c>
      <c r="N1603" s="34" t="str">
        <f t="shared" si="265"/>
        <v/>
      </c>
      <c r="O1603" s="34" t="str">
        <f t="shared" si="265"/>
        <v/>
      </c>
      <c r="P1603" s="34">
        <f t="shared" si="265"/>
        <v>84</v>
      </c>
      <c r="Q1603" s="34">
        <f t="shared" si="265"/>
        <v>89</v>
      </c>
      <c r="R1603" s="34">
        <f t="shared" si="265"/>
        <v>101</v>
      </c>
      <c r="S1603" s="35">
        <f t="shared" si="264"/>
        <v>84</v>
      </c>
    </row>
    <row r="1604" spans="2:19" hidden="1" outlineLevel="1">
      <c r="B1604" s="14" t="s">
        <v>116</v>
      </c>
      <c r="C1604" s="15" t="s">
        <v>66</v>
      </c>
      <c r="D1604" s="52">
        <v>2048</v>
      </c>
      <c r="E1604" s="34">
        <v>9</v>
      </c>
      <c r="F1604" s="38">
        <f t="shared" si="261"/>
        <v>20621.214938780653</v>
      </c>
      <c r="G1604" s="34">
        <f t="shared" si="262"/>
        <v>16</v>
      </c>
      <c r="H1604" s="34">
        <f t="shared" si="263"/>
        <v>4</v>
      </c>
      <c r="I1604" s="34" t="str">
        <f t="shared" si="265"/>
        <v/>
      </c>
      <c r="J1604" s="34" t="str">
        <f t="shared" si="265"/>
        <v/>
      </c>
      <c r="K1604" s="34" t="str">
        <f t="shared" si="265"/>
        <v/>
      </c>
      <c r="L1604" s="34" t="str">
        <f t="shared" si="265"/>
        <v/>
      </c>
      <c r="M1604" s="34" t="str">
        <f t="shared" si="265"/>
        <v/>
      </c>
      <c r="N1604" s="34" t="str">
        <f t="shared" si="265"/>
        <v/>
      </c>
      <c r="O1604" s="34" t="str">
        <f t="shared" si="265"/>
        <v/>
      </c>
      <c r="P1604" s="34">
        <f t="shared" si="265"/>
        <v>84</v>
      </c>
      <c r="Q1604" s="34">
        <f t="shared" si="265"/>
        <v>88</v>
      </c>
      <c r="R1604" s="34">
        <f t="shared" si="265"/>
        <v>100</v>
      </c>
      <c r="S1604" s="35">
        <f t="shared" si="264"/>
        <v>84</v>
      </c>
    </row>
    <row r="1605" spans="2:19" hidden="1" outlineLevel="1">
      <c r="B1605" s="14" t="s">
        <v>116</v>
      </c>
      <c r="C1605" s="15" t="s">
        <v>66</v>
      </c>
      <c r="D1605" s="52">
        <v>2048</v>
      </c>
      <c r="E1605" s="34">
        <v>10</v>
      </c>
      <c r="F1605" s="38">
        <f t="shared" si="261"/>
        <v>20621.214938780653</v>
      </c>
      <c r="G1605" s="34">
        <f t="shared" si="262"/>
        <v>16</v>
      </c>
      <c r="H1605" s="34">
        <f t="shared" si="263"/>
        <v>4</v>
      </c>
      <c r="I1605" s="34" t="str">
        <f t="shared" si="265"/>
        <v/>
      </c>
      <c r="J1605" s="34" t="str">
        <f t="shared" si="265"/>
        <v/>
      </c>
      <c r="K1605" s="34" t="str">
        <f t="shared" si="265"/>
        <v/>
      </c>
      <c r="L1605" s="34" t="str">
        <f t="shared" si="265"/>
        <v/>
      </c>
      <c r="M1605" s="34" t="str">
        <f t="shared" si="265"/>
        <v/>
      </c>
      <c r="N1605" s="34" t="str">
        <f t="shared" si="265"/>
        <v/>
      </c>
      <c r="O1605" s="34" t="str">
        <f t="shared" si="265"/>
        <v/>
      </c>
      <c r="P1605" s="34">
        <f t="shared" si="265"/>
        <v>84</v>
      </c>
      <c r="Q1605" s="34">
        <f t="shared" si="265"/>
        <v>87</v>
      </c>
      <c r="R1605" s="34">
        <f t="shared" si="265"/>
        <v>99</v>
      </c>
      <c r="S1605" s="35">
        <f t="shared" si="264"/>
        <v>84</v>
      </c>
    </row>
    <row r="1606" spans="2:19" hidden="1" outlineLevel="1">
      <c r="B1606" s="14" t="s">
        <v>116</v>
      </c>
      <c r="C1606" s="15" t="s">
        <v>66</v>
      </c>
      <c r="D1606" s="52">
        <v>2048</v>
      </c>
      <c r="E1606" s="34">
        <v>11</v>
      </c>
      <c r="F1606" s="38">
        <f t="shared" si="261"/>
        <v>20621.214938780653</v>
      </c>
      <c r="G1606" s="34">
        <f t="shared" si="262"/>
        <v>16</v>
      </c>
      <c r="H1606" s="34">
        <f t="shared" si="263"/>
        <v>4</v>
      </c>
      <c r="I1606" s="34" t="str">
        <f t="shared" si="265"/>
        <v/>
      </c>
      <c r="J1606" s="34" t="str">
        <f t="shared" si="265"/>
        <v/>
      </c>
      <c r="K1606" s="34" t="str">
        <f t="shared" si="265"/>
        <v/>
      </c>
      <c r="L1606" s="34" t="str">
        <f t="shared" si="265"/>
        <v/>
      </c>
      <c r="M1606" s="34" t="str">
        <f t="shared" si="265"/>
        <v/>
      </c>
      <c r="N1606" s="34" t="str">
        <f t="shared" si="265"/>
        <v/>
      </c>
      <c r="O1606" s="34" t="str">
        <f t="shared" si="265"/>
        <v/>
      </c>
      <c r="P1606" s="34">
        <f t="shared" si="265"/>
        <v>84</v>
      </c>
      <c r="Q1606" s="34">
        <f t="shared" si="265"/>
        <v>86</v>
      </c>
      <c r="R1606" s="34">
        <f t="shared" si="265"/>
        <v>98</v>
      </c>
      <c r="S1606" s="35">
        <f t="shared" si="264"/>
        <v>84</v>
      </c>
    </row>
    <row r="1607" spans="2:19" hidden="1" outlineLevel="1">
      <c r="B1607" s="14" t="s">
        <v>116</v>
      </c>
      <c r="C1607" s="15" t="s">
        <v>66</v>
      </c>
      <c r="D1607" s="52">
        <v>2048</v>
      </c>
      <c r="E1607" s="34">
        <v>12</v>
      </c>
      <c r="F1607" s="38">
        <f t="shared" si="261"/>
        <v>20621.214938780653</v>
      </c>
      <c r="G1607" s="34">
        <f t="shared" si="262"/>
        <v>16</v>
      </c>
      <c r="H1607" s="34">
        <f t="shared" si="263"/>
        <v>4</v>
      </c>
      <c r="I1607" s="34" t="str">
        <f t="shared" si="265"/>
        <v/>
      </c>
      <c r="J1607" s="34" t="str">
        <f t="shared" si="265"/>
        <v/>
      </c>
      <c r="K1607" s="34" t="str">
        <f t="shared" si="265"/>
        <v/>
      </c>
      <c r="L1607" s="34" t="str">
        <f t="shared" si="265"/>
        <v/>
      </c>
      <c r="M1607" s="34" t="str">
        <f t="shared" si="265"/>
        <v/>
      </c>
      <c r="N1607" s="34" t="str">
        <f t="shared" si="265"/>
        <v/>
      </c>
      <c r="O1607" s="34" t="str">
        <f t="shared" si="265"/>
        <v/>
      </c>
      <c r="P1607" s="34">
        <f t="shared" si="265"/>
        <v>84</v>
      </c>
      <c r="Q1607" s="34">
        <f t="shared" si="265"/>
        <v>85</v>
      </c>
      <c r="R1607" s="34">
        <f t="shared" si="265"/>
        <v>97</v>
      </c>
      <c r="S1607" s="35">
        <f t="shared" si="264"/>
        <v>84</v>
      </c>
    </row>
    <row r="1608" spans="2:19" hidden="1" outlineLevel="1">
      <c r="B1608" s="14" t="s">
        <v>116</v>
      </c>
      <c r="C1608" s="15" t="s">
        <v>66</v>
      </c>
      <c r="D1608" s="52">
        <v>2049</v>
      </c>
      <c r="E1608" s="34">
        <v>1</v>
      </c>
      <c r="F1608" s="38">
        <f t="shared" si="261"/>
        <v>20655.417973689775</v>
      </c>
      <c r="G1608" s="34">
        <f t="shared" si="262"/>
        <v>16</v>
      </c>
      <c r="H1608" s="34">
        <f t="shared" si="263"/>
        <v>4</v>
      </c>
      <c r="I1608" s="34" t="str">
        <f t="shared" si="265"/>
        <v/>
      </c>
      <c r="J1608" s="34" t="str">
        <f t="shared" si="265"/>
        <v/>
      </c>
      <c r="K1608" s="34" t="str">
        <f t="shared" si="265"/>
        <v/>
      </c>
      <c r="L1608" s="34" t="str">
        <f t="shared" si="265"/>
        <v/>
      </c>
      <c r="M1608" s="34" t="str">
        <f t="shared" si="265"/>
        <v/>
      </c>
      <c r="N1608" s="34" t="str">
        <f t="shared" si="265"/>
        <v/>
      </c>
      <c r="O1608" s="34" t="str">
        <f t="shared" si="265"/>
        <v/>
      </c>
      <c r="P1608" s="34">
        <f t="shared" si="265"/>
        <v>84</v>
      </c>
      <c r="Q1608" s="34">
        <f t="shared" si="265"/>
        <v>96</v>
      </c>
      <c r="R1608" s="34">
        <f t="shared" si="265"/>
        <v>108</v>
      </c>
      <c r="S1608" s="35">
        <f t="shared" si="264"/>
        <v>84</v>
      </c>
    </row>
    <row r="1609" spans="2:19" hidden="1" outlineLevel="1">
      <c r="B1609" s="14" t="s">
        <v>116</v>
      </c>
      <c r="C1609" s="15" t="s">
        <v>66</v>
      </c>
      <c r="D1609" s="52">
        <v>2049</v>
      </c>
      <c r="E1609" s="34">
        <v>2</v>
      </c>
      <c r="F1609" s="38">
        <f t="shared" si="261"/>
        <v>20655.417973689775</v>
      </c>
      <c r="G1609" s="34">
        <f t="shared" si="262"/>
        <v>16</v>
      </c>
      <c r="H1609" s="34">
        <f t="shared" si="263"/>
        <v>4</v>
      </c>
      <c r="I1609" s="34" t="str">
        <f t="shared" si="265"/>
        <v/>
      </c>
      <c r="J1609" s="34" t="str">
        <f t="shared" si="265"/>
        <v/>
      </c>
      <c r="K1609" s="34" t="str">
        <f t="shared" si="265"/>
        <v/>
      </c>
      <c r="L1609" s="34" t="str">
        <f t="shared" si="265"/>
        <v/>
      </c>
      <c r="M1609" s="34" t="str">
        <f t="shared" si="265"/>
        <v/>
      </c>
      <c r="N1609" s="34" t="str">
        <f t="shared" si="265"/>
        <v/>
      </c>
      <c r="O1609" s="34" t="str">
        <f t="shared" si="265"/>
        <v/>
      </c>
      <c r="P1609" s="34">
        <f t="shared" si="265"/>
        <v>84</v>
      </c>
      <c r="Q1609" s="34">
        <f t="shared" si="265"/>
        <v>95</v>
      </c>
      <c r="R1609" s="34">
        <f t="shared" si="265"/>
        <v>107</v>
      </c>
      <c r="S1609" s="35">
        <f t="shared" si="264"/>
        <v>84</v>
      </c>
    </row>
    <row r="1610" spans="2:19" hidden="1" outlineLevel="1">
      <c r="B1610" s="14" t="s">
        <v>116</v>
      </c>
      <c r="C1610" s="15" t="s">
        <v>66</v>
      </c>
      <c r="D1610" s="52">
        <v>2049</v>
      </c>
      <c r="E1610" s="34">
        <v>3</v>
      </c>
      <c r="F1610" s="38">
        <f t="shared" si="261"/>
        <v>20655.417973689775</v>
      </c>
      <c r="G1610" s="34">
        <f t="shared" si="262"/>
        <v>16</v>
      </c>
      <c r="H1610" s="34">
        <f t="shared" si="263"/>
        <v>4</v>
      </c>
      <c r="I1610" s="34" t="str">
        <f t="shared" ref="I1610:R1619" si="266">IF($D1610&lt;$Z$18,"",IF(MAX($G1610,INDEX($C$65:$F$108,$D1610+I$119-2026,$H1610))&lt;=12*I$119-$E1610+12,MAX($G1610,12*I$119-$E1610+1,INDEX($C$65:$F$108,$D1610+I$119-2026,$H1610)),""))</f>
        <v/>
      </c>
      <c r="J1610" s="34" t="str">
        <f t="shared" si="266"/>
        <v/>
      </c>
      <c r="K1610" s="34" t="str">
        <f t="shared" si="266"/>
        <v/>
      </c>
      <c r="L1610" s="34" t="str">
        <f t="shared" si="266"/>
        <v/>
      </c>
      <c r="M1610" s="34" t="str">
        <f t="shared" si="266"/>
        <v/>
      </c>
      <c r="N1610" s="34" t="str">
        <f t="shared" si="266"/>
        <v/>
      </c>
      <c r="O1610" s="34" t="str">
        <f t="shared" si="266"/>
        <v/>
      </c>
      <c r="P1610" s="34">
        <f t="shared" si="266"/>
        <v>84</v>
      </c>
      <c r="Q1610" s="34">
        <f t="shared" si="266"/>
        <v>94</v>
      </c>
      <c r="R1610" s="34">
        <f t="shared" si="266"/>
        <v>106</v>
      </c>
      <c r="S1610" s="35">
        <f t="shared" si="264"/>
        <v>84</v>
      </c>
    </row>
    <row r="1611" spans="2:19" hidden="1" outlineLevel="1">
      <c r="B1611" s="14" t="s">
        <v>116</v>
      </c>
      <c r="C1611" s="15" t="s">
        <v>66</v>
      </c>
      <c r="D1611" s="52">
        <v>2049</v>
      </c>
      <c r="E1611" s="34">
        <v>4</v>
      </c>
      <c r="F1611" s="38">
        <f t="shared" si="261"/>
        <v>20655.417973689775</v>
      </c>
      <c r="G1611" s="34">
        <f t="shared" si="262"/>
        <v>16</v>
      </c>
      <c r="H1611" s="34">
        <f t="shared" si="263"/>
        <v>4</v>
      </c>
      <c r="I1611" s="34" t="str">
        <f t="shared" si="266"/>
        <v/>
      </c>
      <c r="J1611" s="34" t="str">
        <f t="shared" si="266"/>
        <v/>
      </c>
      <c r="K1611" s="34" t="str">
        <f t="shared" si="266"/>
        <v/>
      </c>
      <c r="L1611" s="34" t="str">
        <f t="shared" si="266"/>
        <v/>
      </c>
      <c r="M1611" s="34" t="str">
        <f t="shared" si="266"/>
        <v/>
      </c>
      <c r="N1611" s="34" t="str">
        <f t="shared" si="266"/>
        <v/>
      </c>
      <c r="O1611" s="34" t="str">
        <f t="shared" si="266"/>
        <v/>
      </c>
      <c r="P1611" s="34">
        <f t="shared" si="266"/>
        <v>84</v>
      </c>
      <c r="Q1611" s="34">
        <f t="shared" si="266"/>
        <v>93</v>
      </c>
      <c r="R1611" s="34">
        <f t="shared" si="266"/>
        <v>105</v>
      </c>
      <c r="S1611" s="35">
        <f t="shared" si="264"/>
        <v>84</v>
      </c>
    </row>
    <row r="1612" spans="2:19" hidden="1" outlineLevel="1">
      <c r="B1612" s="14" t="s">
        <v>116</v>
      </c>
      <c r="C1612" s="15" t="s">
        <v>66</v>
      </c>
      <c r="D1612" s="52">
        <v>2049</v>
      </c>
      <c r="E1612" s="34">
        <v>5</v>
      </c>
      <c r="F1612" s="38">
        <f t="shared" si="261"/>
        <v>20655.417973689775</v>
      </c>
      <c r="G1612" s="34">
        <f t="shared" si="262"/>
        <v>16</v>
      </c>
      <c r="H1612" s="34">
        <f t="shared" si="263"/>
        <v>4</v>
      </c>
      <c r="I1612" s="34" t="str">
        <f t="shared" si="266"/>
        <v/>
      </c>
      <c r="J1612" s="34" t="str">
        <f t="shared" si="266"/>
        <v/>
      </c>
      <c r="K1612" s="34" t="str">
        <f t="shared" si="266"/>
        <v/>
      </c>
      <c r="L1612" s="34" t="str">
        <f t="shared" si="266"/>
        <v/>
      </c>
      <c r="M1612" s="34" t="str">
        <f t="shared" si="266"/>
        <v/>
      </c>
      <c r="N1612" s="34" t="str">
        <f t="shared" si="266"/>
        <v/>
      </c>
      <c r="O1612" s="34" t="str">
        <f t="shared" si="266"/>
        <v/>
      </c>
      <c r="P1612" s="34">
        <f t="shared" si="266"/>
        <v>84</v>
      </c>
      <c r="Q1612" s="34">
        <f t="shared" si="266"/>
        <v>92</v>
      </c>
      <c r="R1612" s="34">
        <f t="shared" si="266"/>
        <v>104</v>
      </c>
      <c r="S1612" s="35">
        <f t="shared" si="264"/>
        <v>84</v>
      </c>
    </row>
    <row r="1613" spans="2:19" hidden="1" outlineLevel="1">
      <c r="B1613" s="14" t="s">
        <v>116</v>
      </c>
      <c r="C1613" s="15" t="s">
        <v>66</v>
      </c>
      <c r="D1613" s="52">
        <v>2049</v>
      </c>
      <c r="E1613" s="34">
        <v>6</v>
      </c>
      <c r="F1613" s="38">
        <f t="shared" si="261"/>
        <v>20655.417973689775</v>
      </c>
      <c r="G1613" s="34">
        <f t="shared" si="262"/>
        <v>16</v>
      </c>
      <c r="H1613" s="34">
        <f t="shared" si="263"/>
        <v>4</v>
      </c>
      <c r="I1613" s="34" t="str">
        <f t="shared" si="266"/>
        <v/>
      </c>
      <c r="J1613" s="34" t="str">
        <f t="shared" si="266"/>
        <v/>
      </c>
      <c r="K1613" s="34" t="str">
        <f t="shared" si="266"/>
        <v/>
      </c>
      <c r="L1613" s="34" t="str">
        <f t="shared" si="266"/>
        <v/>
      </c>
      <c r="M1613" s="34" t="str">
        <f t="shared" si="266"/>
        <v/>
      </c>
      <c r="N1613" s="34" t="str">
        <f t="shared" si="266"/>
        <v/>
      </c>
      <c r="O1613" s="34" t="str">
        <f t="shared" si="266"/>
        <v/>
      </c>
      <c r="P1613" s="34">
        <f t="shared" si="266"/>
        <v>84</v>
      </c>
      <c r="Q1613" s="34">
        <f t="shared" si="266"/>
        <v>91</v>
      </c>
      <c r="R1613" s="34">
        <f t="shared" si="266"/>
        <v>103</v>
      </c>
      <c r="S1613" s="35">
        <f t="shared" si="264"/>
        <v>84</v>
      </c>
    </row>
    <row r="1614" spans="2:19" hidden="1" outlineLevel="1">
      <c r="B1614" s="14" t="s">
        <v>116</v>
      </c>
      <c r="C1614" s="15" t="s">
        <v>66</v>
      </c>
      <c r="D1614" s="52">
        <v>2049</v>
      </c>
      <c r="E1614" s="34">
        <v>7</v>
      </c>
      <c r="F1614" s="38">
        <f t="shared" si="261"/>
        <v>20655.417973689775</v>
      </c>
      <c r="G1614" s="34">
        <f t="shared" si="262"/>
        <v>16</v>
      </c>
      <c r="H1614" s="34">
        <f t="shared" si="263"/>
        <v>4</v>
      </c>
      <c r="I1614" s="34" t="str">
        <f t="shared" si="266"/>
        <v/>
      </c>
      <c r="J1614" s="34" t="str">
        <f t="shared" si="266"/>
        <v/>
      </c>
      <c r="K1614" s="34" t="str">
        <f t="shared" si="266"/>
        <v/>
      </c>
      <c r="L1614" s="34" t="str">
        <f t="shared" si="266"/>
        <v/>
      </c>
      <c r="M1614" s="34" t="str">
        <f t="shared" si="266"/>
        <v/>
      </c>
      <c r="N1614" s="34" t="str">
        <f t="shared" si="266"/>
        <v/>
      </c>
      <c r="O1614" s="34" t="str">
        <f t="shared" si="266"/>
        <v/>
      </c>
      <c r="P1614" s="34">
        <f t="shared" si="266"/>
        <v>84</v>
      </c>
      <c r="Q1614" s="34">
        <f t="shared" si="266"/>
        <v>90</v>
      </c>
      <c r="R1614" s="34">
        <f t="shared" si="266"/>
        <v>102</v>
      </c>
      <c r="S1614" s="35">
        <f t="shared" si="264"/>
        <v>84</v>
      </c>
    </row>
    <row r="1615" spans="2:19" hidden="1" outlineLevel="1">
      <c r="B1615" s="14" t="s">
        <v>116</v>
      </c>
      <c r="C1615" s="15" t="s">
        <v>66</v>
      </c>
      <c r="D1615" s="52">
        <v>2049</v>
      </c>
      <c r="E1615" s="34">
        <v>8</v>
      </c>
      <c r="F1615" s="38">
        <f t="shared" si="261"/>
        <v>20655.417973689775</v>
      </c>
      <c r="G1615" s="34">
        <f t="shared" si="262"/>
        <v>16</v>
      </c>
      <c r="H1615" s="34">
        <f t="shared" si="263"/>
        <v>4</v>
      </c>
      <c r="I1615" s="34" t="str">
        <f t="shared" si="266"/>
        <v/>
      </c>
      <c r="J1615" s="34" t="str">
        <f t="shared" si="266"/>
        <v/>
      </c>
      <c r="K1615" s="34" t="str">
        <f t="shared" si="266"/>
        <v/>
      </c>
      <c r="L1615" s="34" t="str">
        <f t="shared" si="266"/>
        <v/>
      </c>
      <c r="M1615" s="34" t="str">
        <f t="shared" si="266"/>
        <v/>
      </c>
      <c r="N1615" s="34" t="str">
        <f t="shared" si="266"/>
        <v/>
      </c>
      <c r="O1615" s="34" t="str">
        <f t="shared" si="266"/>
        <v/>
      </c>
      <c r="P1615" s="34">
        <f t="shared" si="266"/>
        <v>84</v>
      </c>
      <c r="Q1615" s="34">
        <f t="shared" si="266"/>
        <v>89</v>
      </c>
      <c r="R1615" s="34">
        <f t="shared" si="266"/>
        <v>101</v>
      </c>
      <c r="S1615" s="35">
        <f t="shared" si="264"/>
        <v>84</v>
      </c>
    </row>
    <row r="1616" spans="2:19" hidden="1" outlineLevel="1">
      <c r="B1616" s="14" t="s">
        <v>116</v>
      </c>
      <c r="C1616" s="15" t="s">
        <v>66</v>
      </c>
      <c r="D1616" s="52">
        <v>2049</v>
      </c>
      <c r="E1616" s="34">
        <v>9</v>
      </c>
      <c r="F1616" s="38">
        <f t="shared" si="261"/>
        <v>20655.417973689775</v>
      </c>
      <c r="G1616" s="34">
        <f t="shared" si="262"/>
        <v>16</v>
      </c>
      <c r="H1616" s="34">
        <f t="shared" si="263"/>
        <v>4</v>
      </c>
      <c r="I1616" s="34" t="str">
        <f t="shared" si="266"/>
        <v/>
      </c>
      <c r="J1616" s="34" t="str">
        <f t="shared" si="266"/>
        <v/>
      </c>
      <c r="K1616" s="34" t="str">
        <f t="shared" si="266"/>
        <v/>
      </c>
      <c r="L1616" s="34" t="str">
        <f t="shared" si="266"/>
        <v/>
      </c>
      <c r="M1616" s="34" t="str">
        <f t="shared" si="266"/>
        <v/>
      </c>
      <c r="N1616" s="34" t="str">
        <f t="shared" si="266"/>
        <v/>
      </c>
      <c r="O1616" s="34" t="str">
        <f t="shared" si="266"/>
        <v/>
      </c>
      <c r="P1616" s="34">
        <f t="shared" si="266"/>
        <v>84</v>
      </c>
      <c r="Q1616" s="34">
        <f t="shared" si="266"/>
        <v>88</v>
      </c>
      <c r="R1616" s="34">
        <f t="shared" si="266"/>
        <v>100</v>
      </c>
      <c r="S1616" s="35">
        <f t="shared" si="264"/>
        <v>84</v>
      </c>
    </row>
    <row r="1617" spans="2:19" hidden="1" outlineLevel="1">
      <c r="B1617" s="14" t="s">
        <v>116</v>
      </c>
      <c r="C1617" s="15" t="s">
        <v>66</v>
      </c>
      <c r="D1617" s="52">
        <v>2049</v>
      </c>
      <c r="E1617" s="34">
        <v>10</v>
      </c>
      <c r="F1617" s="38">
        <f t="shared" si="261"/>
        <v>20655.417973689775</v>
      </c>
      <c r="G1617" s="34">
        <f t="shared" si="262"/>
        <v>16</v>
      </c>
      <c r="H1617" s="34">
        <f t="shared" si="263"/>
        <v>4</v>
      </c>
      <c r="I1617" s="34" t="str">
        <f t="shared" si="266"/>
        <v/>
      </c>
      <c r="J1617" s="34" t="str">
        <f t="shared" si="266"/>
        <v/>
      </c>
      <c r="K1617" s="34" t="str">
        <f t="shared" si="266"/>
        <v/>
      </c>
      <c r="L1617" s="34" t="str">
        <f t="shared" si="266"/>
        <v/>
      </c>
      <c r="M1617" s="34" t="str">
        <f t="shared" si="266"/>
        <v/>
      </c>
      <c r="N1617" s="34" t="str">
        <f t="shared" si="266"/>
        <v/>
      </c>
      <c r="O1617" s="34" t="str">
        <f t="shared" si="266"/>
        <v/>
      </c>
      <c r="P1617" s="34">
        <f t="shared" si="266"/>
        <v>84</v>
      </c>
      <c r="Q1617" s="34">
        <f t="shared" si="266"/>
        <v>87</v>
      </c>
      <c r="R1617" s="34">
        <f t="shared" si="266"/>
        <v>99</v>
      </c>
      <c r="S1617" s="35">
        <f t="shared" si="264"/>
        <v>84</v>
      </c>
    </row>
    <row r="1618" spans="2:19" hidden="1" outlineLevel="1">
      <c r="B1618" s="14" t="s">
        <v>116</v>
      </c>
      <c r="C1618" s="15" t="s">
        <v>66</v>
      </c>
      <c r="D1618" s="52">
        <v>2049</v>
      </c>
      <c r="E1618" s="34">
        <v>11</v>
      </c>
      <c r="F1618" s="38">
        <f t="shared" si="261"/>
        <v>20655.417973689775</v>
      </c>
      <c r="G1618" s="34">
        <f t="shared" si="262"/>
        <v>16</v>
      </c>
      <c r="H1618" s="34">
        <f t="shared" si="263"/>
        <v>4</v>
      </c>
      <c r="I1618" s="34" t="str">
        <f t="shared" si="266"/>
        <v/>
      </c>
      <c r="J1618" s="34" t="str">
        <f t="shared" si="266"/>
        <v/>
      </c>
      <c r="K1618" s="34" t="str">
        <f t="shared" si="266"/>
        <v/>
      </c>
      <c r="L1618" s="34" t="str">
        <f t="shared" si="266"/>
        <v/>
      </c>
      <c r="M1618" s="34" t="str">
        <f t="shared" si="266"/>
        <v/>
      </c>
      <c r="N1618" s="34" t="str">
        <f t="shared" si="266"/>
        <v/>
      </c>
      <c r="O1618" s="34" t="str">
        <f t="shared" si="266"/>
        <v/>
      </c>
      <c r="P1618" s="34">
        <f t="shared" si="266"/>
        <v>84</v>
      </c>
      <c r="Q1618" s="34">
        <f t="shared" si="266"/>
        <v>86</v>
      </c>
      <c r="R1618" s="34">
        <f t="shared" si="266"/>
        <v>98</v>
      </c>
      <c r="S1618" s="35">
        <f t="shared" si="264"/>
        <v>84</v>
      </c>
    </row>
    <row r="1619" spans="2:19" hidden="1" outlineLevel="1">
      <c r="B1619" s="14" t="s">
        <v>116</v>
      </c>
      <c r="C1619" s="15" t="s">
        <v>66</v>
      </c>
      <c r="D1619" s="52">
        <v>2049</v>
      </c>
      <c r="E1619" s="34">
        <v>12</v>
      </c>
      <c r="F1619" s="38">
        <f t="shared" si="261"/>
        <v>20655.417973689775</v>
      </c>
      <c r="G1619" s="34">
        <f t="shared" si="262"/>
        <v>16</v>
      </c>
      <c r="H1619" s="34">
        <f t="shared" si="263"/>
        <v>4</v>
      </c>
      <c r="I1619" s="34" t="str">
        <f t="shared" si="266"/>
        <v/>
      </c>
      <c r="J1619" s="34" t="str">
        <f t="shared" si="266"/>
        <v/>
      </c>
      <c r="K1619" s="34" t="str">
        <f t="shared" si="266"/>
        <v/>
      </c>
      <c r="L1619" s="34" t="str">
        <f t="shared" si="266"/>
        <v/>
      </c>
      <c r="M1619" s="34" t="str">
        <f t="shared" si="266"/>
        <v/>
      </c>
      <c r="N1619" s="34" t="str">
        <f t="shared" si="266"/>
        <v/>
      </c>
      <c r="O1619" s="34" t="str">
        <f t="shared" si="266"/>
        <v/>
      </c>
      <c r="P1619" s="34">
        <f t="shared" si="266"/>
        <v>84</v>
      </c>
      <c r="Q1619" s="34">
        <f t="shared" si="266"/>
        <v>85</v>
      </c>
      <c r="R1619" s="34">
        <f t="shared" si="266"/>
        <v>97</v>
      </c>
      <c r="S1619" s="35">
        <f t="shared" si="264"/>
        <v>84</v>
      </c>
    </row>
    <row r="1620" spans="2:19" hidden="1" outlineLevel="1">
      <c r="B1620" s="14" t="s">
        <v>116</v>
      </c>
      <c r="C1620" s="15" t="s">
        <v>66</v>
      </c>
      <c r="D1620" s="52">
        <v>2050</v>
      </c>
      <c r="E1620" s="34">
        <v>1</v>
      </c>
      <c r="F1620" s="38">
        <f t="shared" si="261"/>
        <v>20675.283702792512</v>
      </c>
      <c r="G1620" s="34">
        <f t="shared" si="262"/>
        <v>16</v>
      </c>
      <c r="H1620" s="34">
        <f t="shared" si="263"/>
        <v>4</v>
      </c>
      <c r="I1620" s="34" t="str">
        <f t="shared" ref="I1620:R1629" si="267">IF($D1620&lt;$Z$18,"",IF(MAX($G1620,INDEX($C$65:$F$108,$D1620+I$119-2026,$H1620))&lt;=12*I$119-$E1620+12,MAX($G1620,12*I$119-$E1620+1,INDEX($C$65:$F$108,$D1620+I$119-2026,$H1620)),""))</f>
        <v/>
      </c>
      <c r="J1620" s="34" t="str">
        <f t="shared" si="267"/>
        <v/>
      </c>
      <c r="K1620" s="34" t="str">
        <f t="shared" si="267"/>
        <v/>
      </c>
      <c r="L1620" s="34" t="str">
        <f t="shared" si="267"/>
        <v/>
      </c>
      <c r="M1620" s="34" t="str">
        <f t="shared" si="267"/>
        <v/>
      </c>
      <c r="N1620" s="34" t="str">
        <f t="shared" si="267"/>
        <v/>
      </c>
      <c r="O1620" s="34" t="str">
        <f t="shared" si="267"/>
        <v/>
      </c>
      <c r="P1620" s="34">
        <f t="shared" si="267"/>
        <v>84</v>
      </c>
      <c r="Q1620" s="34">
        <f t="shared" si="267"/>
        <v>96</v>
      </c>
      <c r="R1620" s="34">
        <f t="shared" si="267"/>
        <v>108</v>
      </c>
      <c r="S1620" s="35">
        <f t="shared" si="264"/>
        <v>84</v>
      </c>
    </row>
    <row r="1621" spans="2:19" hidden="1" outlineLevel="1">
      <c r="B1621" s="14" t="s">
        <v>116</v>
      </c>
      <c r="C1621" s="15" t="s">
        <v>66</v>
      </c>
      <c r="D1621" s="52">
        <v>2050</v>
      </c>
      <c r="E1621" s="34">
        <v>2</v>
      </c>
      <c r="F1621" s="38">
        <f t="shared" si="261"/>
        <v>20675.283702792512</v>
      </c>
      <c r="G1621" s="34">
        <f t="shared" si="262"/>
        <v>16</v>
      </c>
      <c r="H1621" s="34">
        <f t="shared" si="263"/>
        <v>4</v>
      </c>
      <c r="I1621" s="34" t="str">
        <f t="shared" si="267"/>
        <v/>
      </c>
      <c r="J1621" s="34" t="str">
        <f t="shared" si="267"/>
        <v/>
      </c>
      <c r="K1621" s="34" t="str">
        <f t="shared" si="267"/>
        <v/>
      </c>
      <c r="L1621" s="34" t="str">
        <f t="shared" si="267"/>
        <v/>
      </c>
      <c r="M1621" s="34" t="str">
        <f t="shared" si="267"/>
        <v/>
      </c>
      <c r="N1621" s="34" t="str">
        <f t="shared" si="267"/>
        <v/>
      </c>
      <c r="O1621" s="34" t="str">
        <f t="shared" si="267"/>
        <v/>
      </c>
      <c r="P1621" s="34">
        <f t="shared" si="267"/>
        <v>84</v>
      </c>
      <c r="Q1621" s="34">
        <f t="shared" si="267"/>
        <v>95</v>
      </c>
      <c r="R1621" s="34">
        <f t="shared" si="267"/>
        <v>107</v>
      </c>
      <c r="S1621" s="35">
        <f t="shared" si="264"/>
        <v>84</v>
      </c>
    </row>
    <row r="1622" spans="2:19" hidden="1" outlineLevel="1">
      <c r="B1622" s="14" t="s">
        <v>116</v>
      </c>
      <c r="C1622" s="15" t="s">
        <v>66</v>
      </c>
      <c r="D1622" s="52">
        <v>2050</v>
      </c>
      <c r="E1622" s="34">
        <v>3</v>
      </c>
      <c r="F1622" s="38">
        <f t="shared" si="261"/>
        <v>20675.283702792512</v>
      </c>
      <c r="G1622" s="34">
        <f t="shared" si="262"/>
        <v>16</v>
      </c>
      <c r="H1622" s="34">
        <f t="shared" si="263"/>
        <v>4</v>
      </c>
      <c r="I1622" s="34" t="str">
        <f t="shared" si="267"/>
        <v/>
      </c>
      <c r="J1622" s="34" t="str">
        <f t="shared" si="267"/>
        <v/>
      </c>
      <c r="K1622" s="34" t="str">
        <f t="shared" si="267"/>
        <v/>
      </c>
      <c r="L1622" s="34" t="str">
        <f t="shared" si="267"/>
        <v/>
      </c>
      <c r="M1622" s="34" t="str">
        <f t="shared" si="267"/>
        <v/>
      </c>
      <c r="N1622" s="34" t="str">
        <f t="shared" si="267"/>
        <v/>
      </c>
      <c r="O1622" s="34" t="str">
        <f t="shared" si="267"/>
        <v/>
      </c>
      <c r="P1622" s="34">
        <f t="shared" si="267"/>
        <v>84</v>
      </c>
      <c r="Q1622" s="34">
        <f t="shared" si="267"/>
        <v>94</v>
      </c>
      <c r="R1622" s="34">
        <f t="shared" si="267"/>
        <v>106</v>
      </c>
      <c r="S1622" s="35">
        <f t="shared" si="264"/>
        <v>84</v>
      </c>
    </row>
    <row r="1623" spans="2:19" hidden="1" outlineLevel="1">
      <c r="B1623" s="14" t="s">
        <v>116</v>
      </c>
      <c r="C1623" s="15" t="s">
        <v>66</v>
      </c>
      <c r="D1623" s="52">
        <v>2050</v>
      </c>
      <c r="E1623" s="34">
        <v>4</v>
      </c>
      <c r="F1623" s="38">
        <f t="shared" si="261"/>
        <v>20675.283702792512</v>
      </c>
      <c r="G1623" s="34">
        <f t="shared" si="262"/>
        <v>16</v>
      </c>
      <c r="H1623" s="34">
        <f t="shared" si="263"/>
        <v>4</v>
      </c>
      <c r="I1623" s="34" t="str">
        <f t="shared" si="267"/>
        <v/>
      </c>
      <c r="J1623" s="34" t="str">
        <f t="shared" si="267"/>
        <v/>
      </c>
      <c r="K1623" s="34" t="str">
        <f t="shared" si="267"/>
        <v/>
      </c>
      <c r="L1623" s="34" t="str">
        <f t="shared" si="267"/>
        <v/>
      </c>
      <c r="M1623" s="34" t="str">
        <f t="shared" si="267"/>
        <v/>
      </c>
      <c r="N1623" s="34" t="str">
        <f t="shared" si="267"/>
        <v/>
      </c>
      <c r="O1623" s="34" t="str">
        <f t="shared" si="267"/>
        <v/>
      </c>
      <c r="P1623" s="34">
        <f t="shared" si="267"/>
        <v>84</v>
      </c>
      <c r="Q1623" s="34">
        <f t="shared" si="267"/>
        <v>93</v>
      </c>
      <c r="R1623" s="34">
        <f t="shared" si="267"/>
        <v>105</v>
      </c>
      <c r="S1623" s="35">
        <f t="shared" si="264"/>
        <v>84</v>
      </c>
    </row>
    <row r="1624" spans="2:19" hidden="1" outlineLevel="1">
      <c r="B1624" s="14" t="s">
        <v>116</v>
      </c>
      <c r="C1624" s="15" t="s">
        <v>66</v>
      </c>
      <c r="D1624" s="52">
        <v>2050</v>
      </c>
      <c r="E1624" s="34">
        <v>5</v>
      </c>
      <c r="F1624" s="38">
        <f t="shared" si="261"/>
        <v>20675.283702792512</v>
      </c>
      <c r="G1624" s="34">
        <f t="shared" si="262"/>
        <v>16</v>
      </c>
      <c r="H1624" s="34">
        <f t="shared" si="263"/>
        <v>4</v>
      </c>
      <c r="I1624" s="34" t="str">
        <f t="shared" si="267"/>
        <v/>
      </c>
      <c r="J1624" s="34" t="str">
        <f t="shared" si="267"/>
        <v/>
      </c>
      <c r="K1624" s="34" t="str">
        <f t="shared" si="267"/>
        <v/>
      </c>
      <c r="L1624" s="34" t="str">
        <f t="shared" si="267"/>
        <v/>
      </c>
      <c r="M1624" s="34" t="str">
        <f t="shared" si="267"/>
        <v/>
      </c>
      <c r="N1624" s="34" t="str">
        <f t="shared" si="267"/>
        <v/>
      </c>
      <c r="O1624" s="34" t="str">
        <f t="shared" si="267"/>
        <v/>
      </c>
      <c r="P1624" s="34">
        <f t="shared" si="267"/>
        <v>84</v>
      </c>
      <c r="Q1624" s="34">
        <f t="shared" si="267"/>
        <v>92</v>
      </c>
      <c r="R1624" s="34">
        <f t="shared" si="267"/>
        <v>104</v>
      </c>
      <c r="S1624" s="35">
        <f t="shared" si="264"/>
        <v>84</v>
      </c>
    </row>
    <row r="1625" spans="2:19" hidden="1" outlineLevel="1">
      <c r="B1625" s="14" t="s">
        <v>116</v>
      </c>
      <c r="C1625" s="15" t="s">
        <v>66</v>
      </c>
      <c r="D1625" s="52">
        <v>2050</v>
      </c>
      <c r="E1625" s="34">
        <v>6</v>
      </c>
      <c r="F1625" s="38">
        <f t="shared" si="261"/>
        <v>20675.283702792512</v>
      </c>
      <c r="G1625" s="34">
        <f t="shared" si="262"/>
        <v>16</v>
      </c>
      <c r="H1625" s="34">
        <f t="shared" si="263"/>
        <v>4</v>
      </c>
      <c r="I1625" s="34" t="str">
        <f t="shared" si="267"/>
        <v/>
      </c>
      <c r="J1625" s="34" t="str">
        <f t="shared" si="267"/>
        <v/>
      </c>
      <c r="K1625" s="34" t="str">
        <f t="shared" si="267"/>
        <v/>
      </c>
      <c r="L1625" s="34" t="str">
        <f t="shared" si="267"/>
        <v/>
      </c>
      <c r="M1625" s="34" t="str">
        <f t="shared" si="267"/>
        <v/>
      </c>
      <c r="N1625" s="34" t="str">
        <f t="shared" si="267"/>
        <v/>
      </c>
      <c r="O1625" s="34" t="str">
        <f t="shared" si="267"/>
        <v/>
      </c>
      <c r="P1625" s="34">
        <f t="shared" si="267"/>
        <v>84</v>
      </c>
      <c r="Q1625" s="34">
        <f t="shared" si="267"/>
        <v>91</v>
      </c>
      <c r="R1625" s="34">
        <f t="shared" si="267"/>
        <v>103</v>
      </c>
      <c r="S1625" s="35">
        <f t="shared" si="264"/>
        <v>84</v>
      </c>
    </row>
    <row r="1626" spans="2:19" hidden="1" outlineLevel="1">
      <c r="B1626" s="14" t="s">
        <v>116</v>
      </c>
      <c r="C1626" s="15" t="s">
        <v>66</v>
      </c>
      <c r="D1626" s="52">
        <v>2050</v>
      </c>
      <c r="E1626" s="34">
        <v>7</v>
      </c>
      <c r="F1626" s="38">
        <f t="shared" si="261"/>
        <v>20675.283702792512</v>
      </c>
      <c r="G1626" s="34">
        <f t="shared" si="262"/>
        <v>16</v>
      </c>
      <c r="H1626" s="34">
        <f t="shared" si="263"/>
        <v>4</v>
      </c>
      <c r="I1626" s="34" t="str">
        <f t="shared" si="267"/>
        <v/>
      </c>
      <c r="J1626" s="34" t="str">
        <f t="shared" si="267"/>
        <v/>
      </c>
      <c r="K1626" s="34" t="str">
        <f t="shared" si="267"/>
        <v/>
      </c>
      <c r="L1626" s="34" t="str">
        <f t="shared" si="267"/>
        <v/>
      </c>
      <c r="M1626" s="34" t="str">
        <f t="shared" si="267"/>
        <v/>
      </c>
      <c r="N1626" s="34" t="str">
        <f t="shared" si="267"/>
        <v/>
      </c>
      <c r="O1626" s="34" t="str">
        <f t="shared" si="267"/>
        <v/>
      </c>
      <c r="P1626" s="34">
        <f t="shared" si="267"/>
        <v>84</v>
      </c>
      <c r="Q1626" s="34">
        <f t="shared" si="267"/>
        <v>90</v>
      </c>
      <c r="R1626" s="34">
        <f t="shared" si="267"/>
        <v>102</v>
      </c>
      <c r="S1626" s="35">
        <f t="shared" si="264"/>
        <v>84</v>
      </c>
    </row>
    <row r="1627" spans="2:19" hidden="1" outlineLevel="1">
      <c r="B1627" s="14" t="s">
        <v>116</v>
      </c>
      <c r="C1627" s="15" t="s">
        <v>66</v>
      </c>
      <c r="D1627" s="52">
        <v>2050</v>
      </c>
      <c r="E1627" s="34">
        <v>8</v>
      </c>
      <c r="F1627" s="38">
        <f t="shared" si="261"/>
        <v>20675.283702792512</v>
      </c>
      <c r="G1627" s="34">
        <f t="shared" si="262"/>
        <v>16</v>
      </c>
      <c r="H1627" s="34">
        <f t="shared" si="263"/>
        <v>4</v>
      </c>
      <c r="I1627" s="34" t="str">
        <f t="shared" si="267"/>
        <v/>
      </c>
      <c r="J1627" s="34" t="str">
        <f t="shared" si="267"/>
        <v/>
      </c>
      <c r="K1627" s="34" t="str">
        <f t="shared" si="267"/>
        <v/>
      </c>
      <c r="L1627" s="34" t="str">
        <f t="shared" si="267"/>
        <v/>
      </c>
      <c r="M1627" s="34" t="str">
        <f t="shared" si="267"/>
        <v/>
      </c>
      <c r="N1627" s="34" t="str">
        <f t="shared" si="267"/>
        <v/>
      </c>
      <c r="O1627" s="34" t="str">
        <f t="shared" si="267"/>
        <v/>
      </c>
      <c r="P1627" s="34">
        <f t="shared" si="267"/>
        <v>84</v>
      </c>
      <c r="Q1627" s="34">
        <f t="shared" si="267"/>
        <v>89</v>
      </c>
      <c r="R1627" s="34">
        <f t="shared" si="267"/>
        <v>101</v>
      </c>
      <c r="S1627" s="35">
        <f t="shared" si="264"/>
        <v>84</v>
      </c>
    </row>
    <row r="1628" spans="2:19" hidden="1" outlineLevel="1">
      <c r="B1628" s="14" t="s">
        <v>116</v>
      </c>
      <c r="C1628" s="15" t="s">
        <v>66</v>
      </c>
      <c r="D1628" s="52">
        <v>2050</v>
      </c>
      <c r="E1628" s="34">
        <v>9</v>
      </c>
      <c r="F1628" s="38">
        <f t="shared" si="261"/>
        <v>20675.283702792512</v>
      </c>
      <c r="G1628" s="34">
        <f t="shared" si="262"/>
        <v>16</v>
      </c>
      <c r="H1628" s="34">
        <f t="shared" si="263"/>
        <v>4</v>
      </c>
      <c r="I1628" s="34" t="str">
        <f t="shared" si="267"/>
        <v/>
      </c>
      <c r="J1628" s="34" t="str">
        <f t="shared" si="267"/>
        <v/>
      </c>
      <c r="K1628" s="34" t="str">
        <f t="shared" si="267"/>
        <v/>
      </c>
      <c r="L1628" s="34" t="str">
        <f t="shared" si="267"/>
        <v/>
      </c>
      <c r="M1628" s="34" t="str">
        <f t="shared" si="267"/>
        <v/>
      </c>
      <c r="N1628" s="34" t="str">
        <f t="shared" si="267"/>
        <v/>
      </c>
      <c r="O1628" s="34" t="str">
        <f t="shared" si="267"/>
        <v/>
      </c>
      <c r="P1628" s="34">
        <f t="shared" si="267"/>
        <v>84</v>
      </c>
      <c r="Q1628" s="34">
        <f t="shared" si="267"/>
        <v>88</v>
      </c>
      <c r="R1628" s="34">
        <f t="shared" si="267"/>
        <v>100</v>
      </c>
      <c r="S1628" s="35">
        <f t="shared" si="264"/>
        <v>84</v>
      </c>
    </row>
    <row r="1629" spans="2:19" hidden="1" outlineLevel="1">
      <c r="B1629" s="14" t="s">
        <v>116</v>
      </c>
      <c r="C1629" s="15" t="s">
        <v>66</v>
      </c>
      <c r="D1629" s="52">
        <v>2050</v>
      </c>
      <c r="E1629" s="34">
        <v>10</v>
      </c>
      <c r="F1629" s="38">
        <f t="shared" si="261"/>
        <v>20675.283702792512</v>
      </c>
      <c r="G1629" s="34">
        <f t="shared" si="262"/>
        <v>16</v>
      </c>
      <c r="H1629" s="34">
        <f t="shared" si="263"/>
        <v>4</v>
      </c>
      <c r="I1629" s="34" t="str">
        <f t="shared" si="267"/>
        <v/>
      </c>
      <c r="J1629" s="34" t="str">
        <f t="shared" si="267"/>
        <v/>
      </c>
      <c r="K1629" s="34" t="str">
        <f t="shared" si="267"/>
        <v/>
      </c>
      <c r="L1629" s="34" t="str">
        <f t="shared" si="267"/>
        <v/>
      </c>
      <c r="M1629" s="34" t="str">
        <f t="shared" si="267"/>
        <v/>
      </c>
      <c r="N1629" s="34" t="str">
        <f t="shared" si="267"/>
        <v/>
      </c>
      <c r="O1629" s="34" t="str">
        <f t="shared" si="267"/>
        <v/>
      </c>
      <c r="P1629" s="34">
        <f t="shared" si="267"/>
        <v>84</v>
      </c>
      <c r="Q1629" s="34">
        <f t="shared" si="267"/>
        <v>87</v>
      </c>
      <c r="R1629" s="34">
        <f t="shared" si="267"/>
        <v>99</v>
      </c>
      <c r="S1629" s="35">
        <f t="shared" si="264"/>
        <v>84</v>
      </c>
    </row>
    <row r="1630" spans="2:19" hidden="1" outlineLevel="1">
      <c r="B1630" s="14" t="s">
        <v>116</v>
      </c>
      <c r="C1630" s="15" t="s">
        <v>66</v>
      </c>
      <c r="D1630" s="52">
        <v>2050</v>
      </c>
      <c r="E1630" s="34">
        <v>11</v>
      </c>
      <c r="F1630" s="38">
        <f t="shared" si="261"/>
        <v>20675.283702792512</v>
      </c>
      <c r="G1630" s="34">
        <f t="shared" si="262"/>
        <v>16</v>
      </c>
      <c r="H1630" s="34">
        <f t="shared" si="263"/>
        <v>4</v>
      </c>
      <c r="I1630" s="34" t="str">
        <f t="shared" ref="I1630:R1639" si="268">IF($D1630&lt;$Z$18,"",IF(MAX($G1630,INDEX($C$65:$F$108,$D1630+I$119-2026,$H1630))&lt;=12*I$119-$E1630+12,MAX($G1630,12*I$119-$E1630+1,INDEX($C$65:$F$108,$D1630+I$119-2026,$H1630)),""))</f>
        <v/>
      </c>
      <c r="J1630" s="34" t="str">
        <f t="shared" si="268"/>
        <v/>
      </c>
      <c r="K1630" s="34" t="str">
        <f t="shared" si="268"/>
        <v/>
      </c>
      <c r="L1630" s="34" t="str">
        <f t="shared" si="268"/>
        <v/>
      </c>
      <c r="M1630" s="34" t="str">
        <f t="shared" si="268"/>
        <v/>
      </c>
      <c r="N1630" s="34" t="str">
        <f t="shared" si="268"/>
        <v/>
      </c>
      <c r="O1630" s="34" t="str">
        <f t="shared" si="268"/>
        <v/>
      </c>
      <c r="P1630" s="34">
        <f t="shared" si="268"/>
        <v>84</v>
      </c>
      <c r="Q1630" s="34">
        <f t="shared" si="268"/>
        <v>86</v>
      </c>
      <c r="R1630" s="34">
        <f t="shared" si="268"/>
        <v>98</v>
      </c>
      <c r="S1630" s="35">
        <f t="shared" si="264"/>
        <v>84</v>
      </c>
    </row>
    <row r="1631" spans="2:19" hidden="1" outlineLevel="1">
      <c r="B1631" s="14" t="s">
        <v>116</v>
      </c>
      <c r="C1631" s="15" t="s">
        <v>66</v>
      </c>
      <c r="D1631" s="52">
        <v>2050</v>
      </c>
      <c r="E1631" s="34">
        <v>12</v>
      </c>
      <c r="F1631" s="38">
        <f t="shared" si="261"/>
        <v>20675.283702792512</v>
      </c>
      <c r="G1631" s="34">
        <f t="shared" si="262"/>
        <v>16</v>
      </c>
      <c r="H1631" s="34">
        <f t="shared" si="263"/>
        <v>4</v>
      </c>
      <c r="I1631" s="34" t="str">
        <f t="shared" si="268"/>
        <v/>
      </c>
      <c r="J1631" s="34" t="str">
        <f t="shared" si="268"/>
        <v/>
      </c>
      <c r="K1631" s="34" t="str">
        <f t="shared" si="268"/>
        <v/>
      </c>
      <c r="L1631" s="34" t="str">
        <f t="shared" si="268"/>
        <v/>
      </c>
      <c r="M1631" s="34" t="str">
        <f t="shared" si="268"/>
        <v/>
      </c>
      <c r="N1631" s="34" t="str">
        <f t="shared" si="268"/>
        <v/>
      </c>
      <c r="O1631" s="34" t="str">
        <f t="shared" si="268"/>
        <v/>
      </c>
      <c r="P1631" s="34">
        <f t="shared" si="268"/>
        <v>84</v>
      </c>
      <c r="Q1631" s="34">
        <f t="shared" si="268"/>
        <v>85</v>
      </c>
      <c r="R1631" s="34">
        <f t="shared" si="268"/>
        <v>97</v>
      </c>
      <c r="S1631" s="35">
        <f t="shared" si="264"/>
        <v>84</v>
      </c>
    </row>
    <row r="1632" spans="2:19" hidden="1" outlineLevel="1">
      <c r="B1632" s="14" t="s">
        <v>116</v>
      </c>
      <c r="C1632" s="15" t="s">
        <v>66</v>
      </c>
      <c r="D1632" s="52">
        <v>2051</v>
      </c>
      <c r="E1632" s="34">
        <v>1</v>
      </c>
      <c r="F1632" s="38">
        <f t="shared" si="261"/>
        <v>20664.370621344628</v>
      </c>
      <c r="G1632" s="34">
        <f t="shared" si="262"/>
        <v>16</v>
      </c>
      <c r="H1632" s="34">
        <f t="shared" si="263"/>
        <v>4</v>
      </c>
      <c r="I1632" s="34" t="str">
        <f t="shared" si="268"/>
        <v/>
      </c>
      <c r="J1632" s="34" t="str">
        <f t="shared" si="268"/>
        <v/>
      </c>
      <c r="K1632" s="34" t="str">
        <f t="shared" si="268"/>
        <v/>
      </c>
      <c r="L1632" s="34" t="str">
        <f t="shared" si="268"/>
        <v/>
      </c>
      <c r="M1632" s="34" t="str">
        <f t="shared" si="268"/>
        <v/>
      </c>
      <c r="N1632" s="34" t="str">
        <f t="shared" si="268"/>
        <v/>
      </c>
      <c r="O1632" s="34" t="str">
        <f t="shared" si="268"/>
        <v/>
      </c>
      <c r="P1632" s="34">
        <f t="shared" si="268"/>
        <v>84</v>
      </c>
      <c r="Q1632" s="34">
        <f t="shared" si="268"/>
        <v>96</v>
      </c>
      <c r="R1632" s="34">
        <f t="shared" si="268"/>
        <v>108</v>
      </c>
      <c r="S1632" s="35">
        <f t="shared" si="264"/>
        <v>84</v>
      </c>
    </row>
    <row r="1633" spans="2:19" hidden="1" outlineLevel="1">
      <c r="B1633" s="14" t="s">
        <v>116</v>
      </c>
      <c r="C1633" s="15" t="s">
        <v>66</v>
      </c>
      <c r="D1633" s="52">
        <v>2051</v>
      </c>
      <c r="E1633" s="34">
        <v>2</v>
      </c>
      <c r="F1633" s="38">
        <f t="shared" si="261"/>
        <v>20664.370621344628</v>
      </c>
      <c r="G1633" s="34">
        <f t="shared" si="262"/>
        <v>16</v>
      </c>
      <c r="H1633" s="34">
        <f t="shared" si="263"/>
        <v>4</v>
      </c>
      <c r="I1633" s="34" t="str">
        <f t="shared" si="268"/>
        <v/>
      </c>
      <c r="J1633" s="34" t="str">
        <f t="shared" si="268"/>
        <v/>
      </c>
      <c r="K1633" s="34" t="str">
        <f t="shared" si="268"/>
        <v/>
      </c>
      <c r="L1633" s="34" t="str">
        <f t="shared" si="268"/>
        <v/>
      </c>
      <c r="M1633" s="34" t="str">
        <f t="shared" si="268"/>
        <v/>
      </c>
      <c r="N1633" s="34" t="str">
        <f t="shared" si="268"/>
        <v/>
      </c>
      <c r="O1633" s="34" t="str">
        <f t="shared" si="268"/>
        <v/>
      </c>
      <c r="P1633" s="34">
        <f t="shared" si="268"/>
        <v>84</v>
      </c>
      <c r="Q1633" s="34">
        <f t="shared" si="268"/>
        <v>95</v>
      </c>
      <c r="R1633" s="34">
        <f t="shared" si="268"/>
        <v>107</v>
      </c>
      <c r="S1633" s="35">
        <f t="shared" si="264"/>
        <v>84</v>
      </c>
    </row>
    <row r="1634" spans="2:19" hidden="1" outlineLevel="1">
      <c r="B1634" s="14" t="s">
        <v>116</v>
      </c>
      <c r="C1634" s="15" t="s">
        <v>66</v>
      </c>
      <c r="D1634" s="52">
        <v>2051</v>
      </c>
      <c r="E1634" s="34">
        <v>3</v>
      </c>
      <c r="F1634" s="38">
        <f t="shared" si="261"/>
        <v>20664.370621344628</v>
      </c>
      <c r="G1634" s="34">
        <f t="shared" si="262"/>
        <v>16</v>
      </c>
      <c r="H1634" s="34">
        <f t="shared" si="263"/>
        <v>4</v>
      </c>
      <c r="I1634" s="34" t="str">
        <f t="shared" si="268"/>
        <v/>
      </c>
      <c r="J1634" s="34" t="str">
        <f t="shared" si="268"/>
        <v/>
      </c>
      <c r="K1634" s="34" t="str">
        <f t="shared" si="268"/>
        <v/>
      </c>
      <c r="L1634" s="34" t="str">
        <f t="shared" si="268"/>
        <v/>
      </c>
      <c r="M1634" s="34" t="str">
        <f t="shared" si="268"/>
        <v/>
      </c>
      <c r="N1634" s="34" t="str">
        <f t="shared" si="268"/>
        <v/>
      </c>
      <c r="O1634" s="34" t="str">
        <f t="shared" si="268"/>
        <v/>
      </c>
      <c r="P1634" s="34">
        <f t="shared" si="268"/>
        <v>84</v>
      </c>
      <c r="Q1634" s="34">
        <f t="shared" si="268"/>
        <v>94</v>
      </c>
      <c r="R1634" s="34">
        <f t="shared" si="268"/>
        <v>106</v>
      </c>
      <c r="S1634" s="35">
        <f t="shared" si="264"/>
        <v>84</v>
      </c>
    </row>
    <row r="1635" spans="2:19" hidden="1" outlineLevel="1">
      <c r="B1635" s="14" t="s">
        <v>116</v>
      </c>
      <c r="C1635" s="15" t="s">
        <v>66</v>
      </c>
      <c r="D1635" s="52">
        <v>2051</v>
      </c>
      <c r="E1635" s="34">
        <v>4</v>
      </c>
      <c r="F1635" s="38">
        <f t="shared" si="261"/>
        <v>20664.370621344628</v>
      </c>
      <c r="G1635" s="34">
        <f t="shared" si="262"/>
        <v>16</v>
      </c>
      <c r="H1635" s="34">
        <f t="shared" si="263"/>
        <v>4</v>
      </c>
      <c r="I1635" s="34" t="str">
        <f t="shared" si="268"/>
        <v/>
      </c>
      <c r="J1635" s="34" t="str">
        <f t="shared" si="268"/>
        <v/>
      </c>
      <c r="K1635" s="34" t="str">
        <f t="shared" si="268"/>
        <v/>
      </c>
      <c r="L1635" s="34" t="str">
        <f t="shared" si="268"/>
        <v/>
      </c>
      <c r="M1635" s="34" t="str">
        <f t="shared" si="268"/>
        <v/>
      </c>
      <c r="N1635" s="34" t="str">
        <f t="shared" si="268"/>
        <v/>
      </c>
      <c r="O1635" s="34" t="str">
        <f t="shared" si="268"/>
        <v/>
      </c>
      <c r="P1635" s="34">
        <f t="shared" si="268"/>
        <v>84</v>
      </c>
      <c r="Q1635" s="34">
        <f t="shared" si="268"/>
        <v>93</v>
      </c>
      <c r="R1635" s="34">
        <f t="shared" si="268"/>
        <v>105</v>
      </c>
      <c r="S1635" s="35">
        <f t="shared" si="264"/>
        <v>84</v>
      </c>
    </row>
    <row r="1636" spans="2:19" hidden="1" outlineLevel="1">
      <c r="B1636" s="14" t="s">
        <v>116</v>
      </c>
      <c r="C1636" s="15" t="s">
        <v>66</v>
      </c>
      <c r="D1636" s="52">
        <v>2051</v>
      </c>
      <c r="E1636" s="34">
        <v>5</v>
      </c>
      <c r="F1636" s="38">
        <f t="shared" si="261"/>
        <v>20664.370621344628</v>
      </c>
      <c r="G1636" s="34">
        <f t="shared" si="262"/>
        <v>16</v>
      </c>
      <c r="H1636" s="34">
        <f t="shared" si="263"/>
        <v>4</v>
      </c>
      <c r="I1636" s="34" t="str">
        <f t="shared" si="268"/>
        <v/>
      </c>
      <c r="J1636" s="34" t="str">
        <f t="shared" si="268"/>
        <v/>
      </c>
      <c r="K1636" s="34" t="str">
        <f t="shared" si="268"/>
        <v/>
      </c>
      <c r="L1636" s="34" t="str">
        <f t="shared" si="268"/>
        <v/>
      </c>
      <c r="M1636" s="34" t="str">
        <f t="shared" si="268"/>
        <v/>
      </c>
      <c r="N1636" s="34" t="str">
        <f t="shared" si="268"/>
        <v/>
      </c>
      <c r="O1636" s="34" t="str">
        <f t="shared" si="268"/>
        <v/>
      </c>
      <c r="P1636" s="34">
        <f t="shared" si="268"/>
        <v>84</v>
      </c>
      <c r="Q1636" s="34">
        <f t="shared" si="268"/>
        <v>92</v>
      </c>
      <c r="R1636" s="34">
        <f t="shared" si="268"/>
        <v>104</v>
      </c>
      <c r="S1636" s="35">
        <f t="shared" si="264"/>
        <v>84</v>
      </c>
    </row>
    <row r="1637" spans="2:19" hidden="1" outlineLevel="1">
      <c r="B1637" s="14" t="s">
        <v>116</v>
      </c>
      <c r="C1637" s="15" t="s">
        <v>66</v>
      </c>
      <c r="D1637" s="52">
        <v>2051</v>
      </c>
      <c r="E1637" s="34">
        <v>6</v>
      </c>
      <c r="F1637" s="38">
        <f t="shared" si="261"/>
        <v>20664.370621344628</v>
      </c>
      <c r="G1637" s="34">
        <f t="shared" si="262"/>
        <v>16</v>
      </c>
      <c r="H1637" s="34">
        <f t="shared" si="263"/>
        <v>4</v>
      </c>
      <c r="I1637" s="34" t="str">
        <f t="shared" si="268"/>
        <v/>
      </c>
      <c r="J1637" s="34" t="str">
        <f t="shared" si="268"/>
        <v/>
      </c>
      <c r="K1637" s="34" t="str">
        <f t="shared" si="268"/>
        <v/>
      </c>
      <c r="L1637" s="34" t="str">
        <f t="shared" si="268"/>
        <v/>
      </c>
      <c r="M1637" s="34" t="str">
        <f t="shared" si="268"/>
        <v/>
      </c>
      <c r="N1637" s="34" t="str">
        <f t="shared" si="268"/>
        <v/>
      </c>
      <c r="O1637" s="34" t="str">
        <f t="shared" si="268"/>
        <v/>
      </c>
      <c r="P1637" s="34">
        <f t="shared" si="268"/>
        <v>84</v>
      </c>
      <c r="Q1637" s="34">
        <f t="shared" si="268"/>
        <v>91</v>
      </c>
      <c r="R1637" s="34">
        <f t="shared" si="268"/>
        <v>103</v>
      </c>
      <c r="S1637" s="35">
        <f t="shared" si="264"/>
        <v>84</v>
      </c>
    </row>
    <row r="1638" spans="2:19" hidden="1" outlineLevel="1">
      <c r="B1638" s="14" t="s">
        <v>116</v>
      </c>
      <c r="C1638" s="15" t="s">
        <v>66</v>
      </c>
      <c r="D1638" s="52">
        <v>2051</v>
      </c>
      <c r="E1638" s="34">
        <v>7</v>
      </c>
      <c r="F1638" s="38">
        <f t="shared" si="261"/>
        <v>20664.370621344628</v>
      </c>
      <c r="G1638" s="34">
        <f t="shared" si="262"/>
        <v>16</v>
      </c>
      <c r="H1638" s="34">
        <f t="shared" si="263"/>
        <v>4</v>
      </c>
      <c r="I1638" s="34" t="str">
        <f t="shared" si="268"/>
        <v/>
      </c>
      <c r="J1638" s="34" t="str">
        <f t="shared" si="268"/>
        <v/>
      </c>
      <c r="K1638" s="34" t="str">
        <f t="shared" si="268"/>
        <v/>
      </c>
      <c r="L1638" s="34" t="str">
        <f t="shared" si="268"/>
        <v/>
      </c>
      <c r="M1638" s="34" t="str">
        <f t="shared" si="268"/>
        <v/>
      </c>
      <c r="N1638" s="34" t="str">
        <f t="shared" si="268"/>
        <v/>
      </c>
      <c r="O1638" s="34" t="str">
        <f t="shared" si="268"/>
        <v/>
      </c>
      <c r="P1638" s="34">
        <f t="shared" si="268"/>
        <v>84</v>
      </c>
      <c r="Q1638" s="34">
        <f t="shared" si="268"/>
        <v>90</v>
      </c>
      <c r="R1638" s="34">
        <f t="shared" si="268"/>
        <v>102</v>
      </c>
      <c r="S1638" s="35">
        <f t="shared" si="264"/>
        <v>84</v>
      </c>
    </row>
    <row r="1639" spans="2:19" hidden="1" outlineLevel="1">
      <c r="B1639" s="14" t="s">
        <v>116</v>
      </c>
      <c r="C1639" s="15" t="s">
        <v>66</v>
      </c>
      <c r="D1639" s="52">
        <v>2051</v>
      </c>
      <c r="E1639" s="34">
        <v>8</v>
      </c>
      <c r="F1639" s="38">
        <f t="shared" si="261"/>
        <v>20664.370621344628</v>
      </c>
      <c r="G1639" s="34">
        <f t="shared" si="262"/>
        <v>16</v>
      </c>
      <c r="H1639" s="34">
        <f t="shared" si="263"/>
        <v>4</v>
      </c>
      <c r="I1639" s="34" t="str">
        <f t="shared" si="268"/>
        <v/>
      </c>
      <c r="J1639" s="34" t="str">
        <f t="shared" si="268"/>
        <v/>
      </c>
      <c r="K1639" s="34" t="str">
        <f t="shared" si="268"/>
        <v/>
      </c>
      <c r="L1639" s="34" t="str">
        <f t="shared" si="268"/>
        <v/>
      </c>
      <c r="M1639" s="34" t="str">
        <f t="shared" si="268"/>
        <v/>
      </c>
      <c r="N1639" s="34" t="str">
        <f t="shared" si="268"/>
        <v/>
      </c>
      <c r="O1639" s="34" t="str">
        <f t="shared" si="268"/>
        <v/>
      </c>
      <c r="P1639" s="34">
        <f t="shared" si="268"/>
        <v>84</v>
      </c>
      <c r="Q1639" s="34">
        <f t="shared" si="268"/>
        <v>89</v>
      </c>
      <c r="R1639" s="34">
        <f t="shared" si="268"/>
        <v>101</v>
      </c>
      <c r="S1639" s="35">
        <f t="shared" si="264"/>
        <v>84</v>
      </c>
    </row>
    <row r="1640" spans="2:19" hidden="1" outlineLevel="1">
      <c r="B1640" s="14" t="s">
        <v>116</v>
      </c>
      <c r="C1640" s="15" t="s">
        <v>66</v>
      </c>
      <c r="D1640" s="52">
        <v>2051</v>
      </c>
      <c r="E1640" s="34">
        <v>9</v>
      </c>
      <c r="F1640" s="38">
        <f t="shared" si="261"/>
        <v>20664.370621344628</v>
      </c>
      <c r="G1640" s="34">
        <f t="shared" si="262"/>
        <v>16</v>
      </c>
      <c r="H1640" s="34">
        <f t="shared" si="263"/>
        <v>4</v>
      </c>
      <c r="I1640" s="34" t="str">
        <f t="shared" ref="I1640:R1649" si="269">IF($D1640&lt;$Z$18,"",IF(MAX($G1640,INDEX($C$65:$F$108,$D1640+I$119-2026,$H1640))&lt;=12*I$119-$E1640+12,MAX($G1640,12*I$119-$E1640+1,INDEX($C$65:$F$108,$D1640+I$119-2026,$H1640)),""))</f>
        <v/>
      </c>
      <c r="J1640" s="34" t="str">
        <f t="shared" si="269"/>
        <v/>
      </c>
      <c r="K1640" s="34" t="str">
        <f t="shared" si="269"/>
        <v/>
      </c>
      <c r="L1640" s="34" t="str">
        <f t="shared" si="269"/>
        <v/>
      </c>
      <c r="M1640" s="34" t="str">
        <f t="shared" si="269"/>
        <v/>
      </c>
      <c r="N1640" s="34" t="str">
        <f t="shared" si="269"/>
        <v/>
      </c>
      <c r="O1640" s="34" t="str">
        <f t="shared" si="269"/>
        <v/>
      </c>
      <c r="P1640" s="34">
        <f t="shared" si="269"/>
        <v>84</v>
      </c>
      <c r="Q1640" s="34">
        <f t="shared" si="269"/>
        <v>88</v>
      </c>
      <c r="R1640" s="34">
        <f t="shared" si="269"/>
        <v>100</v>
      </c>
      <c r="S1640" s="35">
        <f t="shared" si="264"/>
        <v>84</v>
      </c>
    </row>
    <row r="1641" spans="2:19" hidden="1" outlineLevel="1">
      <c r="B1641" s="14" t="s">
        <v>116</v>
      </c>
      <c r="C1641" s="15" t="s">
        <v>66</v>
      </c>
      <c r="D1641" s="52">
        <v>2051</v>
      </c>
      <c r="E1641" s="34">
        <v>10</v>
      </c>
      <c r="F1641" s="38">
        <f t="shared" si="261"/>
        <v>20664.370621344628</v>
      </c>
      <c r="G1641" s="34">
        <f t="shared" si="262"/>
        <v>16</v>
      </c>
      <c r="H1641" s="34">
        <f t="shared" si="263"/>
        <v>4</v>
      </c>
      <c r="I1641" s="34" t="str">
        <f t="shared" si="269"/>
        <v/>
      </c>
      <c r="J1641" s="34" t="str">
        <f t="shared" si="269"/>
        <v/>
      </c>
      <c r="K1641" s="34" t="str">
        <f t="shared" si="269"/>
        <v/>
      </c>
      <c r="L1641" s="34" t="str">
        <f t="shared" si="269"/>
        <v/>
      </c>
      <c r="M1641" s="34" t="str">
        <f t="shared" si="269"/>
        <v/>
      </c>
      <c r="N1641" s="34" t="str">
        <f t="shared" si="269"/>
        <v/>
      </c>
      <c r="O1641" s="34" t="str">
        <f t="shared" si="269"/>
        <v/>
      </c>
      <c r="P1641" s="34">
        <f t="shared" si="269"/>
        <v>84</v>
      </c>
      <c r="Q1641" s="34">
        <f t="shared" si="269"/>
        <v>87</v>
      </c>
      <c r="R1641" s="34">
        <f t="shared" si="269"/>
        <v>99</v>
      </c>
      <c r="S1641" s="35">
        <f t="shared" si="264"/>
        <v>84</v>
      </c>
    </row>
    <row r="1642" spans="2:19" hidden="1" outlineLevel="1">
      <c r="B1642" s="14" t="s">
        <v>116</v>
      </c>
      <c r="C1642" s="15" t="s">
        <v>66</v>
      </c>
      <c r="D1642" s="52">
        <v>2051</v>
      </c>
      <c r="E1642" s="34">
        <v>11</v>
      </c>
      <c r="F1642" s="38">
        <f t="shared" si="261"/>
        <v>20664.370621344628</v>
      </c>
      <c r="G1642" s="34">
        <f t="shared" si="262"/>
        <v>16</v>
      </c>
      <c r="H1642" s="34">
        <f t="shared" si="263"/>
        <v>4</v>
      </c>
      <c r="I1642" s="34" t="str">
        <f t="shared" si="269"/>
        <v/>
      </c>
      <c r="J1642" s="34" t="str">
        <f t="shared" si="269"/>
        <v/>
      </c>
      <c r="K1642" s="34" t="str">
        <f t="shared" si="269"/>
        <v/>
      </c>
      <c r="L1642" s="34" t="str">
        <f t="shared" si="269"/>
        <v/>
      </c>
      <c r="M1642" s="34" t="str">
        <f t="shared" si="269"/>
        <v/>
      </c>
      <c r="N1642" s="34" t="str">
        <f t="shared" si="269"/>
        <v/>
      </c>
      <c r="O1642" s="34" t="str">
        <f t="shared" si="269"/>
        <v/>
      </c>
      <c r="P1642" s="34">
        <f t="shared" si="269"/>
        <v>84</v>
      </c>
      <c r="Q1642" s="34">
        <f t="shared" si="269"/>
        <v>86</v>
      </c>
      <c r="R1642" s="34">
        <f t="shared" si="269"/>
        <v>98</v>
      </c>
      <c r="S1642" s="35">
        <f t="shared" si="264"/>
        <v>84</v>
      </c>
    </row>
    <row r="1643" spans="2:19" hidden="1" outlineLevel="1">
      <c r="B1643" s="14" t="s">
        <v>116</v>
      </c>
      <c r="C1643" s="15" t="s">
        <v>66</v>
      </c>
      <c r="D1643" s="52">
        <v>2051</v>
      </c>
      <c r="E1643" s="34">
        <v>12</v>
      </c>
      <c r="F1643" s="38">
        <f t="shared" si="261"/>
        <v>20664.370621344628</v>
      </c>
      <c r="G1643" s="34">
        <f t="shared" si="262"/>
        <v>16</v>
      </c>
      <c r="H1643" s="34">
        <f t="shared" si="263"/>
        <v>4</v>
      </c>
      <c r="I1643" s="34" t="str">
        <f t="shared" si="269"/>
        <v/>
      </c>
      <c r="J1643" s="34" t="str">
        <f t="shared" si="269"/>
        <v/>
      </c>
      <c r="K1643" s="34" t="str">
        <f t="shared" si="269"/>
        <v/>
      </c>
      <c r="L1643" s="34" t="str">
        <f t="shared" si="269"/>
        <v/>
      </c>
      <c r="M1643" s="34" t="str">
        <f t="shared" si="269"/>
        <v/>
      </c>
      <c r="N1643" s="34" t="str">
        <f t="shared" si="269"/>
        <v/>
      </c>
      <c r="O1643" s="34" t="str">
        <f t="shared" si="269"/>
        <v/>
      </c>
      <c r="P1643" s="34">
        <f t="shared" si="269"/>
        <v>84</v>
      </c>
      <c r="Q1643" s="34">
        <f t="shared" si="269"/>
        <v>85</v>
      </c>
      <c r="R1643" s="34">
        <f t="shared" si="269"/>
        <v>97</v>
      </c>
      <c r="S1643" s="35">
        <f t="shared" si="264"/>
        <v>84</v>
      </c>
    </row>
    <row r="1644" spans="2:19" hidden="1" outlineLevel="1">
      <c r="B1644" s="14" t="s">
        <v>116</v>
      </c>
      <c r="C1644" s="15" t="s">
        <v>66</v>
      </c>
      <c r="D1644" s="52">
        <v>2052</v>
      </c>
      <c r="E1644" s="34">
        <v>1</v>
      </c>
      <c r="F1644" s="38">
        <f t="shared" si="261"/>
        <v>20619.99946982897</v>
      </c>
      <c r="G1644" s="34">
        <f t="shared" si="262"/>
        <v>16</v>
      </c>
      <c r="H1644" s="34">
        <f t="shared" si="263"/>
        <v>4</v>
      </c>
      <c r="I1644" s="34" t="str">
        <f t="shared" si="269"/>
        <v/>
      </c>
      <c r="J1644" s="34" t="str">
        <f t="shared" si="269"/>
        <v/>
      </c>
      <c r="K1644" s="34" t="str">
        <f t="shared" si="269"/>
        <v/>
      </c>
      <c r="L1644" s="34" t="str">
        <f t="shared" si="269"/>
        <v/>
      </c>
      <c r="M1644" s="34" t="str">
        <f t="shared" si="269"/>
        <v/>
      </c>
      <c r="N1644" s="34" t="str">
        <f t="shared" si="269"/>
        <v/>
      </c>
      <c r="O1644" s="34" t="str">
        <f t="shared" si="269"/>
        <v/>
      </c>
      <c r="P1644" s="34">
        <f t="shared" si="269"/>
        <v>84</v>
      </c>
      <c r="Q1644" s="34">
        <f t="shared" si="269"/>
        <v>96</v>
      </c>
      <c r="R1644" s="34">
        <f t="shared" si="269"/>
        <v>108</v>
      </c>
      <c r="S1644" s="35">
        <f t="shared" si="264"/>
        <v>84</v>
      </c>
    </row>
    <row r="1645" spans="2:19" hidden="1" outlineLevel="1">
      <c r="B1645" s="14" t="s">
        <v>116</v>
      </c>
      <c r="C1645" s="15" t="s">
        <v>66</v>
      </c>
      <c r="D1645" s="52">
        <v>2052</v>
      </c>
      <c r="E1645" s="34">
        <v>2</v>
      </c>
      <c r="F1645" s="38">
        <f t="shared" si="261"/>
        <v>20619.99946982897</v>
      </c>
      <c r="G1645" s="34">
        <f t="shared" si="262"/>
        <v>16</v>
      </c>
      <c r="H1645" s="34">
        <f t="shared" si="263"/>
        <v>4</v>
      </c>
      <c r="I1645" s="34" t="str">
        <f t="shared" si="269"/>
        <v/>
      </c>
      <c r="J1645" s="34" t="str">
        <f t="shared" si="269"/>
        <v/>
      </c>
      <c r="K1645" s="34" t="str">
        <f t="shared" si="269"/>
        <v/>
      </c>
      <c r="L1645" s="34" t="str">
        <f t="shared" si="269"/>
        <v/>
      </c>
      <c r="M1645" s="34" t="str">
        <f t="shared" si="269"/>
        <v/>
      </c>
      <c r="N1645" s="34" t="str">
        <f t="shared" si="269"/>
        <v/>
      </c>
      <c r="O1645" s="34" t="str">
        <f t="shared" si="269"/>
        <v/>
      </c>
      <c r="P1645" s="34">
        <f t="shared" si="269"/>
        <v>84</v>
      </c>
      <c r="Q1645" s="34">
        <f t="shared" si="269"/>
        <v>95</v>
      </c>
      <c r="R1645" s="34">
        <f t="shared" si="269"/>
        <v>107</v>
      </c>
      <c r="S1645" s="35">
        <f t="shared" si="264"/>
        <v>84</v>
      </c>
    </row>
    <row r="1646" spans="2:19" hidden="1" outlineLevel="1">
      <c r="B1646" s="14" t="s">
        <v>116</v>
      </c>
      <c r="C1646" s="15" t="s">
        <v>66</v>
      </c>
      <c r="D1646" s="52">
        <v>2052</v>
      </c>
      <c r="E1646" s="34">
        <v>3</v>
      </c>
      <c r="F1646" s="38">
        <f t="shared" si="261"/>
        <v>20619.99946982897</v>
      </c>
      <c r="G1646" s="34">
        <f t="shared" si="262"/>
        <v>16</v>
      </c>
      <c r="H1646" s="34">
        <f t="shared" si="263"/>
        <v>4</v>
      </c>
      <c r="I1646" s="34" t="str">
        <f t="shared" si="269"/>
        <v/>
      </c>
      <c r="J1646" s="34" t="str">
        <f t="shared" si="269"/>
        <v/>
      </c>
      <c r="K1646" s="34" t="str">
        <f t="shared" si="269"/>
        <v/>
      </c>
      <c r="L1646" s="34" t="str">
        <f t="shared" si="269"/>
        <v/>
      </c>
      <c r="M1646" s="34" t="str">
        <f t="shared" si="269"/>
        <v/>
      </c>
      <c r="N1646" s="34" t="str">
        <f t="shared" si="269"/>
        <v/>
      </c>
      <c r="O1646" s="34" t="str">
        <f t="shared" si="269"/>
        <v/>
      </c>
      <c r="P1646" s="34">
        <f t="shared" si="269"/>
        <v>84</v>
      </c>
      <c r="Q1646" s="34">
        <f t="shared" si="269"/>
        <v>94</v>
      </c>
      <c r="R1646" s="34">
        <f t="shared" si="269"/>
        <v>106</v>
      </c>
      <c r="S1646" s="35">
        <f t="shared" si="264"/>
        <v>84</v>
      </c>
    </row>
    <row r="1647" spans="2:19" hidden="1" outlineLevel="1">
      <c r="B1647" s="14" t="s">
        <v>116</v>
      </c>
      <c r="C1647" s="15" t="s">
        <v>66</v>
      </c>
      <c r="D1647" s="52">
        <v>2052</v>
      </c>
      <c r="E1647" s="34">
        <v>4</v>
      </c>
      <c r="F1647" s="38">
        <f t="shared" si="261"/>
        <v>20619.99946982897</v>
      </c>
      <c r="G1647" s="34">
        <f t="shared" si="262"/>
        <v>16</v>
      </c>
      <c r="H1647" s="34">
        <f t="shared" si="263"/>
        <v>4</v>
      </c>
      <c r="I1647" s="34" t="str">
        <f t="shared" si="269"/>
        <v/>
      </c>
      <c r="J1647" s="34" t="str">
        <f t="shared" si="269"/>
        <v/>
      </c>
      <c r="K1647" s="34" t="str">
        <f t="shared" si="269"/>
        <v/>
      </c>
      <c r="L1647" s="34" t="str">
        <f t="shared" si="269"/>
        <v/>
      </c>
      <c r="M1647" s="34" t="str">
        <f t="shared" si="269"/>
        <v/>
      </c>
      <c r="N1647" s="34" t="str">
        <f t="shared" si="269"/>
        <v/>
      </c>
      <c r="O1647" s="34" t="str">
        <f t="shared" si="269"/>
        <v/>
      </c>
      <c r="P1647" s="34">
        <f t="shared" si="269"/>
        <v>84</v>
      </c>
      <c r="Q1647" s="34">
        <f t="shared" si="269"/>
        <v>93</v>
      </c>
      <c r="R1647" s="34">
        <f t="shared" si="269"/>
        <v>105</v>
      </c>
      <c r="S1647" s="35">
        <f t="shared" si="264"/>
        <v>84</v>
      </c>
    </row>
    <row r="1648" spans="2:19" hidden="1" outlineLevel="1">
      <c r="B1648" s="14" t="s">
        <v>116</v>
      </c>
      <c r="C1648" s="15" t="s">
        <v>66</v>
      </c>
      <c r="D1648" s="52">
        <v>2052</v>
      </c>
      <c r="E1648" s="34">
        <v>5</v>
      </c>
      <c r="F1648" s="38">
        <f t="shared" si="261"/>
        <v>20619.99946982897</v>
      </c>
      <c r="G1648" s="34">
        <f t="shared" si="262"/>
        <v>16</v>
      </c>
      <c r="H1648" s="34">
        <f t="shared" si="263"/>
        <v>4</v>
      </c>
      <c r="I1648" s="34" t="str">
        <f t="shared" si="269"/>
        <v/>
      </c>
      <c r="J1648" s="34" t="str">
        <f t="shared" si="269"/>
        <v/>
      </c>
      <c r="K1648" s="34" t="str">
        <f t="shared" si="269"/>
        <v/>
      </c>
      <c r="L1648" s="34" t="str">
        <f t="shared" si="269"/>
        <v/>
      </c>
      <c r="M1648" s="34" t="str">
        <f t="shared" si="269"/>
        <v/>
      </c>
      <c r="N1648" s="34" t="str">
        <f t="shared" si="269"/>
        <v/>
      </c>
      <c r="O1648" s="34" t="str">
        <f t="shared" si="269"/>
        <v/>
      </c>
      <c r="P1648" s="34">
        <f t="shared" si="269"/>
        <v>84</v>
      </c>
      <c r="Q1648" s="34">
        <f t="shared" si="269"/>
        <v>92</v>
      </c>
      <c r="R1648" s="34">
        <f t="shared" si="269"/>
        <v>104</v>
      </c>
      <c r="S1648" s="35">
        <f t="shared" si="264"/>
        <v>84</v>
      </c>
    </row>
    <row r="1649" spans="2:19" hidden="1" outlineLevel="1">
      <c r="B1649" s="14" t="s">
        <v>116</v>
      </c>
      <c r="C1649" s="15" t="s">
        <v>66</v>
      </c>
      <c r="D1649" s="52">
        <v>2052</v>
      </c>
      <c r="E1649" s="34">
        <v>6</v>
      </c>
      <c r="F1649" s="38">
        <f t="shared" si="261"/>
        <v>20619.99946982897</v>
      </c>
      <c r="G1649" s="34">
        <f t="shared" si="262"/>
        <v>16</v>
      </c>
      <c r="H1649" s="34">
        <f t="shared" si="263"/>
        <v>4</v>
      </c>
      <c r="I1649" s="34" t="str">
        <f t="shared" si="269"/>
        <v/>
      </c>
      <c r="J1649" s="34" t="str">
        <f t="shared" si="269"/>
        <v/>
      </c>
      <c r="K1649" s="34" t="str">
        <f t="shared" si="269"/>
        <v/>
      </c>
      <c r="L1649" s="34" t="str">
        <f t="shared" si="269"/>
        <v/>
      </c>
      <c r="M1649" s="34" t="str">
        <f t="shared" si="269"/>
        <v/>
      </c>
      <c r="N1649" s="34" t="str">
        <f t="shared" si="269"/>
        <v/>
      </c>
      <c r="O1649" s="34" t="str">
        <f t="shared" si="269"/>
        <v/>
      </c>
      <c r="P1649" s="34">
        <f t="shared" si="269"/>
        <v>84</v>
      </c>
      <c r="Q1649" s="34">
        <f t="shared" si="269"/>
        <v>91</v>
      </c>
      <c r="R1649" s="34">
        <f t="shared" si="269"/>
        <v>103</v>
      </c>
      <c r="S1649" s="35">
        <f t="shared" si="264"/>
        <v>84</v>
      </c>
    </row>
    <row r="1650" spans="2:19" hidden="1" outlineLevel="1">
      <c r="B1650" s="14" t="s">
        <v>116</v>
      </c>
      <c r="C1650" s="15" t="s">
        <v>66</v>
      </c>
      <c r="D1650" s="52">
        <v>2052</v>
      </c>
      <c r="E1650" s="34">
        <v>7</v>
      </c>
      <c r="F1650" s="38">
        <f t="shared" si="261"/>
        <v>20619.99946982897</v>
      </c>
      <c r="G1650" s="34">
        <f t="shared" si="262"/>
        <v>16</v>
      </c>
      <c r="H1650" s="34">
        <f t="shared" si="263"/>
        <v>4</v>
      </c>
      <c r="I1650" s="34" t="str">
        <f t="shared" ref="I1650:R1659" si="270">IF($D1650&lt;$Z$18,"",IF(MAX($G1650,INDEX($C$65:$F$108,$D1650+I$119-2026,$H1650))&lt;=12*I$119-$E1650+12,MAX($G1650,12*I$119-$E1650+1,INDEX($C$65:$F$108,$D1650+I$119-2026,$H1650)),""))</f>
        <v/>
      </c>
      <c r="J1650" s="34" t="str">
        <f t="shared" si="270"/>
        <v/>
      </c>
      <c r="K1650" s="34" t="str">
        <f t="shared" si="270"/>
        <v/>
      </c>
      <c r="L1650" s="34" t="str">
        <f t="shared" si="270"/>
        <v/>
      </c>
      <c r="M1650" s="34" t="str">
        <f t="shared" si="270"/>
        <v/>
      </c>
      <c r="N1650" s="34" t="str">
        <f t="shared" si="270"/>
        <v/>
      </c>
      <c r="O1650" s="34" t="str">
        <f t="shared" si="270"/>
        <v/>
      </c>
      <c r="P1650" s="34">
        <f t="shared" si="270"/>
        <v>84</v>
      </c>
      <c r="Q1650" s="34">
        <f t="shared" si="270"/>
        <v>90</v>
      </c>
      <c r="R1650" s="34">
        <f t="shared" si="270"/>
        <v>102</v>
      </c>
      <c r="S1650" s="35">
        <f t="shared" si="264"/>
        <v>84</v>
      </c>
    </row>
    <row r="1651" spans="2:19" hidden="1" outlineLevel="1">
      <c r="B1651" s="14" t="s">
        <v>116</v>
      </c>
      <c r="C1651" s="15" t="s">
        <v>66</v>
      </c>
      <c r="D1651" s="52">
        <v>2052</v>
      </c>
      <c r="E1651" s="34">
        <v>8</v>
      </c>
      <c r="F1651" s="38">
        <f t="shared" si="261"/>
        <v>20619.99946982897</v>
      </c>
      <c r="G1651" s="34">
        <f t="shared" si="262"/>
        <v>16</v>
      </c>
      <c r="H1651" s="34">
        <f t="shared" si="263"/>
        <v>4</v>
      </c>
      <c r="I1651" s="34" t="str">
        <f t="shared" si="270"/>
        <v/>
      </c>
      <c r="J1651" s="34" t="str">
        <f t="shared" si="270"/>
        <v/>
      </c>
      <c r="K1651" s="34" t="str">
        <f t="shared" si="270"/>
        <v/>
      </c>
      <c r="L1651" s="34" t="str">
        <f t="shared" si="270"/>
        <v/>
      </c>
      <c r="M1651" s="34" t="str">
        <f t="shared" si="270"/>
        <v/>
      </c>
      <c r="N1651" s="34" t="str">
        <f t="shared" si="270"/>
        <v/>
      </c>
      <c r="O1651" s="34" t="str">
        <f t="shared" si="270"/>
        <v/>
      </c>
      <c r="P1651" s="34">
        <f t="shared" si="270"/>
        <v>84</v>
      </c>
      <c r="Q1651" s="34">
        <f t="shared" si="270"/>
        <v>89</v>
      </c>
      <c r="R1651" s="34">
        <f t="shared" si="270"/>
        <v>101</v>
      </c>
      <c r="S1651" s="35">
        <f t="shared" si="264"/>
        <v>84</v>
      </c>
    </row>
    <row r="1652" spans="2:19" hidden="1" outlineLevel="1">
      <c r="B1652" s="14" t="s">
        <v>116</v>
      </c>
      <c r="C1652" s="15" t="s">
        <v>66</v>
      </c>
      <c r="D1652" s="52">
        <v>2052</v>
      </c>
      <c r="E1652" s="34">
        <v>9</v>
      </c>
      <c r="F1652" s="38">
        <f t="shared" si="261"/>
        <v>20619.99946982897</v>
      </c>
      <c r="G1652" s="34">
        <f t="shared" si="262"/>
        <v>16</v>
      </c>
      <c r="H1652" s="34">
        <f t="shared" si="263"/>
        <v>4</v>
      </c>
      <c r="I1652" s="34" t="str">
        <f t="shared" si="270"/>
        <v/>
      </c>
      <c r="J1652" s="34" t="str">
        <f t="shared" si="270"/>
        <v/>
      </c>
      <c r="K1652" s="34" t="str">
        <f t="shared" si="270"/>
        <v/>
      </c>
      <c r="L1652" s="34" t="str">
        <f t="shared" si="270"/>
        <v/>
      </c>
      <c r="M1652" s="34" t="str">
        <f t="shared" si="270"/>
        <v/>
      </c>
      <c r="N1652" s="34" t="str">
        <f t="shared" si="270"/>
        <v/>
      </c>
      <c r="O1652" s="34" t="str">
        <f t="shared" si="270"/>
        <v/>
      </c>
      <c r="P1652" s="34">
        <f t="shared" si="270"/>
        <v>84</v>
      </c>
      <c r="Q1652" s="34">
        <f t="shared" si="270"/>
        <v>88</v>
      </c>
      <c r="R1652" s="34">
        <f t="shared" si="270"/>
        <v>100</v>
      </c>
      <c r="S1652" s="35">
        <f t="shared" si="264"/>
        <v>84</v>
      </c>
    </row>
    <row r="1653" spans="2:19" hidden="1" outlineLevel="1">
      <c r="B1653" s="14" t="s">
        <v>116</v>
      </c>
      <c r="C1653" s="15" t="s">
        <v>66</v>
      </c>
      <c r="D1653" s="52">
        <v>2052</v>
      </c>
      <c r="E1653" s="34">
        <v>10</v>
      </c>
      <c r="F1653" s="38">
        <f t="shared" si="261"/>
        <v>20619.99946982897</v>
      </c>
      <c r="G1653" s="34">
        <f t="shared" si="262"/>
        <v>16</v>
      </c>
      <c r="H1653" s="34">
        <f t="shared" si="263"/>
        <v>4</v>
      </c>
      <c r="I1653" s="34" t="str">
        <f t="shared" si="270"/>
        <v/>
      </c>
      <c r="J1653" s="34" t="str">
        <f t="shared" si="270"/>
        <v/>
      </c>
      <c r="K1653" s="34" t="str">
        <f t="shared" si="270"/>
        <v/>
      </c>
      <c r="L1653" s="34" t="str">
        <f t="shared" si="270"/>
        <v/>
      </c>
      <c r="M1653" s="34" t="str">
        <f t="shared" si="270"/>
        <v/>
      </c>
      <c r="N1653" s="34" t="str">
        <f t="shared" si="270"/>
        <v/>
      </c>
      <c r="O1653" s="34" t="str">
        <f t="shared" si="270"/>
        <v/>
      </c>
      <c r="P1653" s="34">
        <f t="shared" si="270"/>
        <v>84</v>
      </c>
      <c r="Q1653" s="34">
        <f t="shared" si="270"/>
        <v>87</v>
      </c>
      <c r="R1653" s="34">
        <f t="shared" si="270"/>
        <v>99</v>
      </c>
      <c r="S1653" s="35">
        <f t="shared" si="264"/>
        <v>84</v>
      </c>
    </row>
    <row r="1654" spans="2:19" hidden="1" outlineLevel="1">
      <c r="B1654" s="14" t="s">
        <v>116</v>
      </c>
      <c r="C1654" s="15" t="s">
        <v>66</v>
      </c>
      <c r="D1654" s="52">
        <v>2052</v>
      </c>
      <c r="E1654" s="34">
        <v>11</v>
      </c>
      <c r="F1654" s="38">
        <f t="shared" si="261"/>
        <v>20619.99946982897</v>
      </c>
      <c r="G1654" s="34">
        <f t="shared" si="262"/>
        <v>16</v>
      </c>
      <c r="H1654" s="34">
        <f t="shared" si="263"/>
        <v>4</v>
      </c>
      <c r="I1654" s="34" t="str">
        <f t="shared" si="270"/>
        <v/>
      </c>
      <c r="J1654" s="34" t="str">
        <f t="shared" si="270"/>
        <v/>
      </c>
      <c r="K1654" s="34" t="str">
        <f t="shared" si="270"/>
        <v/>
      </c>
      <c r="L1654" s="34" t="str">
        <f t="shared" si="270"/>
        <v/>
      </c>
      <c r="M1654" s="34" t="str">
        <f t="shared" si="270"/>
        <v/>
      </c>
      <c r="N1654" s="34" t="str">
        <f t="shared" si="270"/>
        <v/>
      </c>
      <c r="O1654" s="34" t="str">
        <f t="shared" si="270"/>
        <v/>
      </c>
      <c r="P1654" s="34">
        <f t="shared" si="270"/>
        <v>84</v>
      </c>
      <c r="Q1654" s="34">
        <f t="shared" si="270"/>
        <v>86</v>
      </c>
      <c r="R1654" s="34">
        <f t="shared" si="270"/>
        <v>98</v>
      </c>
      <c r="S1654" s="35">
        <f t="shared" si="264"/>
        <v>84</v>
      </c>
    </row>
    <row r="1655" spans="2:19" hidden="1" outlineLevel="1">
      <c r="B1655" s="14" t="s">
        <v>116</v>
      </c>
      <c r="C1655" s="15" t="s">
        <v>66</v>
      </c>
      <c r="D1655" s="52">
        <v>2052</v>
      </c>
      <c r="E1655" s="34">
        <v>12</v>
      </c>
      <c r="F1655" s="38">
        <f t="shared" si="261"/>
        <v>20619.99946982897</v>
      </c>
      <c r="G1655" s="34">
        <f t="shared" si="262"/>
        <v>16</v>
      </c>
      <c r="H1655" s="34">
        <f t="shared" si="263"/>
        <v>4</v>
      </c>
      <c r="I1655" s="34" t="str">
        <f t="shared" si="270"/>
        <v/>
      </c>
      <c r="J1655" s="34" t="str">
        <f t="shared" si="270"/>
        <v/>
      </c>
      <c r="K1655" s="34" t="str">
        <f t="shared" si="270"/>
        <v/>
      </c>
      <c r="L1655" s="34" t="str">
        <f t="shared" si="270"/>
        <v/>
      </c>
      <c r="M1655" s="34" t="str">
        <f t="shared" si="270"/>
        <v/>
      </c>
      <c r="N1655" s="34" t="str">
        <f t="shared" si="270"/>
        <v/>
      </c>
      <c r="O1655" s="34" t="str">
        <f t="shared" si="270"/>
        <v/>
      </c>
      <c r="P1655" s="34">
        <f t="shared" si="270"/>
        <v>84</v>
      </c>
      <c r="Q1655" s="34">
        <f t="shared" si="270"/>
        <v>85</v>
      </c>
      <c r="R1655" s="34">
        <f t="shared" si="270"/>
        <v>97</v>
      </c>
      <c r="S1655" s="35">
        <f t="shared" si="264"/>
        <v>84</v>
      </c>
    </row>
    <row r="1656" spans="2:19" hidden="1" outlineLevel="1">
      <c r="B1656" s="14" t="s">
        <v>116</v>
      </c>
      <c r="C1656" s="15" t="s">
        <v>66</v>
      </c>
      <c r="D1656" s="52">
        <v>2053</v>
      </c>
      <c r="E1656" s="34">
        <v>1</v>
      </c>
      <c r="F1656" s="38">
        <f t="shared" ref="F1656:F1719" si="271">IF($C1656="Homens",INDEX($C$5:$C$55,MATCH($D1656,$B$5:$B$55,0)),INDEX($F$5:$F$55,MATCH($D1656,$B$5:$B$55,0)))/12</f>
        <v>20582.293793209628</v>
      </c>
      <c r="G1656" s="34">
        <f t="shared" ref="G1656:G1719" si="272">IF($C1656="Homens",$Z$17,$AA$17)</f>
        <v>16</v>
      </c>
      <c r="H1656" s="34">
        <f t="shared" ref="H1656:H1719" si="273">1+2*($B1656="Com Transição")+($C1656="Mulheres")</f>
        <v>4</v>
      </c>
      <c r="I1656" s="34" t="str">
        <f t="shared" si="270"/>
        <v/>
      </c>
      <c r="J1656" s="34" t="str">
        <f t="shared" si="270"/>
        <v/>
      </c>
      <c r="K1656" s="34" t="str">
        <f t="shared" si="270"/>
        <v/>
      </c>
      <c r="L1656" s="34" t="str">
        <f t="shared" si="270"/>
        <v/>
      </c>
      <c r="M1656" s="34" t="str">
        <f t="shared" si="270"/>
        <v/>
      </c>
      <c r="N1656" s="34" t="str">
        <f t="shared" si="270"/>
        <v/>
      </c>
      <c r="O1656" s="34" t="str">
        <f t="shared" si="270"/>
        <v/>
      </c>
      <c r="P1656" s="34">
        <f t="shared" si="270"/>
        <v>84</v>
      </c>
      <c r="Q1656" s="34">
        <f t="shared" si="270"/>
        <v>96</v>
      </c>
      <c r="R1656" s="34">
        <f t="shared" si="270"/>
        <v>108</v>
      </c>
      <c r="S1656" s="35">
        <f t="shared" ref="S1656:S1719" si="274">IF($D1656&lt;$Z$18,$G1656,MIN(I1656:R1656))</f>
        <v>84</v>
      </c>
    </row>
    <row r="1657" spans="2:19" hidden="1" outlineLevel="1">
      <c r="B1657" s="14" t="s">
        <v>116</v>
      </c>
      <c r="C1657" s="15" t="s">
        <v>66</v>
      </c>
      <c r="D1657" s="52">
        <v>2053</v>
      </c>
      <c r="E1657" s="34">
        <v>2</v>
      </c>
      <c r="F1657" s="38">
        <f t="shared" si="271"/>
        <v>20582.293793209628</v>
      </c>
      <c r="G1657" s="34">
        <f t="shared" si="272"/>
        <v>16</v>
      </c>
      <c r="H1657" s="34">
        <f t="shared" si="273"/>
        <v>4</v>
      </c>
      <c r="I1657" s="34" t="str">
        <f t="shared" si="270"/>
        <v/>
      </c>
      <c r="J1657" s="34" t="str">
        <f t="shared" si="270"/>
        <v/>
      </c>
      <c r="K1657" s="34" t="str">
        <f t="shared" si="270"/>
        <v/>
      </c>
      <c r="L1657" s="34" t="str">
        <f t="shared" si="270"/>
        <v/>
      </c>
      <c r="M1657" s="34" t="str">
        <f t="shared" si="270"/>
        <v/>
      </c>
      <c r="N1657" s="34" t="str">
        <f t="shared" si="270"/>
        <v/>
      </c>
      <c r="O1657" s="34" t="str">
        <f t="shared" si="270"/>
        <v/>
      </c>
      <c r="P1657" s="34">
        <f t="shared" si="270"/>
        <v>84</v>
      </c>
      <c r="Q1657" s="34">
        <f t="shared" si="270"/>
        <v>95</v>
      </c>
      <c r="R1657" s="34">
        <f t="shared" si="270"/>
        <v>107</v>
      </c>
      <c r="S1657" s="35">
        <f t="shared" si="274"/>
        <v>84</v>
      </c>
    </row>
    <row r="1658" spans="2:19" hidden="1" outlineLevel="1">
      <c r="B1658" s="14" t="s">
        <v>116</v>
      </c>
      <c r="C1658" s="15" t="s">
        <v>66</v>
      </c>
      <c r="D1658" s="52">
        <v>2053</v>
      </c>
      <c r="E1658" s="34">
        <v>3</v>
      </c>
      <c r="F1658" s="38">
        <f t="shared" si="271"/>
        <v>20582.293793209628</v>
      </c>
      <c r="G1658" s="34">
        <f t="shared" si="272"/>
        <v>16</v>
      </c>
      <c r="H1658" s="34">
        <f t="shared" si="273"/>
        <v>4</v>
      </c>
      <c r="I1658" s="34" t="str">
        <f t="shared" si="270"/>
        <v/>
      </c>
      <c r="J1658" s="34" t="str">
        <f t="shared" si="270"/>
        <v/>
      </c>
      <c r="K1658" s="34" t="str">
        <f t="shared" si="270"/>
        <v/>
      </c>
      <c r="L1658" s="34" t="str">
        <f t="shared" si="270"/>
        <v/>
      </c>
      <c r="M1658" s="34" t="str">
        <f t="shared" si="270"/>
        <v/>
      </c>
      <c r="N1658" s="34" t="str">
        <f t="shared" si="270"/>
        <v/>
      </c>
      <c r="O1658" s="34" t="str">
        <f t="shared" si="270"/>
        <v/>
      </c>
      <c r="P1658" s="34">
        <f t="shared" si="270"/>
        <v>84</v>
      </c>
      <c r="Q1658" s="34">
        <f t="shared" si="270"/>
        <v>94</v>
      </c>
      <c r="R1658" s="34">
        <f t="shared" si="270"/>
        <v>106</v>
      </c>
      <c r="S1658" s="35">
        <f t="shared" si="274"/>
        <v>84</v>
      </c>
    </row>
    <row r="1659" spans="2:19" hidden="1" outlineLevel="1">
      <c r="B1659" s="14" t="s">
        <v>116</v>
      </c>
      <c r="C1659" s="15" t="s">
        <v>66</v>
      </c>
      <c r="D1659" s="52">
        <v>2053</v>
      </c>
      <c r="E1659" s="34">
        <v>4</v>
      </c>
      <c r="F1659" s="38">
        <f t="shared" si="271"/>
        <v>20582.293793209628</v>
      </c>
      <c r="G1659" s="34">
        <f t="shared" si="272"/>
        <v>16</v>
      </c>
      <c r="H1659" s="34">
        <f t="shared" si="273"/>
        <v>4</v>
      </c>
      <c r="I1659" s="34" t="str">
        <f t="shared" si="270"/>
        <v/>
      </c>
      <c r="J1659" s="34" t="str">
        <f t="shared" si="270"/>
        <v/>
      </c>
      <c r="K1659" s="34" t="str">
        <f t="shared" si="270"/>
        <v/>
      </c>
      <c r="L1659" s="34" t="str">
        <f t="shared" si="270"/>
        <v/>
      </c>
      <c r="M1659" s="34" t="str">
        <f t="shared" si="270"/>
        <v/>
      </c>
      <c r="N1659" s="34" t="str">
        <f t="shared" si="270"/>
        <v/>
      </c>
      <c r="O1659" s="34" t="str">
        <f t="shared" si="270"/>
        <v/>
      </c>
      <c r="P1659" s="34">
        <f t="shared" si="270"/>
        <v>84</v>
      </c>
      <c r="Q1659" s="34">
        <f t="shared" si="270"/>
        <v>93</v>
      </c>
      <c r="R1659" s="34">
        <f t="shared" si="270"/>
        <v>105</v>
      </c>
      <c r="S1659" s="35">
        <f t="shared" si="274"/>
        <v>84</v>
      </c>
    </row>
    <row r="1660" spans="2:19" hidden="1" outlineLevel="1">
      <c r="B1660" s="14" t="s">
        <v>116</v>
      </c>
      <c r="C1660" s="15" t="s">
        <v>66</v>
      </c>
      <c r="D1660" s="52">
        <v>2053</v>
      </c>
      <c r="E1660" s="34">
        <v>5</v>
      </c>
      <c r="F1660" s="38">
        <f t="shared" si="271"/>
        <v>20582.293793209628</v>
      </c>
      <c r="G1660" s="34">
        <f t="shared" si="272"/>
        <v>16</v>
      </c>
      <c r="H1660" s="34">
        <f t="shared" si="273"/>
        <v>4</v>
      </c>
      <c r="I1660" s="34" t="str">
        <f t="shared" ref="I1660:R1669" si="275">IF($D1660&lt;$Z$18,"",IF(MAX($G1660,INDEX($C$65:$F$108,$D1660+I$119-2026,$H1660))&lt;=12*I$119-$E1660+12,MAX($G1660,12*I$119-$E1660+1,INDEX($C$65:$F$108,$D1660+I$119-2026,$H1660)),""))</f>
        <v/>
      </c>
      <c r="J1660" s="34" t="str">
        <f t="shared" si="275"/>
        <v/>
      </c>
      <c r="K1660" s="34" t="str">
        <f t="shared" si="275"/>
        <v/>
      </c>
      <c r="L1660" s="34" t="str">
        <f t="shared" si="275"/>
        <v/>
      </c>
      <c r="M1660" s="34" t="str">
        <f t="shared" si="275"/>
        <v/>
      </c>
      <c r="N1660" s="34" t="str">
        <f t="shared" si="275"/>
        <v/>
      </c>
      <c r="O1660" s="34" t="str">
        <f t="shared" si="275"/>
        <v/>
      </c>
      <c r="P1660" s="34">
        <f t="shared" si="275"/>
        <v>84</v>
      </c>
      <c r="Q1660" s="34">
        <f t="shared" si="275"/>
        <v>92</v>
      </c>
      <c r="R1660" s="34">
        <f t="shared" si="275"/>
        <v>104</v>
      </c>
      <c r="S1660" s="35">
        <f t="shared" si="274"/>
        <v>84</v>
      </c>
    </row>
    <row r="1661" spans="2:19" hidden="1" outlineLevel="1">
      <c r="B1661" s="14" t="s">
        <v>116</v>
      </c>
      <c r="C1661" s="15" t="s">
        <v>66</v>
      </c>
      <c r="D1661" s="52">
        <v>2053</v>
      </c>
      <c r="E1661" s="34">
        <v>6</v>
      </c>
      <c r="F1661" s="38">
        <f t="shared" si="271"/>
        <v>20582.293793209628</v>
      </c>
      <c r="G1661" s="34">
        <f t="shared" si="272"/>
        <v>16</v>
      </c>
      <c r="H1661" s="34">
        <f t="shared" si="273"/>
        <v>4</v>
      </c>
      <c r="I1661" s="34" t="str">
        <f t="shared" si="275"/>
        <v/>
      </c>
      <c r="J1661" s="34" t="str">
        <f t="shared" si="275"/>
        <v/>
      </c>
      <c r="K1661" s="34" t="str">
        <f t="shared" si="275"/>
        <v/>
      </c>
      <c r="L1661" s="34" t="str">
        <f t="shared" si="275"/>
        <v/>
      </c>
      <c r="M1661" s="34" t="str">
        <f t="shared" si="275"/>
        <v/>
      </c>
      <c r="N1661" s="34" t="str">
        <f t="shared" si="275"/>
        <v/>
      </c>
      <c r="O1661" s="34" t="str">
        <f t="shared" si="275"/>
        <v/>
      </c>
      <c r="P1661" s="34">
        <f t="shared" si="275"/>
        <v>84</v>
      </c>
      <c r="Q1661" s="34">
        <f t="shared" si="275"/>
        <v>91</v>
      </c>
      <c r="R1661" s="34">
        <f t="shared" si="275"/>
        <v>103</v>
      </c>
      <c r="S1661" s="35">
        <f t="shared" si="274"/>
        <v>84</v>
      </c>
    </row>
    <row r="1662" spans="2:19" hidden="1" outlineLevel="1">
      <c r="B1662" s="14" t="s">
        <v>116</v>
      </c>
      <c r="C1662" s="15" t="s">
        <v>66</v>
      </c>
      <c r="D1662" s="52">
        <v>2053</v>
      </c>
      <c r="E1662" s="34">
        <v>7</v>
      </c>
      <c r="F1662" s="38">
        <f t="shared" si="271"/>
        <v>20582.293793209628</v>
      </c>
      <c r="G1662" s="34">
        <f t="shared" si="272"/>
        <v>16</v>
      </c>
      <c r="H1662" s="34">
        <f t="shared" si="273"/>
        <v>4</v>
      </c>
      <c r="I1662" s="34" t="str">
        <f t="shared" si="275"/>
        <v/>
      </c>
      <c r="J1662" s="34" t="str">
        <f t="shared" si="275"/>
        <v/>
      </c>
      <c r="K1662" s="34" t="str">
        <f t="shared" si="275"/>
        <v/>
      </c>
      <c r="L1662" s="34" t="str">
        <f t="shared" si="275"/>
        <v/>
      </c>
      <c r="M1662" s="34" t="str">
        <f t="shared" si="275"/>
        <v/>
      </c>
      <c r="N1662" s="34" t="str">
        <f t="shared" si="275"/>
        <v/>
      </c>
      <c r="O1662" s="34" t="str">
        <f t="shared" si="275"/>
        <v/>
      </c>
      <c r="P1662" s="34">
        <f t="shared" si="275"/>
        <v>84</v>
      </c>
      <c r="Q1662" s="34">
        <f t="shared" si="275"/>
        <v>90</v>
      </c>
      <c r="R1662" s="34">
        <f t="shared" si="275"/>
        <v>102</v>
      </c>
      <c r="S1662" s="35">
        <f t="shared" si="274"/>
        <v>84</v>
      </c>
    </row>
    <row r="1663" spans="2:19" hidden="1" outlineLevel="1">
      <c r="B1663" s="14" t="s">
        <v>116</v>
      </c>
      <c r="C1663" s="15" t="s">
        <v>66</v>
      </c>
      <c r="D1663" s="52">
        <v>2053</v>
      </c>
      <c r="E1663" s="34">
        <v>8</v>
      </c>
      <c r="F1663" s="38">
        <f t="shared" si="271"/>
        <v>20582.293793209628</v>
      </c>
      <c r="G1663" s="34">
        <f t="shared" si="272"/>
        <v>16</v>
      </c>
      <c r="H1663" s="34">
        <f t="shared" si="273"/>
        <v>4</v>
      </c>
      <c r="I1663" s="34" t="str">
        <f t="shared" si="275"/>
        <v/>
      </c>
      <c r="J1663" s="34" t="str">
        <f t="shared" si="275"/>
        <v/>
      </c>
      <c r="K1663" s="34" t="str">
        <f t="shared" si="275"/>
        <v/>
      </c>
      <c r="L1663" s="34" t="str">
        <f t="shared" si="275"/>
        <v/>
      </c>
      <c r="M1663" s="34" t="str">
        <f t="shared" si="275"/>
        <v/>
      </c>
      <c r="N1663" s="34" t="str">
        <f t="shared" si="275"/>
        <v/>
      </c>
      <c r="O1663" s="34" t="str">
        <f t="shared" si="275"/>
        <v/>
      </c>
      <c r="P1663" s="34">
        <f t="shared" si="275"/>
        <v>84</v>
      </c>
      <c r="Q1663" s="34">
        <f t="shared" si="275"/>
        <v>89</v>
      </c>
      <c r="R1663" s="34">
        <f t="shared" si="275"/>
        <v>101</v>
      </c>
      <c r="S1663" s="35">
        <f t="shared" si="274"/>
        <v>84</v>
      </c>
    </row>
    <row r="1664" spans="2:19" hidden="1" outlineLevel="1">
      <c r="B1664" s="14" t="s">
        <v>116</v>
      </c>
      <c r="C1664" s="15" t="s">
        <v>66</v>
      </c>
      <c r="D1664" s="52">
        <v>2053</v>
      </c>
      <c r="E1664" s="34">
        <v>9</v>
      </c>
      <c r="F1664" s="38">
        <f t="shared" si="271"/>
        <v>20582.293793209628</v>
      </c>
      <c r="G1664" s="34">
        <f t="shared" si="272"/>
        <v>16</v>
      </c>
      <c r="H1664" s="34">
        <f t="shared" si="273"/>
        <v>4</v>
      </c>
      <c r="I1664" s="34" t="str">
        <f t="shared" si="275"/>
        <v/>
      </c>
      <c r="J1664" s="34" t="str">
        <f t="shared" si="275"/>
        <v/>
      </c>
      <c r="K1664" s="34" t="str">
        <f t="shared" si="275"/>
        <v/>
      </c>
      <c r="L1664" s="34" t="str">
        <f t="shared" si="275"/>
        <v/>
      </c>
      <c r="M1664" s="34" t="str">
        <f t="shared" si="275"/>
        <v/>
      </c>
      <c r="N1664" s="34" t="str">
        <f t="shared" si="275"/>
        <v/>
      </c>
      <c r="O1664" s="34" t="str">
        <f t="shared" si="275"/>
        <v/>
      </c>
      <c r="P1664" s="34">
        <f t="shared" si="275"/>
        <v>84</v>
      </c>
      <c r="Q1664" s="34">
        <f t="shared" si="275"/>
        <v>88</v>
      </c>
      <c r="R1664" s="34">
        <f t="shared" si="275"/>
        <v>100</v>
      </c>
      <c r="S1664" s="35">
        <f t="shared" si="274"/>
        <v>84</v>
      </c>
    </row>
    <row r="1665" spans="2:19" hidden="1" outlineLevel="1">
      <c r="B1665" s="14" t="s">
        <v>116</v>
      </c>
      <c r="C1665" s="15" t="s">
        <v>66</v>
      </c>
      <c r="D1665" s="52">
        <v>2053</v>
      </c>
      <c r="E1665" s="34">
        <v>10</v>
      </c>
      <c r="F1665" s="38">
        <f t="shared" si="271"/>
        <v>20582.293793209628</v>
      </c>
      <c r="G1665" s="34">
        <f t="shared" si="272"/>
        <v>16</v>
      </c>
      <c r="H1665" s="34">
        <f t="shared" si="273"/>
        <v>4</v>
      </c>
      <c r="I1665" s="34" t="str">
        <f t="shared" si="275"/>
        <v/>
      </c>
      <c r="J1665" s="34" t="str">
        <f t="shared" si="275"/>
        <v/>
      </c>
      <c r="K1665" s="34" t="str">
        <f t="shared" si="275"/>
        <v/>
      </c>
      <c r="L1665" s="34" t="str">
        <f t="shared" si="275"/>
        <v/>
      </c>
      <c r="M1665" s="34" t="str">
        <f t="shared" si="275"/>
        <v/>
      </c>
      <c r="N1665" s="34" t="str">
        <f t="shared" si="275"/>
        <v/>
      </c>
      <c r="O1665" s="34" t="str">
        <f t="shared" si="275"/>
        <v/>
      </c>
      <c r="P1665" s="34">
        <f t="shared" si="275"/>
        <v>84</v>
      </c>
      <c r="Q1665" s="34">
        <f t="shared" si="275"/>
        <v>87</v>
      </c>
      <c r="R1665" s="34">
        <f t="shared" si="275"/>
        <v>99</v>
      </c>
      <c r="S1665" s="35">
        <f t="shared" si="274"/>
        <v>84</v>
      </c>
    </row>
    <row r="1666" spans="2:19" hidden="1" outlineLevel="1">
      <c r="B1666" s="14" t="s">
        <v>116</v>
      </c>
      <c r="C1666" s="15" t="s">
        <v>66</v>
      </c>
      <c r="D1666" s="52">
        <v>2053</v>
      </c>
      <c r="E1666" s="34">
        <v>11</v>
      </c>
      <c r="F1666" s="38">
        <f t="shared" si="271"/>
        <v>20582.293793209628</v>
      </c>
      <c r="G1666" s="34">
        <f t="shared" si="272"/>
        <v>16</v>
      </c>
      <c r="H1666" s="34">
        <f t="shared" si="273"/>
        <v>4</v>
      </c>
      <c r="I1666" s="34" t="str">
        <f t="shared" si="275"/>
        <v/>
      </c>
      <c r="J1666" s="34" t="str">
        <f t="shared" si="275"/>
        <v/>
      </c>
      <c r="K1666" s="34" t="str">
        <f t="shared" si="275"/>
        <v/>
      </c>
      <c r="L1666" s="34" t="str">
        <f t="shared" si="275"/>
        <v/>
      </c>
      <c r="M1666" s="34" t="str">
        <f t="shared" si="275"/>
        <v/>
      </c>
      <c r="N1666" s="34" t="str">
        <f t="shared" si="275"/>
        <v/>
      </c>
      <c r="O1666" s="34" t="str">
        <f t="shared" si="275"/>
        <v/>
      </c>
      <c r="P1666" s="34">
        <f t="shared" si="275"/>
        <v>84</v>
      </c>
      <c r="Q1666" s="34">
        <f t="shared" si="275"/>
        <v>86</v>
      </c>
      <c r="R1666" s="34">
        <f t="shared" si="275"/>
        <v>98</v>
      </c>
      <c r="S1666" s="35">
        <f t="shared" si="274"/>
        <v>84</v>
      </c>
    </row>
    <row r="1667" spans="2:19" hidden="1" outlineLevel="1">
      <c r="B1667" s="14" t="s">
        <v>116</v>
      </c>
      <c r="C1667" s="15" t="s">
        <v>66</v>
      </c>
      <c r="D1667" s="52">
        <v>2053</v>
      </c>
      <c r="E1667" s="34">
        <v>12</v>
      </c>
      <c r="F1667" s="38">
        <f t="shared" si="271"/>
        <v>20582.293793209628</v>
      </c>
      <c r="G1667" s="34">
        <f t="shared" si="272"/>
        <v>16</v>
      </c>
      <c r="H1667" s="34">
        <f t="shared" si="273"/>
        <v>4</v>
      </c>
      <c r="I1667" s="34" t="str">
        <f t="shared" si="275"/>
        <v/>
      </c>
      <c r="J1667" s="34" t="str">
        <f t="shared" si="275"/>
        <v/>
      </c>
      <c r="K1667" s="34" t="str">
        <f t="shared" si="275"/>
        <v/>
      </c>
      <c r="L1667" s="34" t="str">
        <f t="shared" si="275"/>
        <v/>
      </c>
      <c r="M1667" s="34" t="str">
        <f t="shared" si="275"/>
        <v/>
      </c>
      <c r="N1667" s="34" t="str">
        <f t="shared" si="275"/>
        <v/>
      </c>
      <c r="O1667" s="34" t="str">
        <f t="shared" si="275"/>
        <v/>
      </c>
      <c r="P1667" s="34">
        <f t="shared" si="275"/>
        <v>84</v>
      </c>
      <c r="Q1667" s="34">
        <f t="shared" si="275"/>
        <v>85</v>
      </c>
      <c r="R1667" s="34">
        <f t="shared" si="275"/>
        <v>97</v>
      </c>
      <c r="S1667" s="35">
        <f t="shared" si="274"/>
        <v>84</v>
      </c>
    </row>
    <row r="1668" spans="2:19" hidden="1" outlineLevel="1">
      <c r="B1668" s="14" t="s">
        <v>116</v>
      </c>
      <c r="C1668" s="15" t="s">
        <v>66</v>
      </c>
      <c r="D1668" s="52">
        <v>2054</v>
      </c>
      <c r="E1668" s="34">
        <v>1</v>
      </c>
      <c r="F1668" s="38">
        <f t="shared" si="271"/>
        <v>20524.709317928926</v>
      </c>
      <c r="G1668" s="34">
        <f t="shared" si="272"/>
        <v>16</v>
      </c>
      <c r="H1668" s="34">
        <f t="shared" si="273"/>
        <v>4</v>
      </c>
      <c r="I1668" s="34" t="str">
        <f t="shared" si="275"/>
        <v/>
      </c>
      <c r="J1668" s="34" t="str">
        <f t="shared" si="275"/>
        <v/>
      </c>
      <c r="K1668" s="34" t="str">
        <f t="shared" si="275"/>
        <v/>
      </c>
      <c r="L1668" s="34" t="str">
        <f t="shared" si="275"/>
        <v/>
      </c>
      <c r="M1668" s="34" t="str">
        <f t="shared" si="275"/>
        <v/>
      </c>
      <c r="N1668" s="34" t="str">
        <f t="shared" si="275"/>
        <v/>
      </c>
      <c r="O1668" s="34" t="str">
        <f t="shared" si="275"/>
        <v/>
      </c>
      <c r="P1668" s="34">
        <f t="shared" si="275"/>
        <v>84</v>
      </c>
      <c r="Q1668" s="34">
        <f t="shared" si="275"/>
        <v>96</v>
      </c>
      <c r="R1668" s="34">
        <f t="shared" si="275"/>
        <v>108</v>
      </c>
      <c r="S1668" s="35">
        <f t="shared" si="274"/>
        <v>84</v>
      </c>
    </row>
    <row r="1669" spans="2:19" hidden="1" outlineLevel="1">
      <c r="B1669" s="14" t="s">
        <v>116</v>
      </c>
      <c r="C1669" s="15" t="s">
        <v>66</v>
      </c>
      <c r="D1669" s="52">
        <v>2054</v>
      </c>
      <c r="E1669" s="34">
        <v>2</v>
      </c>
      <c r="F1669" s="38">
        <f t="shared" si="271"/>
        <v>20524.709317928926</v>
      </c>
      <c r="G1669" s="34">
        <f t="shared" si="272"/>
        <v>16</v>
      </c>
      <c r="H1669" s="34">
        <f t="shared" si="273"/>
        <v>4</v>
      </c>
      <c r="I1669" s="34" t="str">
        <f t="shared" si="275"/>
        <v/>
      </c>
      <c r="J1669" s="34" t="str">
        <f t="shared" si="275"/>
        <v/>
      </c>
      <c r="K1669" s="34" t="str">
        <f t="shared" si="275"/>
        <v/>
      </c>
      <c r="L1669" s="34" t="str">
        <f t="shared" si="275"/>
        <v/>
      </c>
      <c r="M1669" s="34" t="str">
        <f t="shared" si="275"/>
        <v/>
      </c>
      <c r="N1669" s="34" t="str">
        <f t="shared" si="275"/>
        <v/>
      </c>
      <c r="O1669" s="34" t="str">
        <f t="shared" si="275"/>
        <v/>
      </c>
      <c r="P1669" s="34">
        <f t="shared" si="275"/>
        <v>84</v>
      </c>
      <c r="Q1669" s="34">
        <f t="shared" si="275"/>
        <v>95</v>
      </c>
      <c r="R1669" s="34">
        <f t="shared" si="275"/>
        <v>107</v>
      </c>
      <c r="S1669" s="35">
        <f t="shared" si="274"/>
        <v>84</v>
      </c>
    </row>
    <row r="1670" spans="2:19" hidden="1" outlineLevel="1">
      <c r="B1670" s="14" t="s">
        <v>116</v>
      </c>
      <c r="C1670" s="15" t="s">
        <v>66</v>
      </c>
      <c r="D1670" s="52">
        <v>2054</v>
      </c>
      <c r="E1670" s="34">
        <v>3</v>
      </c>
      <c r="F1670" s="38">
        <f t="shared" si="271"/>
        <v>20524.709317928926</v>
      </c>
      <c r="G1670" s="34">
        <f t="shared" si="272"/>
        <v>16</v>
      </c>
      <c r="H1670" s="34">
        <f t="shared" si="273"/>
        <v>4</v>
      </c>
      <c r="I1670" s="34" t="str">
        <f t="shared" ref="I1670:R1679" si="276">IF($D1670&lt;$Z$18,"",IF(MAX($G1670,INDEX($C$65:$F$108,$D1670+I$119-2026,$H1670))&lt;=12*I$119-$E1670+12,MAX($G1670,12*I$119-$E1670+1,INDEX($C$65:$F$108,$D1670+I$119-2026,$H1670)),""))</f>
        <v/>
      </c>
      <c r="J1670" s="34" t="str">
        <f t="shared" si="276"/>
        <v/>
      </c>
      <c r="K1670" s="34" t="str">
        <f t="shared" si="276"/>
        <v/>
      </c>
      <c r="L1670" s="34" t="str">
        <f t="shared" si="276"/>
        <v/>
      </c>
      <c r="M1670" s="34" t="str">
        <f t="shared" si="276"/>
        <v/>
      </c>
      <c r="N1670" s="34" t="str">
        <f t="shared" si="276"/>
        <v/>
      </c>
      <c r="O1670" s="34" t="str">
        <f t="shared" si="276"/>
        <v/>
      </c>
      <c r="P1670" s="34">
        <f t="shared" si="276"/>
        <v>84</v>
      </c>
      <c r="Q1670" s="34">
        <f t="shared" si="276"/>
        <v>94</v>
      </c>
      <c r="R1670" s="34">
        <f t="shared" si="276"/>
        <v>106</v>
      </c>
      <c r="S1670" s="35">
        <f t="shared" si="274"/>
        <v>84</v>
      </c>
    </row>
    <row r="1671" spans="2:19" hidden="1" outlineLevel="1">
      <c r="B1671" s="14" t="s">
        <v>116</v>
      </c>
      <c r="C1671" s="15" t="s">
        <v>66</v>
      </c>
      <c r="D1671" s="52">
        <v>2054</v>
      </c>
      <c r="E1671" s="34">
        <v>4</v>
      </c>
      <c r="F1671" s="38">
        <f t="shared" si="271"/>
        <v>20524.709317928926</v>
      </c>
      <c r="G1671" s="34">
        <f t="shared" si="272"/>
        <v>16</v>
      </c>
      <c r="H1671" s="34">
        <f t="shared" si="273"/>
        <v>4</v>
      </c>
      <c r="I1671" s="34" t="str">
        <f t="shared" si="276"/>
        <v/>
      </c>
      <c r="J1671" s="34" t="str">
        <f t="shared" si="276"/>
        <v/>
      </c>
      <c r="K1671" s="34" t="str">
        <f t="shared" si="276"/>
        <v/>
      </c>
      <c r="L1671" s="34" t="str">
        <f t="shared" si="276"/>
        <v/>
      </c>
      <c r="M1671" s="34" t="str">
        <f t="shared" si="276"/>
        <v/>
      </c>
      <c r="N1671" s="34" t="str">
        <f t="shared" si="276"/>
        <v/>
      </c>
      <c r="O1671" s="34" t="str">
        <f t="shared" si="276"/>
        <v/>
      </c>
      <c r="P1671" s="34">
        <f t="shared" si="276"/>
        <v>84</v>
      </c>
      <c r="Q1671" s="34">
        <f t="shared" si="276"/>
        <v>93</v>
      </c>
      <c r="R1671" s="34">
        <f t="shared" si="276"/>
        <v>105</v>
      </c>
      <c r="S1671" s="35">
        <f t="shared" si="274"/>
        <v>84</v>
      </c>
    </row>
    <row r="1672" spans="2:19" hidden="1" outlineLevel="1">
      <c r="B1672" s="14" t="s">
        <v>116</v>
      </c>
      <c r="C1672" s="15" t="s">
        <v>66</v>
      </c>
      <c r="D1672" s="52">
        <v>2054</v>
      </c>
      <c r="E1672" s="34">
        <v>5</v>
      </c>
      <c r="F1672" s="38">
        <f t="shared" si="271"/>
        <v>20524.709317928926</v>
      </c>
      <c r="G1672" s="34">
        <f t="shared" si="272"/>
        <v>16</v>
      </c>
      <c r="H1672" s="34">
        <f t="shared" si="273"/>
        <v>4</v>
      </c>
      <c r="I1672" s="34" t="str">
        <f t="shared" si="276"/>
        <v/>
      </c>
      <c r="J1672" s="34" t="str">
        <f t="shared" si="276"/>
        <v/>
      </c>
      <c r="K1672" s="34" t="str">
        <f t="shared" si="276"/>
        <v/>
      </c>
      <c r="L1672" s="34" t="str">
        <f t="shared" si="276"/>
        <v/>
      </c>
      <c r="M1672" s="34" t="str">
        <f t="shared" si="276"/>
        <v/>
      </c>
      <c r="N1672" s="34" t="str">
        <f t="shared" si="276"/>
        <v/>
      </c>
      <c r="O1672" s="34" t="str">
        <f t="shared" si="276"/>
        <v/>
      </c>
      <c r="P1672" s="34">
        <f t="shared" si="276"/>
        <v>84</v>
      </c>
      <c r="Q1672" s="34">
        <f t="shared" si="276"/>
        <v>92</v>
      </c>
      <c r="R1672" s="34">
        <f t="shared" si="276"/>
        <v>104</v>
      </c>
      <c r="S1672" s="35">
        <f t="shared" si="274"/>
        <v>84</v>
      </c>
    </row>
    <row r="1673" spans="2:19" hidden="1" outlineLevel="1">
      <c r="B1673" s="14" t="s">
        <v>116</v>
      </c>
      <c r="C1673" s="15" t="s">
        <v>66</v>
      </c>
      <c r="D1673" s="52">
        <v>2054</v>
      </c>
      <c r="E1673" s="34">
        <v>6</v>
      </c>
      <c r="F1673" s="38">
        <f t="shared" si="271"/>
        <v>20524.709317928926</v>
      </c>
      <c r="G1673" s="34">
        <f t="shared" si="272"/>
        <v>16</v>
      </c>
      <c r="H1673" s="34">
        <f t="shared" si="273"/>
        <v>4</v>
      </c>
      <c r="I1673" s="34" t="str">
        <f t="shared" si="276"/>
        <v/>
      </c>
      <c r="J1673" s="34" t="str">
        <f t="shared" si="276"/>
        <v/>
      </c>
      <c r="K1673" s="34" t="str">
        <f t="shared" si="276"/>
        <v/>
      </c>
      <c r="L1673" s="34" t="str">
        <f t="shared" si="276"/>
        <v/>
      </c>
      <c r="M1673" s="34" t="str">
        <f t="shared" si="276"/>
        <v/>
      </c>
      <c r="N1673" s="34" t="str">
        <f t="shared" si="276"/>
        <v/>
      </c>
      <c r="O1673" s="34" t="str">
        <f t="shared" si="276"/>
        <v/>
      </c>
      <c r="P1673" s="34">
        <f t="shared" si="276"/>
        <v>84</v>
      </c>
      <c r="Q1673" s="34">
        <f t="shared" si="276"/>
        <v>91</v>
      </c>
      <c r="R1673" s="34">
        <f t="shared" si="276"/>
        <v>103</v>
      </c>
      <c r="S1673" s="35">
        <f t="shared" si="274"/>
        <v>84</v>
      </c>
    </row>
    <row r="1674" spans="2:19" hidden="1" outlineLevel="1">
      <c r="B1674" s="14" t="s">
        <v>116</v>
      </c>
      <c r="C1674" s="15" t="s">
        <v>66</v>
      </c>
      <c r="D1674" s="52">
        <v>2054</v>
      </c>
      <c r="E1674" s="34">
        <v>7</v>
      </c>
      <c r="F1674" s="38">
        <f t="shared" si="271"/>
        <v>20524.709317928926</v>
      </c>
      <c r="G1674" s="34">
        <f t="shared" si="272"/>
        <v>16</v>
      </c>
      <c r="H1674" s="34">
        <f t="shared" si="273"/>
        <v>4</v>
      </c>
      <c r="I1674" s="34" t="str">
        <f t="shared" si="276"/>
        <v/>
      </c>
      <c r="J1674" s="34" t="str">
        <f t="shared" si="276"/>
        <v/>
      </c>
      <c r="K1674" s="34" t="str">
        <f t="shared" si="276"/>
        <v/>
      </c>
      <c r="L1674" s="34" t="str">
        <f t="shared" si="276"/>
        <v/>
      </c>
      <c r="M1674" s="34" t="str">
        <f t="shared" si="276"/>
        <v/>
      </c>
      <c r="N1674" s="34" t="str">
        <f t="shared" si="276"/>
        <v/>
      </c>
      <c r="O1674" s="34" t="str">
        <f t="shared" si="276"/>
        <v/>
      </c>
      <c r="P1674" s="34">
        <f t="shared" si="276"/>
        <v>84</v>
      </c>
      <c r="Q1674" s="34">
        <f t="shared" si="276"/>
        <v>90</v>
      </c>
      <c r="R1674" s="34">
        <f t="shared" si="276"/>
        <v>102</v>
      </c>
      <c r="S1674" s="35">
        <f t="shared" si="274"/>
        <v>84</v>
      </c>
    </row>
    <row r="1675" spans="2:19" hidden="1" outlineLevel="1">
      <c r="B1675" s="14" t="s">
        <v>116</v>
      </c>
      <c r="C1675" s="15" t="s">
        <v>66</v>
      </c>
      <c r="D1675" s="52">
        <v>2054</v>
      </c>
      <c r="E1675" s="34">
        <v>8</v>
      </c>
      <c r="F1675" s="38">
        <f t="shared" si="271"/>
        <v>20524.709317928926</v>
      </c>
      <c r="G1675" s="34">
        <f t="shared" si="272"/>
        <v>16</v>
      </c>
      <c r="H1675" s="34">
        <f t="shared" si="273"/>
        <v>4</v>
      </c>
      <c r="I1675" s="34" t="str">
        <f t="shared" si="276"/>
        <v/>
      </c>
      <c r="J1675" s="34" t="str">
        <f t="shared" si="276"/>
        <v/>
      </c>
      <c r="K1675" s="34" t="str">
        <f t="shared" si="276"/>
        <v/>
      </c>
      <c r="L1675" s="34" t="str">
        <f t="shared" si="276"/>
        <v/>
      </c>
      <c r="M1675" s="34" t="str">
        <f t="shared" si="276"/>
        <v/>
      </c>
      <c r="N1675" s="34" t="str">
        <f t="shared" si="276"/>
        <v/>
      </c>
      <c r="O1675" s="34" t="str">
        <f t="shared" si="276"/>
        <v/>
      </c>
      <c r="P1675" s="34">
        <f t="shared" si="276"/>
        <v>84</v>
      </c>
      <c r="Q1675" s="34">
        <f t="shared" si="276"/>
        <v>89</v>
      </c>
      <c r="R1675" s="34">
        <f t="shared" si="276"/>
        <v>101</v>
      </c>
      <c r="S1675" s="35">
        <f t="shared" si="274"/>
        <v>84</v>
      </c>
    </row>
    <row r="1676" spans="2:19" hidden="1" outlineLevel="1">
      <c r="B1676" s="14" t="s">
        <v>116</v>
      </c>
      <c r="C1676" s="15" t="s">
        <v>66</v>
      </c>
      <c r="D1676" s="52">
        <v>2054</v>
      </c>
      <c r="E1676" s="34">
        <v>9</v>
      </c>
      <c r="F1676" s="38">
        <f t="shared" si="271"/>
        <v>20524.709317928926</v>
      </c>
      <c r="G1676" s="34">
        <f t="shared" si="272"/>
        <v>16</v>
      </c>
      <c r="H1676" s="34">
        <f t="shared" si="273"/>
        <v>4</v>
      </c>
      <c r="I1676" s="34" t="str">
        <f t="shared" si="276"/>
        <v/>
      </c>
      <c r="J1676" s="34" t="str">
        <f t="shared" si="276"/>
        <v/>
      </c>
      <c r="K1676" s="34" t="str">
        <f t="shared" si="276"/>
        <v/>
      </c>
      <c r="L1676" s="34" t="str">
        <f t="shared" si="276"/>
        <v/>
      </c>
      <c r="M1676" s="34" t="str">
        <f t="shared" si="276"/>
        <v/>
      </c>
      <c r="N1676" s="34" t="str">
        <f t="shared" si="276"/>
        <v/>
      </c>
      <c r="O1676" s="34" t="str">
        <f t="shared" si="276"/>
        <v/>
      </c>
      <c r="P1676" s="34">
        <f t="shared" si="276"/>
        <v>84</v>
      </c>
      <c r="Q1676" s="34">
        <f t="shared" si="276"/>
        <v>88</v>
      </c>
      <c r="R1676" s="34">
        <f t="shared" si="276"/>
        <v>100</v>
      </c>
      <c r="S1676" s="35">
        <f t="shared" si="274"/>
        <v>84</v>
      </c>
    </row>
    <row r="1677" spans="2:19" hidden="1" outlineLevel="1">
      <c r="B1677" s="14" t="s">
        <v>116</v>
      </c>
      <c r="C1677" s="15" t="s">
        <v>66</v>
      </c>
      <c r="D1677" s="52">
        <v>2054</v>
      </c>
      <c r="E1677" s="34">
        <v>10</v>
      </c>
      <c r="F1677" s="38">
        <f t="shared" si="271"/>
        <v>20524.709317928926</v>
      </c>
      <c r="G1677" s="34">
        <f t="shared" si="272"/>
        <v>16</v>
      </c>
      <c r="H1677" s="34">
        <f t="shared" si="273"/>
        <v>4</v>
      </c>
      <c r="I1677" s="34" t="str">
        <f t="shared" si="276"/>
        <v/>
      </c>
      <c r="J1677" s="34" t="str">
        <f t="shared" si="276"/>
        <v/>
      </c>
      <c r="K1677" s="34" t="str">
        <f t="shared" si="276"/>
        <v/>
      </c>
      <c r="L1677" s="34" t="str">
        <f t="shared" si="276"/>
        <v/>
      </c>
      <c r="M1677" s="34" t="str">
        <f t="shared" si="276"/>
        <v/>
      </c>
      <c r="N1677" s="34" t="str">
        <f t="shared" si="276"/>
        <v/>
      </c>
      <c r="O1677" s="34" t="str">
        <f t="shared" si="276"/>
        <v/>
      </c>
      <c r="P1677" s="34">
        <f t="shared" si="276"/>
        <v>84</v>
      </c>
      <c r="Q1677" s="34">
        <f t="shared" si="276"/>
        <v>87</v>
      </c>
      <c r="R1677" s="34">
        <f t="shared" si="276"/>
        <v>99</v>
      </c>
      <c r="S1677" s="35">
        <f t="shared" si="274"/>
        <v>84</v>
      </c>
    </row>
    <row r="1678" spans="2:19" hidden="1" outlineLevel="1">
      <c r="B1678" s="14" t="s">
        <v>116</v>
      </c>
      <c r="C1678" s="15" t="s">
        <v>66</v>
      </c>
      <c r="D1678" s="52">
        <v>2054</v>
      </c>
      <c r="E1678" s="34">
        <v>11</v>
      </c>
      <c r="F1678" s="38">
        <f t="shared" si="271"/>
        <v>20524.709317928926</v>
      </c>
      <c r="G1678" s="34">
        <f t="shared" si="272"/>
        <v>16</v>
      </c>
      <c r="H1678" s="34">
        <f t="shared" si="273"/>
        <v>4</v>
      </c>
      <c r="I1678" s="34" t="str">
        <f t="shared" si="276"/>
        <v/>
      </c>
      <c r="J1678" s="34" t="str">
        <f t="shared" si="276"/>
        <v/>
      </c>
      <c r="K1678" s="34" t="str">
        <f t="shared" si="276"/>
        <v/>
      </c>
      <c r="L1678" s="34" t="str">
        <f t="shared" si="276"/>
        <v/>
      </c>
      <c r="M1678" s="34" t="str">
        <f t="shared" si="276"/>
        <v/>
      </c>
      <c r="N1678" s="34" t="str">
        <f t="shared" si="276"/>
        <v/>
      </c>
      <c r="O1678" s="34" t="str">
        <f t="shared" si="276"/>
        <v/>
      </c>
      <c r="P1678" s="34">
        <f t="shared" si="276"/>
        <v>84</v>
      </c>
      <c r="Q1678" s="34">
        <f t="shared" si="276"/>
        <v>86</v>
      </c>
      <c r="R1678" s="34">
        <f t="shared" si="276"/>
        <v>98</v>
      </c>
      <c r="S1678" s="35">
        <f t="shared" si="274"/>
        <v>84</v>
      </c>
    </row>
    <row r="1679" spans="2:19" hidden="1" outlineLevel="1">
      <c r="B1679" s="14" t="s">
        <v>116</v>
      </c>
      <c r="C1679" s="15" t="s">
        <v>66</v>
      </c>
      <c r="D1679" s="52">
        <v>2054</v>
      </c>
      <c r="E1679" s="34">
        <v>12</v>
      </c>
      <c r="F1679" s="38">
        <f t="shared" si="271"/>
        <v>20524.709317928926</v>
      </c>
      <c r="G1679" s="34">
        <f t="shared" si="272"/>
        <v>16</v>
      </c>
      <c r="H1679" s="34">
        <f t="shared" si="273"/>
        <v>4</v>
      </c>
      <c r="I1679" s="34" t="str">
        <f t="shared" si="276"/>
        <v/>
      </c>
      <c r="J1679" s="34" t="str">
        <f t="shared" si="276"/>
        <v/>
      </c>
      <c r="K1679" s="34" t="str">
        <f t="shared" si="276"/>
        <v/>
      </c>
      <c r="L1679" s="34" t="str">
        <f t="shared" si="276"/>
        <v/>
      </c>
      <c r="M1679" s="34" t="str">
        <f t="shared" si="276"/>
        <v/>
      </c>
      <c r="N1679" s="34" t="str">
        <f t="shared" si="276"/>
        <v/>
      </c>
      <c r="O1679" s="34" t="str">
        <f t="shared" si="276"/>
        <v/>
      </c>
      <c r="P1679" s="34">
        <f t="shared" si="276"/>
        <v>84</v>
      </c>
      <c r="Q1679" s="34">
        <f t="shared" si="276"/>
        <v>85</v>
      </c>
      <c r="R1679" s="34">
        <f t="shared" si="276"/>
        <v>97</v>
      </c>
      <c r="S1679" s="35">
        <f t="shared" si="274"/>
        <v>84</v>
      </c>
    </row>
    <row r="1680" spans="2:19" hidden="1" outlineLevel="1">
      <c r="B1680" s="14" t="s">
        <v>116</v>
      </c>
      <c r="C1680" s="15" t="s">
        <v>66</v>
      </c>
      <c r="D1680" s="52">
        <v>2055</v>
      </c>
      <c r="E1680" s="34">
        <v>1</v>
      </c>
      <c r="F1680" s="38">
        <f t="shared" si="271"/>
        <v>20319.752499646591</v>
      </c>
      <c r="G1680" s="34">
        <f t="shared" si="272"/>
        <v>16</v>
      </c>
      <c r="H1680" s="34">
        <f t="shared" si="273"/>
        <v>4</v>
      </c>
      <c r="I1680" s="34" t="str">
        <f t="shared" ref="I1680:R1689" si="277">IF($D1680&lt;$Z$18,"",IF(MAX($G1680,INDEX($C$65:$F$108,$D1680+I$119-2026,$H1680))&lt;=12*I$119-$E1680+12,MAX($G1680,12*I$119-$E1680+1,INDEX($C$65:$F$108,$D1680+I$119-2026,$H1680)),""))</f>
        <v/>
      </c>
      <c r="J1680" s="34" t="str">
        <f t="shared" si="277"/>
        <v/>
      </c>
      <c r="K1680" s="34" t="str">
        <f t="shared" si="277"/>
        <v/>
      </c>
      <c r="L1680" s="34" t="str">
        <f t="shared" si="277"/>
        <v/>
      </c>
      <c r="M1680" s="34" t="str">
        <f t="shared" si="277"/>
        <v/>
      </c>
      <c r="N1680" s="34" t="str">
        <f t="shared" si="277"/>
        <v/>
      </c>
      <c r="O1680" s="34" t="str">
        <f t="shared" si="277"/>
        <v/>
      </c>
      <c r="P1680" s="34">
        <f t="shared" si="277"/>
        <v>84</v>
      </c>
      <c r="Q1680" s="34">
        <f t="shared" si="277"/>
        <v>96</v>
      </c>
      <c r="R1680" s="34">
        <f t="shared" si="277"/>
        <v>108</v>
      </c>
      <c r="S1680" s="35">
        <f t="shared" si="274"/>
        <v>84</v>
      </c>
    </row>
    <row r="1681" spans="2:19" hidden="1" outlineLevel="1">
      <c r="B1681" s="14" t="s">
        <v>116</v>
      </c>
      <c r="C1681" s="15" t="s">
        <v>66</v>
      </c>
      <c r="D1681" s="52">
        <v>2055</v>
      </c>
      <c r="E1681" s="34">
        <v>2</v>
      </c>
      <c r="F1681" s="38">
        <f t="shared" si="271"/>
        <v>20319.752499646591</v>
      </c>
      <c r="G1681" s="34">
        <f t="shared" si="272"/>
        <v>16</v>
      </c>
      <c r="H1681" s="34">
        <f t="shared" si="273"/>
        <v>4</v>
      </c>
      <c r="I1681" s="34" t="str">
        <f t="shared" si="277"/>
        <v/>
      </c>
      <c r="J1681" s="34" t="str">
        <f t="shared" si="277"/>
        <v/>
      </c>
      <c r="K1681" s="34" t="str">
        <f t="shared" si="277"/>
        <v/>
      </c>
      <c r="L1681" s="34" t="str">
        <f t="shared" si="277"/>
        <v/>
      </c>
      <c r="M1681" s="34" t="str">
        <f t="shared" si="277"/>
        <v/>
      </c>
      <c r="N1681" s="34" t="str">
        <f t="shared" si="277"/>
        <v/>
      </c>
      <c r="O1681" s="34" t="str">
        <f t="shared" si="277"/>
        <v/>
      </c>
      <c r="P1681" s="34">
        <f t="shared" si="277"/>
        <v>84</v>
      </c>
      <c r="Q1681" s="34">
        <f t="shared" si="277"/>
        <v>95</v>
      </c>
      <c r="R1681" s="34">
        <f t="shared" si="277"/>
        <v>107</v>
      </c>
      <c r="S1681" s="35">
        <f t="shared" si="274"/>
        <v>84</v>
      </c>
    </row>
    <row r="1682" spans="2:19" hidden="1" outlineLevel="1">
      <c r="B1682" s="14" t="s">
        <v>116</v>
      </c>
      <c r="C1682" s="15" t="s">
        <v>66</v>
      </c>
      <c r="D1682" s="52">
        <v>2055</v>
      </c>
      <c r="E1682" s="34">
        <v>3</v>
      </c>
      <c r="F1682" s="38">
        <f t="shared" si="271"/>
        <v>20319.752499646591</v>
      </c>
      <c r="G1682" s="34">
        <f t="shared" si="272"/>
        <v>16</v>
      </c>
      <c r="H1682" s="34">
        <f t="shared" si="273"/>
        <v>4</v>
      </c>
      <c r="I1682" s="34" t="str">
        <f t="shared" si="277"/>
        <v/>
      </c>
      <c r="J1682" s="34" t="str">
        <f t="shared" si="277"/>
        <v/>
      </c>
      <c r="K1682" s="34" t="str">
        <f t="shared" si="277"/>
        <v/>
      </c>
      <c r="L1682" s="34" t="str">
        <f t="shared" si="277"/>
        <v/>
      </c>
      <c r="M1682" s="34" t="str">
        <f t="shared" si="277"/>
        <v/>
      </c>
      <c r="N1682" s="34" t="str">
        <f t="shared" si="277"/>
        <v/>
      </c>
      <c r="O1682" s="34" t="str">
        <f t="shared" si="277"/>
        <v/>
      </c>
      <c r="P1682" s="34">
        <f t="shared" si="277"/>
        <v>84</v>
      </c>
      <c r="Q1682" s="34">
        <f t="shared" si="277"/>
        <v>94</v>
      </c>
      <c r="R1682" s="34">
        <f t="shared" si="277"/>
        <v>106</v>
      </c>
      <c r="S1682" s="35">
        <f t="shared" si="274"/>
        <v>84</v>
      </c>
    </row>
    <row r="1683" spans="2:19" hidden="1" outlineLevel="1">
      <c r="B1683" s="14" t="s">
        <v>116</v>
      </c>
      <c r="C1683" s="15" t="s">
        <v>66</v>
      </c>
      <c r="D1683" s="52">
        <v>2055</v>
      </c>
      <c r="E1683" s="34">
        <v>4</v>
      </c>
      <c r="F1683" s="38">
        <f t="shared" si="271"/>
        <v>20319.752499646591</v>
      </c>
      <c r="G1683" s="34">
        <f t="shared" si="272"/>
        <v>16</v>
      </c>
      <c r="H1683" s="34">
        <f t="shared" si="273"/>
        <v>4</v>
      </c>
      <c r="I1683" s="34" t="str">
        <f t="shared" si="277"/>
        <v/>
      </c>
      <c r="J1683" s="34" t="str">
        <f t="shared" si="277"/>
        <v/>
      </c>
      <c r="K1683" s="34" t="str">
        <f t="shared" si="277"/>
        <v/>
      </c>
      <c r="L1683" s="34" t="str">
        <f t="shared" si="277"/>
        <v/>
      </c>
      <c r="M1683" s="34" t="str">
        <f t="shared" si="277"/>
        <v/>
      </c>
      <c r="N1683" s="34" t="str">
        <f t="shared" si="277"/>
        <v/>
      </c>
      <c r="O1683" s="34" t="str">
        <f t="shared" si="277"/>
        <v/>
      </c>
      <c r="P1683" s="34">
        <f t="shared" si="277"/>
        <v>84</v>
      </c>
      <c r="Q1683" s="34">
        <f t="shared" si="277"/>
        <v>93</v>
      </c>
      <c r="R1683" s="34">
        <f t="shared" si="277"/>
        <v>105</v>
      </c>
      <c r="S1683" s="35">
        <f t="shared" si="274"/>
        <v>84</v>
      </c>
    </row>
    <row r="1684" spans="2:19" hidden="1" outlineLevel="1">
      <c r="B1684" s="14" t="s">
        <v>116</v>
      </c>
      <c r="C1684" s="15" t="s">
        <v>66</v>
      </c>
      <c r="D1684" s="52">
        <v>2055</v>
      </c>
      <c r="E1684" s="34">
        <v>5</v>
      </c>
      <c r="F1684" s="38">
        <f t="shared" si="271"/>
        <v>20319.752499646591</v>
      </c>
      <c r="G1684" s="34">
        <f t="shared" si="272"/>
        <v>16</v>
      </c>
      <c r="H1684" s="34">
        <f t="shared" si="273"/>
        <v>4</v>
      </c>
      <c r="I1684" s="34" t="str">
        <f t="shared" si="277"/>
        <v/>
      </c>
      <c r="J1684" s="34" t="str">
        <f t="shared" si="277"/>
        <v/>
      </c>
      <c r="K1684" s="34" t="str">
        <f t="shared" si="277"/>
        <v/>
      </c>
      <c r="L1684" s="34" t="str">
        <f t="shared" si="277"/>
        <v/>
      </c>
      <c r="M1684" s="34" t="str">
        <f t="shared" si="277"/>
        <v/>
      </c>
      <c r="N1684" s="34" t="str">
        <f t="shared" si="277"/>
        <v/>
      </c>
      <c r="O1684" s="34" t="str">
        <f t="shared" si="277"/>
        <v/>
      </c>
      <c r="P1684" s="34">
        <f t="shared" si="277"/>
        <v>84</v>
      </c>
      <c r="Q1684" s="34">
        <f t="shared" si="277"/>
        <v>92</v>
      </c>
      <c r="R1684" s="34">
        <f t="shared" si="277"/>
        <v>104</v>
      </c>
      <c r="S1684" s="35">
        <f t="shared" si="274"/>
        <v>84</v>
      </c>
    </row>
    <row r="1685" spans="2:19" hidden="1" outlineLevel="1">
      <c r="B1685" s="14" t="s">
        <v>116</v>
      </c>
      <c r="C1685" s="15" t="s">
        <v>66</v>
      </c>
      <c r="D1685" s="52">
        <v>2055</v>
      </c>
      <c r="E1685" s="34">
        <v>6</v>
      </c>
      <c r="F1685" s="38">
        <f t="shared" si="271"/>
        <v>20319.752499646591</v>
      </c>
      <c r="G1685" s="34">
        <f t="shared" si="272"/>
        <v>16</v>
      </c>
      <c r="H1685" s="34">
        <f t="shared" si="273"/>
        <v>4</v>
      </c>
      <c r="I1685" s="34" t="str">
        <f t="shared" si="277"/>
        <v/>
      </c>
      <c r="J1685" s="34" t="str">
        <f t="shared" si="277"/>
        <v/>
      </c>
      <c r="K1685" s="34" t="str">
        <f t="shared" si="277"/>
        <v/>
      </c>
      <c r="L1685" s="34" t="str">
        <f t="shared" si="277"/>
        <v/>
      </c>
      <c r="M1685" s="34" t="str">
        <f t="shared" si="277"/>
        <v/>
      </c>
      <c r="N1685" s="34" t="str">
        <f t="shared" si="277"/>
        <v/>
      </c>
      <c r="O1685" s="34" t="str">
        <f t="shared" si="277"/>
        <v/>
      </c>
      <c r="P1685" s="34">
        <f t="shared" si="277"/>
        <v>84</v>
      </c>
      <c r="Q1685" s="34">
        <f t="shared" si="277"/>
        <v>91</v>
      </c>
      <c r="R1685" s="34">
        <f t="shared" si="277"/>
        <v>103</v>
      </c>
      <c r="S1685" s="35">
        <f t="shared" si="274"/>
        <v>84</v>
      </c>
    </row>
    <row r="1686" spans="2:19" hidden="1" outlineLevel="1">
      <c r="B1686" s="14" t="s">
        <v>116</v>
      </c>
      <c r="C1686" s="15" t="s">
        <v>66</v>
      </c>
      <c r="D1686" s="52">
        <v>2055</v>
      </c>
      <c r="E1686" s="34">
        <v>7</v>
      </c>
      <c r="F1686" s="38">
        <f t="shared" si="271"/>
        <v>20319.752499646591</v>
      </c>
      <c r="G1686" s="34">
        <f t="shared" si="272"/>
        <v>16</v>
      </c>
      <c r="H1686" s="34">
        <f t="shared" si="273"/>
        <v>4</v>
      </c>
      <c r="I1686" s="34" t="str">
        <f t="shared" si="277"/>
        <v/>
      </c>
      <c r="J1686" s="34" t="str">
        <f t="shared" si="277"/>
        <v/>
      </c>
      <c r="K1686" s="34" t="str">
        <f t="shared" si="277"/>
        <v/>
      </c>
      <c r="L1686" s="34" t="str">
        <f t="shared" si="277"/>
        <v/>
      </c>
      <c r="M1686" s="34" t="str">
        <f t="shared" si="277"/>
        <v/>
      </c>
      <c r="N1686" s="34" t="str">
        <f t="shared" si="277"/>
        <v/>
      </c>
      <c r="O1686" s="34" t="str">
        <f t="shared" si="277"/>
        <v/>
      </c>
      <c r="P1686" s="34">
        <f t="shared" si="277"/>
        <v>84</v>
      </c>
      <c r="Q1686" s="34">
        <f t="shared" si="277"/>
        <v>90</v>
      </c>
      <c r="R1686" s="34">
        <f t="shared" si="277"/>
        <v>102</v>
      </c>
      <c r="S1686" s="35">
        <f t="shared" si="274"/>
        <v>84</v>
      </c>
    </row>
    <row r="1687" spans="2:19" hidden="1" outlineLevel="1">
      <c r="B1687" s="14" t="s">
        <v>116</v>
      </c>
      <c r="C1687" s="15" t="s">
        <v>66</v>
      </c>
      <c r="D1687" s="52">
        <v>2055</v>
      </c>
      <c r="E1687" s="34">
        <v>8</v>
      </c>
      <c r="F1687" s="38">
        <f t="shared" si="271"/>
        <v>20319.752499646591</v>
      </c>
      <c r="G1687" s="34">
        <f t="shared" si="272"/>
        <v>16</v>
      </c>
      <c r="H1687" s="34">
        <f t="shared" si="273"/>
        <v>4</v>
      </c>
      <c r="I1687" s="34" t="str">
        <f t="shared" si="277"/>
        <v/>
      </c>
      <c r="J1687" s="34" t="str">
        <f t="shared" si="277"/>
        <v/>
      </c>
      <c r="K1687" s="34" t="str">
        <f t="shared" si="277"/>
        <v/>
      </c>
      <c r="L1687" s="34" t="str">
        <f t="shared" si="277"/>
        <v/>
      </c>
      <c r="M1687" s="34" t="str">
        <f t="shared" si="277"/>
        <v/>
      </c>
      <c r="N1687" s="34" t="str">
        <f t="shared" si="277"/>
        <v/>
      </c>
      <c r="O1687" s="34" t="str">
        <f t="shared" si="277"/>
        <v/>
      </c>
      <c r="P1687" s="34">
        <f t="shared" si="277"/>
        <v>84</v>
      </c>
      <c r="Q1687" s="34">
        <f t="shared" si="277"/>
        <v>89</v>
      </c>
      <c r="R1687" s="34">
        <f t="shared" si="277"/>
        <v>101</v>
      </c>
      <c r="S1687" s="35">
        <f t="shared" si="274"/>
        <v>84</v>
      </c>
    </row>
    <row r="1688" spans="2:19" hidden="1" outlineLevel="1">
      <c r="B1688" s="14" t="s">
        <v>116</v>
      </c>
      <c r="C1688" s="15" t="s">
        <v>66</v>
      </c>
      <c r="D1688" s="52">
        <v>2055</v>
      </c>
      <c r="E1688" s="34">
        <v>9</v>
      </c>
      <c r="F1688" s="38">
        <f t="shared" si="271"/>
        <v>20319.752499646591</v>
      </c>
      <c r="G1688" s="34">
        <f t="shared" si="272"/>
        <v>16</v>
      </c>
      <c r="H1688" s="34">
        <f t="shared" si="273"/>
        <v>4</v>
      </c>
      <c r="I1688" s="34" t="str">
        <f t="shared" si="277"/>
        <v/>
      </c>
      <c r="J1688" s="34" t="str">
        <f t="shared" si="277"/>
        <v/>
      </c>
      <c r="K1688" s="34" t="str">
        <f t="shared" si="277"/>
        <v/>
      </c>
      <c r="L1688" s="34" t="str">
        <f t="shared" si="277"/>
        <v/>
      </c>
      <c r="M1688" s="34" t="str">
        <f t="shared" si="277"/>
        <v/>
      </c>
      <c r="N1688" s="34" t="str">
        <f t="shared" si="277"/>
        <v/>
      </c>
      <c r="O1688" s="34" t="str">
        <f t="shared" si="277"/>
        <v/>
      </c>
      <c r="P1688" s="34">
        <f t="shared" si="277"/>
        <v>84</v>
      </c>
      <c r="Q1688" s="34">
        <f t="shared" si="277"/>
        <v>88</v>
      </c>
      <c r="R1688" s="34">
        <f t="shared" si="277"/>
        <v>100</v>
      </c>
      <c r="S1688" s="35">
        <f t="shared" si="274"/>
        <v>84</v>
      </c>
    </row>
    <row r="1689" spans="2:19" hidden="1" outlineLevel="1">
      <c r="B1689" s="14" t="s">
        <v>116</v>
      </c>
      <c r="C1689" s="15" t="s">
        <v>66</v>
      </c>
      <c r="D1689" s="52">
        <v>2055</v>
      </c>
      <c r="E1689" s="34">
        <v>10</v>
      </c>
      <c r="F1689" s="38">
        <f t="shared" si="271"/>
        <v>20319.752499646591</v>
      </c>
      <c r="G1689" s="34">
        <f t="shared" si="272"/>
        <v>16</v>
      </c>
      <c r="H1689" s="34">
        <f t="shared" si="273"/>
        <v>4</v>
      </c>
      <c r="I1689" s="34" t="str">
        <f t="shared" si="277"/>
        <v/>
      </c>
      <c r="J1689" s="34" t="str">
        <f t="shared" si="277"/>
        <v/>
      </c>
      <c r="K1689" s="34" t="str">
        <f t="shared" si="277"/>
        <v/>
      </c>
      <c r="L1689" s="34" t="str">
        <f t="shared" si="277"/>
        <v/>
      </c>
      <c r="M1689" s="34" t="str">
        <f t="shared" si="277"/>
        <v/>
      </c>
      <c r="N1689" s="34" t="str">
        <f t="shared" si="277"/>
        <v/>
      </c>
      <c r="O1689" s="34" t="str">
        <f t="shared" si="277"/>
        <v/>
      </c>
      <c r="P1689" s="34">
        <f t="shared" si="277"/>
        <v>84</v>
      </c>
      <c r="Q1689" s="34">
        <f t="shared" si="277"/>
        <v>87</v>
      </c>
      <c r="R1689" s="34">
        <f t="shared" si="277"/>
        <v>99</v>
      </c>
      <c r="S1689" s="35">
        <f t="shared" si="274"/>
        <v>84</v>
      </c>
    </row>
    <row r="1690" spans="2:19" hidden="1" outlineLevel="1">
      <c r="B1690" s="14" t="s">
        <v>116</v>
      </c>
      <c r="C1690" s="15" t="s">
        <v>66</v>
      </c>
      <c r="D1690" s="52">
        <v>2055</v>
      </c>
      <c r="E1690" s="34">
        <v>11</v>
      </c>
      <c r="F1690" s="38">
        <f t="shared" si="271"/>
        <v>20319.752499646591</v>
      </c>
      <c r="G1690" s="34">
        <f t="shared" si="272"/>
        <v>16</v>
      </c>
      <c r="H1690" s="34">
        <f t="shared" si="273"/>
        <v>4</v>
      </c>
      <c r="I1690" s="34" t="str">
        <f t="shared" ref="I1690:R1699" si="278">IF($D1690&lt;$Z$18,"",IF(MAX($G1690,INDEX($C$65:$F$108,$D1690+I$119-2026,$H1690))&lt;=12*I$119-$E1690+12,MAX($G1690,12*I$119-$E1690+1,INDEX($C$65:$F$108,$D1690+I$119-2026,$H1690)),""))</f>
        <v/>
      </c>
      <c r="J1690" s="34" t="str">
        <f t="shared" si="278"/>
        <v/>
      </c>
      <c r="K1690" s="34" t="str">
        <f t="shared" si="278"/>
        <v/>
      </c>
      <c r="L1690" s="34" t="str">
        <f t="shared" si="278"/>
        <v/>
      </c>
      <c r="M1690" s="34" t="str">
        <f t="shared" si="278"/>
        <v/>
      </c>
      <c r="N1690" s="34" t="str">
        <f t="shared" si="278"/>
        <v/>
      </c>
      <c r="O1690" s="34" t="str">
        <f t="shared" si="278"/>
        <v/>
      </c>
      <c r="P1690" s="34">
        <f t="shared" si="278"/>
        <v>84</v>
      </c>
      <c r="Q1690" s="34">
        <f t="shared" si="278"/>
        <v>86</v>
      </c>
      <c r="R1690" s="34">
        <f t="shared" si="278"/>
        <v>98</v>
      </c>
      <c r="S1690" s="35">
        <f t="shared" si="274"/>
        <v>84</v>
      </c>
    </row>
    <row r="1691" spans="2:19" hidden="1" outlineLevel="1">
      <c r="B1691" s="14" t="s">
        <v>116</v>
      </c>
      <c r="C1691" s="15" t="s">
        <v>66</v>
      </c>
      <c r="D1691" s="52">
        <v>2055</v>
      </c>
      <c r="E1691" s="34">
        <v>12</v>
      </c>
      <c r="F1691" s="38">
        <f t="shared" si="271"/>
        <v>20319.752499646591</v>
      </c>
      <c r="G1691" s="34">
        <f t="shared" si="272"/>
        <v>16</v>
      </c>
      <c r="H1691" s="34">
        <f t="shared" si="273"/>
        <v>4</v>
      </c>
      <c r="I1691" s="34" t="str">
        <f t="shared" si="278"/>
        <v/>
      </c>
      <c r="J1691" s="34" t="str">
        <f t="shared" si="278"/>
        <v/>
      </c>
      <c r="K1691" s="34" t="str">
        <f t="shared" si="278"/>
        <v/>
      </c>
      <c r="L1691" s="34" t="str">
        <f t="shared" si="278"/>
        <v/>
      </c>
      <c r="M1691" s="34" t="str">
        <f t="shared" si="278"/>
        <v/>
      </c>
      <c r="N1691" s="34" t="str">
        <f t="shared" si="278"/>
        <v/>
      </c>
      <c r="O1691" s="34" t="str">
        <f t="shared" si="278"/>
        <v/>
      </c>
      <c r="P1691" s="34">
        <f t="shared" si="278"/>
        <v>84</v>
      </c>
      <c r="Q1691" s="34">
        <f t="shared" si="278"/>
        <v>85</v>
      </c>
      <c r="R1691" s="34">
        <f t="shared" si="278"/>
        <v>97</v>
      </c>
      <c r="S1691" s="35">
        <f t="shared" si="274"/>
        <v>84</v>
      </c>
    </row>
    <row r="1692" spans="2:19" hidden="1" outlineLevel="1">
      <c r="B1692" s="14" t="s">
        <v>116</v>
      </c>
      <c r="C1692" s="15" t="s">
        <v>66</v>
      </c>
      <c r="D1692" s="52">
        <v>2056</v>
      </c>
      <c r="E1692" s="34">
        <v>1</v>
      </c>
      <c r="F1692" s="38">
        <f t="shared" si="271"/>
        <v>19906.218595344122</v>
      </c>
      <c r="G1692" s="34">
        <f t="shared" si="272"/>
        <v>16</v>
      </c>
      <c r="H1692" s="34">
        <f t="shared" si="273"/>
        <v>4</v>
      </c>
      <c r="I1692" s="34" t="str">
        <f t="shared" si="278"/>
        <v/>
      </c>
      <c r="J1692" s="34" t="str">
        <f t="shared" si="278"/>
        <v/>
      </c>
      <c r="K1692" s="34" t="str">
        <f t="shared" si="278"/>
        <v/>
      </c>
      <c r="L1692" s="34" t="str">
        <f t="shared" si="278"/>
        <v/>
      </c>
      <c r="M1692" s="34" t="str">
        <f t="shared" si="278"/>
        <v/>
      </c>
      <c r="N1692" s="34" t="str">
        <f t="shared" si="278"/>
        <v/>
      </c>
      <c r="O1692" s="34" t="str">
        <f t="shared" si="278"/>
        <v/>
      </c>
      <c r="P1692" s="34">
        <f t="shared" si="278"/>
        <v>84</v>
      </c>
      <c r="Q1692" s="34">
        <f t="shared" si="278"/>
        <v>96</v>
      </c>
      <c r="R1692" s="34">
        <f t="shared" si="278"/>
        <v>108</v>
      </c>
      <c r="S1692" s="35">
        <f t="shared" si="274"/>
        <v>84</v>
      </c>
    </row>
    <row r="1693" spans="2:19" hidden="1" outlineLevel="1">
      <c r="B1693" s="14" t="s">
        <v>116</v>
      </c>
      <c r="C1693" s="15" t="s">
        <v>66</v>
      </c>
      <c r="D1693" s="52">
        <v>2056</v>
      </c>
      <c r="E1693" s="34">
        <v>2</v>
      </c>
      <c r="F1693" s="38">
        <f t="shared" si="271"/>
        <v>19906.218595344122</v>
      </c>
      <c r="G1693" s="34">
        <f t="shared" si="272"/>
        <v>16</v>
      </c>
      <c r="H1693" s="34">
        <f t="shared" si="273"/>
        <v>4</v>
      </c>
      <c r="I1693" s="34" t="str">
        <f t="shared" si="278"/>
        <v/>
      </c>
      <c r="J1693" s="34" t="str">
        <f t="shared" si="278"/>
        <v/>
      </c>
      <c r="K1693" s="34" t="str">
        <f t="shared" si="278"/>
        <v/>
      </c>
      <c r="L1693" s="34" t="str">
        <f t="shared" si="278"/>
        <v/>
      </c>
      <c r="M1693" s="34" t="str">
        <f t="shared" si="278"/>
        <v/>
      </c>
      <c r="N1693" s="34" t="str">
        <f t="shared" si="278"/>
        <v/>
      </c>
      <c r="O1693" s="34" t="str">
        <f t="shared" si="278"/>
        <v/>
      </c>
      <c r="P1693" s="34">
        <f t="shared" si="278"/>
        <v>84</v>
      </c>
      <c r="Q1693" s="34">
        <f t="shared" si="278"/>
        <v>95</v>
      </c>
      <c r="R1693" s="34">
        <f t="shared" si="278"/>
        <v>107</v>
      </c>
      <c r="S1693" s="35">
        <f t="shared" si="274"/>
        <v>84</v>
      </c>
    </row>
    <row r="1694" spans="2:19" hidden="1" outlineLevel="1">
      <c r="B1694" s="14" t="s">
        <v>116</v>
      </c>
      <c r="C1694" s="15" t="s">
        <v>66</v>
      </c>
      <c r="D1694" s="52">
        <v>2056</v>
      </c>
      <c r="E1694" s="34">
        <v>3</v>
      </c>
      <c r="F1694" s="38">
        <f t="shared" si="271"/>
        <v>19906.218595344122</v>
      </c>
      <c r="G1694" s="34">
        <f t="shared" si="272"/>
        <v>16</v>
      </c>
      <c r="H1694" s="34">
        <f t="shared" si="273"/>
        <v>4</v>
      </c>
      <c r="I1694" s="34" t="str">
        <f t="shared" si="278"/>
        <v/>
      </c>
      <c r="J1694" s="34" t="str">
        <f t="shared" si="278"/>
        <v/>
      </c>
      <c r="K1694" s="34" t="str">
        <f t="shared" si="278"/>
        <v/>
      </c>
      <c r="L1694" s="34" t="str">
        <f t="shared" si="278"/>
        <v/>
      </c>
      <c r="M1694" s="34" t="str">
        <f t="shared" si="278"/>
        <v/>
      </c>
      <c r="N1694" s="34" t="str">
        <f t="shared" si="278"/>
        <v/>
      </c>
      <c r="O1694" s="34" t="str">
        <f t="shared" si="278"/>
        <v/>
      </c>
      <c r="P1694" s="34">
        <f t="shared" si="278"/>
        <v>84</v>
      </c>
      <c r="Q1694" s="34">
        <f t="shared" si="278"/>
        <v>94</v>
      </c>
      <c r="R1694" s="34">
        <f t="shared" si="278"/>
        <v>106</v>
      </c>
      <c r="S1694" s="35">
        <f t="shared" si="274"/>
        <v>84</v>
      </c>
    </row>
    <row r="1695" spans="2:19" hidden="1" outlineLevel="1">
      <c r="B1695" s="14" t="s">
        <v>116</v>
      </c>
      <c r="C1695" s="15" t="s">
        <v>66</v>
      </c>
      <c r="D1695" s="52">
        <v>2056</v>
      </c>
      <c r="E1695" s="34">
        <v>4</v>
      </c>
      <c r="F1695" s="38">
        <f t="shared" si="271"/>
        <v>19906.218595344122</v>
      </c>
      <c r="G1695" s="34">
        <f t="shared" si="272"/>
        <v>16</v>
      </c>
      <c r="H1695" s="34">
        <f t="shared" si="273"/>
        <v>4</v>
      </c>
      <c r="I1695" s="34" t="str">
        <f t="shared" si="278"/>
        <v/>
      </c>
      <c r="J1695" s="34" t="str">
        <f t="shared" si="278"/>
        <v/>
      </c>
      <c r="K1695" s="34" t="str">
        <f t="shared" si="278"/>
        <v/>
      </c>
      <c r="L1695" s="34" t="str">
        <f t="shared" si="278"/>
        <v/>
      </c>
      <c r="M1695" s="34" t="str">
        <f t="shared" si="278"/>
        <v/>
      </c>
      <c r="N1695" s="34" t="str">
        <f t="shared" si="278"/>
        <v/>
      </c>
      <c r="O1695" s="34" t="str">
        <f t="shared" si="278"/>
        <v/>
      </c>
      <c r="P1695" s="34">
        <f t="shared" si="278"/>
        <v>84</v>
      </c>
      <c r="Q1695" s="34">
        <f t="shared" si="278"/>
        <v>93</v>
      </c>
      <c r="R1695" s="34">
        <f t="shared" si="278"/>
        <v>105</v>
      </c>
      <c r="S1695" s="35">
        <f t="shared" si="274"/>
        <v>84</v>
      </c>
    </row>
    <row r="1696" spans="2:19" hidden="1" outlineLevel="1">
      <c r="B1696" s="14" t="s">
        <v>116</v>
      </c>
      <c r="C1696" s="15" t="s">
        <v>66</v>
      </c>
      <c r="D1696" s="52">
        <v>2056</v>
      </c>
      <c r="E1696" s="34">
        <v>5</v>
      </c>
      <c r="F1696" s="38">
        <f t="shared" si="271"/>
        <v>19906.218595344122</v>
      </c>
      <c r="G1696" s="34">
        <f t="shared" si="272"/>
        <v>16</v>
      </c>
      <c r="H1696" s="34">
        <f t="shared" si="273"/>
        <v>4</v>
      </c>
      <c r="I1696" s="34" t="str">
        <f t="shared" si="278"/>
        <v/>
      </c>
      <c r="J1696" s="34" t="str">
        <f t="shared" si="278"/>
        <v/>
      </c>
      <c r="K1696" s="34" t="str">
        <f t="shared" si="278"/>
        <v/>
      </c>
      <c r="L1696" s="34" t="str">
        <f t="shared" si="278"/>
        <v/>
      </c>
      <c r="M1696" s="34" t="str">
        <f t="shared" si="278"/>
        <v/>
      </c>
      <c r="N1696" s="34" t="str">
        <f t="shared" si="278"/>
        <v/>
      </c>
      <c r="O1696" s="34" t="str">
        <f t="shared" si="278"/>
        <v/>
      </c>
      <c r="P1696" s="34">
        <f t="shared" si="278"/>
        <v>84</v>
      </c>
      <c r="Q1696" s="34">
        <f t="shared" si="278"/>
        <v>92</v>
      </c>
      <c r="R1696" s="34">
        <f t="shared" si="278"/>
        <v>104</v>
      </c>
      <c r="S1696" s="35">
        <f t="shared" si="274"/>
        <v>84</v>
      </c>
    </row>
    <row r="1697" spans="2:19" hidden="1" outlineLevel="1">
      <c r="B1697" s="14" t="s">
        <v>116</v>
      </c>
      <c r="C1697" s="15" t="s">
        <v>66</v>
      </c>
      <c r="D1697" s="52">
        <v>2056</v>
      </c>
      <c r="E1697" s="34">
        <v>6</v>
      </c>
      <c r="F1697" s="38">
        <f t="shared" si="271"/>
        <v>19906.218595344122</v>
      </c>
      <c r="G1697" s="34">
        <f t="shared" si="272"/>
        <v>16</v>
      </c>
      <c r="H1697" s="34">
        <f t="shared" si="273"/>
        <v>4</v>
      </c>
      <c r="I1697" s="34" t="str">
        <f t="shared" si="278"/>
        <v/>
      </c>
      <c r="J1697" s="34" t="str">
        <f t="shared" si="278"/>
        <v/>
      </c>
      <c r="K1697" s="34" t="str">
        <f t="shared" si="278"/>
        <v/>
      </c>
      <c r="L1697" s="34" t="str">
        <f t="shared" si="278"/>
        <v/>
      </c>
      <c r="M1697" s="34" t="str">
        <f t="shared" si="278"/>
        <v/>
      </c>
      <c r="N1697" s="34" t="str">
        <f t="shared" si="278"/>
        <v/>
      </c>
      <c r="O1697" s="34" t="str">
        <f t="shared" si="278"/>
        <v/>
      </c>
      <c r="P1697" s="34">
        <f t="shared" si="278"/>
        <v>84</v>
      </c>
      <c r="Q1697" s="34">
        <f t="shared" si="278"/>
        <v>91</v>
      </c>
      <c r="R1697" s="34">
        <f t="shared" si="278"/>
        <v>103</v>
      </c>
      <c r="S1697" s="35">
        <f t="shared" si="274"/>
        <v>84</v>
      </c>
    </row>
    <row r="1698" spans="2:19" hidden="1" outlineLevel="1">
      <c r="B1698" s="14" t="s">
        <v>116</v>
      </c>
      <c r="C1698" s="15" t="s">
        <v>66</v>
      </c>
      <c r="D1698" s="52">
        <v>2056</v>
      </c>
      <c r="E1698" s="34">
        <v>7</v>
      </c>
      <c r="F1698" s="38">
        <f t="shared" si="271"/>
        <v>19906.218595344122</v>
      </c>
      <c r="G1698" s="34">
        <f t="shared" si="272"/>
        <v>16</v>
      </c>
      <c r="H1698" s="34">
        <f t="shared" si="273"/>
        <v>4</v>
      </c>
      <c r="I1698" s="34" t="str">
        <f t="shared" si="278"/>
        <v/>
      </c>
      <c r="J1698" s="34" t="str">
        <f t="shared" si="278"/>
        <v/>
      </c>
      <c r="K1698" s="34" t="str">
        <f t="shared" si="278"/>
        <v/>
      </c>
      <c r="L1698" s="34" t="str">
        <f t="shared" si="278"/>
        <v/>
      </c>
      <c r="M1698" s="34" t="str">
        <f t="shared" si="278"/>
        <v/>
      </c>
      <c r="N1698" s="34" t="str">
        <f t="shared" si="278"/>
        <v/>
      </c>
      <c r="O1698" s="34" t="str">
        <f t="shared" si="278"/>
        <v/>
      </c>
      <c r="P1698" s="34">
        <f t="shared" si="278"/>
        <v>84</v>
      </c>
      <c r="Q1698" s="34">
        <f t="shared" si="278"/>
        <v>90</v>
      </c>
      <c r="R1698" s="34">
        <f t="shared" si="278"/>
        <v>102</v>
      </c>
      <c r="S1698" s="35">
        <f t="shared" si="274"/>
        <v>84</v>
      </c>
    </row>
    <row r="1699" spans="2:19" hidden="1" outlineLevel="1">
      <c r="B1699" s="14" t="s">
        <v>116</v>
      </c>
      <c r="C1699" s="15" t="s">
        <v>66</v>
      </c>
      <c r="D1699" s="52">
        <v>2056</v>
      </c>
      <c r="E1699" s="34">
        <v>8</v>
      </c>
      <c r="F1699" s="38">
        <f t="shared" si="271"/>
        <v>19906.218595344122</v>
      </c>
      <c r="G1699" s="34">
        <f t="shared" si="272"/>
        <v>16</v>
      </c>
      <c r="H1699" s="34">
        <f t="shared" si="273"/>
        <v>4</v>
      </c>
      <c r="I1699" s="34" t="str">
        <f t="shared" si="278"/>
        <v/>
      </c>
      <c r="J1699" s="34" t="str">
        <f t="shared" si="278"/>
        <v/>
      </c>
      <c r="K1699" s="34" t="str">
        <f t="shared" si="278"/>
        <v/>
      </c>
      <c r="L1699" s="34" t="str">
        <f t="shared" si="278"/>
        <v/>
      </c>
      <c r="M1699" s="34" t="str">
        <f t="shared" si="278"/>
        <v/>
      </c>
      <c r="N1699" s="34" t="str">
        <f t="shared" si="278"/>
        <v/>
      </c>
      <c r="O1699" s="34" t="str">
        <f t="shared" si="278"/>
        <v/>
      </c>
      <c r="P1699" s="34">
        <f t="shared" si="278"/>
        <v>84</v>
      </c>
      <c r="Q1699" s="34">
        <f t="shared" si="278"/>
        <v>89</v>
      </c>
      <c r="R1699" s="34">
        <f t="shared" si="278"/>
        <v>101</v>
      </c>
      <c r="S1699" s="35">
        <f t="shared" si="274"/>
        <v>84</v>
      </c>
    </row>
    <row r="1700" spans="2:19" hidden="1" outlineLevel="1">
      <c r="B1700" s="14" t="s">
        <v>116</v>
      </c>
      <c r="C1700" s="15" t="s">
        <v>66</v>
      </c>
      <c r="D1700" s="52">
        <v>2056</v>
      </c>
      <c r="E1700" s="34">
        <v>9</v>
      </c>
      <c r="F1700" s="38">
        <f t="shared" si="271"/>
        <v>19906.218595344122</v>
      </c>
      <c r="G1700" s="34">
        <f t="shared" si="272"/>
        <v>16</v>
      </c>
      <c r="H1700" s="34">
        <f t="shared" si="273"/>
        <v>4</v>
      </c>
      <c r="I1700" s="34" t="str">
        <f t="shared" ref="I1700:R1709" si="279">IF($D1700&lt;$Z$18,"",IF(MAX($G1700,INDEX($C$65:$F$108,$D1700+I$119-2026,$H1700))&lt;=12*I$119-$E1700+12,MAX($G1700,12*I$119-$E1700+1,INDEX($C$65:$F$108,$D1700+I$119-2026,$H1700)),""))</f>
        <v/>
      </c>
      <c r="J1700" s="34" t="str">
        <f t="shared" si="279"/>
        <v/>
      </c>
      <c r="K1700" s="34" t="str">
        <f t="shared" si="279"/>
        <v/>
      </c>
      <c r="L1700" s="34" t="str">
        <f t="shared" si="279"/>
        <v/>
      </c>
      <c r="M1700" s="34" t="str">
        <f t="shared" si="279"/>
        <v/>
      </c>
      <c r="N1700" s="34" t="str">
        <f t="shared" si="279"/>
        <v/>
      </c>
      <c r="O1700" s="34" t="str">
        <f t="shared" si="279"/>
        <v/>
      </c>
      <c r="P1700" s="34">
        <f t="shared" si="279"/>
        <v>84</v>
      </c>
      <c r="Q1700" s="34">
        <f t="shared" si="279"/>
        <v>88</v>
      </c>
      <c r="R1700" s="34">
        <f t="shared" si="279"/>
        <v>100</v>
      </c>
      <c r="S1700" s="35">
        <f t="shared" si="274"/>
        <v>84</v>
      </c>
    </row>
    <row r="1701" spans="2:19" hidden="1" outlineLevel="1">
      <c r="B1701" s="14" t="s">
        <v>116</v>
      </c>
      <c r="C1701" s="15" t="s">
        <v>66</v>
      </c>
      <c r="D1701" s="52">
        <v>2056</v>
      </c>
      <c r="E1701" s="34">
        <v>10</v>
      </c>
      <c r="F1701" s="38">
        <f t="shared" si="271"/>
        <v>19906.218595344122</v>
      </c>
      <c r="G1701" s="34">
        <f t="shared" si="272"/>
        <v>16</v>
      </c>
      <c r="H1701" s="34">
        <f t="shared" si="273"/>
        <v>4</v>
      </c>
      <c r="I1701" s="34" t="str">
        <f t="shared" si="279"/>
        <v/>
      </c>
      <c r="J1701" s="34" t="str">
        <f t="shared" si="279"/>
        <v/>
      </c>
      <c r="K1701" s="34" t="str">
        <f t="shared" si="279"/>
        <v/>
      </c>
      <c r="L1701" s="34" t="str">
        <f t="shared" si="279"/>
        <v/>
      </c>
      <c r="M1701" s="34" t="str">
        <f t="shared" si="279"/>
        <v/>
      </c>
      <c r="N1701" s="34" t="str">
        <f t="shared" si="279"/>
        <v/>
      </c>
      <c r="O1701" s="34" t="str">
        <f t="shared" si="279"/>
        <v/>
      </c>
      <c r="P1701" s="34">
        <f t="shared" si="279"/>
        <v>84</v>
      </c>
      <c r="Q1701" s="34">
        <f t="shared" si="279"/>
        <v>87</v>
      </c>
      <c r="R1701" s="34">
        <f t="shared" si="279"/>
        <v>99</v>
      </c>
      <c r="S1701" s="35">
        <f t="shared" si="274"/>
        <v>84</v>
      </c>
    </row>
    <row r="1702" spans="2:19" hidden="1" outlineLevel="1">
      <c r="B1702" s="14" t="s">
        <v>116</v>
      </c>
      <c r="C1702" s="15" t="s">
        <v>66</v>
      </c>
      <c r="D1702" s="52">
        <v>2056</v>
      </c>
      <c r="E1702" s="34">
        <v>11</v>
      </c>
      <c r="F1702" s="38">
        <f t="shared" si="271"/>
        <v>19906.218595344122</v>
      </c>
      <c r="G1702" s="34">
        <f t="shared" si="272"/>
        <v>16</v>
      </c>
      <c r="H1702" s="34">
        <f t="shared" si="273"/>
        <v>4</v>
      </c>
      <c r="I1702" s="34" t="str">
        <f t="shared" si="279"/>
        <v/>
      </c>
      <c r="J1702" s="34" t="str">
        <f t="shared" si="279"/>
        <v/>
      </c>
      <c r="K1702" s="34" t="str">
        <f t="shared" si="279"/>
        <v/>
      </c>
      <c r="L1702" s="34" t="str">
        <f t="shared" si="279"/>
        <v/>
      </c>
      <c r="M1702" s="34" t="str">
        <f t="shared" si="279"/>
        <v/>
      </c>
      <c r="N1702" s="34" t="str">
        <f t="shared" si="279"/>
        <v/>
      </c>
      <c r="O1702" s="34" t="str">
        <f t="shared" si="279"/>
        <v/>
      </c>
      <c r="P1702" s="34">
        <f t="shared" si="279"/>
        <v>84</v>
      </c>
      <c r="Q1702" s="34">
        <f t="shared" si="279"/>
        <v>86</v>
      </c>
      <c r="R1702" s="34">
        <f t="shared" si="279"/>
        <v>98</v>
      </c>
      <c r="S1702" s="35">
        <f t="shared" si="274"/>
        <v>84</v>
      </c>
    </row>
    <row r="1703" spans="2:19" hidden="1" outlineLevel="1">
      <c r="B1703" s="14" t="s">
        <v>116</v>
      </c>
      <c r="C1703" s="15" t="s">
        <v>66</v>
      </c>
      <c r="D1703" s="52">
        <v>2056</v>
      </c>
      <c r="E1703" s="34">
        <v>12</v>
      </c>
      <c r="F1703" s="38">
        <f t="shared" si="271"/>
        <v>19906.218595344122</v>
      </c>
      <c r="G1703" s="34">
        <f t="shared" si="272"/>
        <v>16</v>
      </c>
      <c r="H1703" s="34">
        <f t="shared" si="273"/>
        <v>4</v>
      </c>
      <c r="I1703" s="34" t="str">
        <f t="shared" si="279"/>
        <v/>
      </c>
      <c r="J1703" s="34" t="str">
        <f t="shared" si="279"/>
        <v/>
      </c>
      <c r="K1703" s="34" t="str">
        <f t="shared" si="279"/>
        <v/>
      </c>
      <c r="L1703" s="34" t="str">
        <f t="shared" si="279"/>
        <v/>
      </c>
      <c r="M1703" s="34" t="str">
        <f t="shared" si="279"/>
        <v/>
      </c>
      <c r="N1703" s="34" t="str">
        <f t="shared" si="279"/>
        <v/>
      </c>
      <c r="O1703" s="34" t="str">
        <f t="shared" si="279"/>
        <v/>
      </c>
      <c r="P1703" s="34">
        <f t="shared" si="279"/>
        <v>84</v>
      </c>
      <c r="Q1703" s="34">
        <f t="shared" si="279"/>
        <v>85</v>
      </c>
      <c r="R1703" s="34">
        <f t="shared" si="279"/>
        <v>97</v>
      </c>
      <c r="S1703" s="35">
        <f t="shared" si="274"/>
        <v>84</v>
      </c>
    </row>
    <row r="1704" spans="2:19" hidden="1" outlineLevel="1">
      <c r="B1704" s="14" t="s">
        <v>116</v>
      </c>
      <c r="C1704" s="15" t="s">
        <v>66</v>
      </c>
      <c r="D1704" s="52">
        <v>2057</v>
      </c>
      <c r="E1704" s="34">
        <v>1</v>
      </c>
      <c r="F1704" s="38">
        <f t="shared" si="271"/>
        <v>19512.811811316795</v>
      </c>
      <c r="G1704" s="34">
        <f t="shared" si="272"/>
        <v>16</v>
      </c>
      <c r="H1704" s="34">
        <f t="shared" si="273"/>
        <v>4</v>
      </c>
      <c r="I1704" s="34" t="str">
        <f t="shared" si="279"/>
        <v/>
      </c>
      <c r="J1704" s="34" t="str">
        <f t="shared" si="279"/>
        <v/>
      </c>
      <c r="K1704" s="34" t="str">
        <f t="shared" si="279"/>
        <v/>
      </c>
      <c r="L1704" s="34" t="str">
        <f t="shared" si="279"/>
        <v/>
      </c>
      <c r="M1704" s="34" t="str">
        <f t="shared" si="279"/>
        <v/>
      </c>
      <c r="N1704" s="34" t="str">
        <f t="shared" si="279"/>
        <v/>
      </c>
      <c r="O1704" s="34" t="str">
        <f t="shared" si="279"/>
        <v/>
      </c>
      <c r="P1704" s="34">
        <f t="shared" si="279"/>
        <v>84</v>
      </c>
      <c r="Q1704" s="34">
        <f t="shared" si="279"/>
        <v>96</v>
      </c>
      <c r="R1704" s="34">
        <f t="shared" si="279"/>
        <v>108</v>
      </c>
      <c r="S1704" s="35">
        <f t="shared" si="274"/>
        <v>84</v>
      </c>
    </row>
    <row r="1705" spans="2:19" hidden="1" outlineLevel="1">
      <c r="B1705" s="14" t="s">
        <v>116</v>
      </c>
      <c r="C1705" s="15" t="s">
        <v>66</v>
      </c>
      <c r="D1705" s="52">
        <v>2057</v>
      </c>
      <c r="E1705" s="34">
        <v>2</v>
      </c>
      <c r="F1705" s="38">
        <f t="shared" si="271"/>
        <v>19512.811811316795</v>
      </c>
      <c r="G1705" s="34">
        <f t="shared" si="272"/>
        <v>16</v>
      </c>
      <c r="H1705" s="34">
        <f t="shared" si="273"/>
        <v>4</v>
      </c>
      <c r="I1705" s="34" t="str">
        <f t="shared" si="279"/>
        <v/>
      </c>
      <c r="J1705" s="34" t="str">
        <f t="shared" si="279"/>
        <v/>
      </c>
      <c r="K1705" s="34" t="str">
        <f t="shared" si="279"/>
        <v/>
      </c>
      <c r="L1705" s="34" t="str">
        <f t="shared" si="279"/>
        <v/>
      </c>
      <c r="M1705" s="34" t="str">
        <f t="shared" si="279"/>
        <v/>
      </c>
      <c r="N1705" s="34" t="str">
        <f t="shared" si="279"/>
        <v/>
      </c>
      <c r="O1705" s="34" t="str">
        <f t="shared" si="279"/>
        <v/>
      </c>
      <c r="P1705" s="34">
        <f t="shared" si="279"/>
        <v>84</v>
      </c>
      <c r="Q1705" s="34">
        <f t="shared" si="279"/>
        <v>95</v>
      </c>
      <c r="R1705" s="34">
        <f t="shared" si="279"/>
        <v>107</v>
      </c>
      <c r="S1705" s="35">
        <f t="shared" si="274"/>
        <v>84</v>
      </c>
    </row>
    <row r="1706" spans="2:19" hidden="1" outlineLevel="1">
      <c r="B1706" s="14" t="s">
        <v>116</v>
      </c>
      <c r="C1706" s="15" t="s">
        <v>66</v>
      </c>
      <c r="D1706" s="52">
        <v>2057</v>
      </c>
      <c r="E1706" s="34">
        <v>3</v>
      </c>
      <c r="F1706" s="38">
        <f t="shared" si="271"/>
        <v>19512.811811316795</v>
      </c>
      <c r="G1706" s="34">
        <f t="shared" si="272"/>
        <v>16</v>
      </c>
      <c r="H1706" s="34">
        <f t="shared" si="273"/>
        <v>4</v>
      </c>
      <c r="I1706" s="34" t="str">
        <f t="shared" si="279"/>
        <v/>
      </c>
      <c r="J1706" s="34" t="str">
        <f t="shared" si="279"/>
        <v/>
      </c>
      <c r="K1706" s="34" t="str">
        <f t="shared" si="279"/>
        <v/>
      </c>
      <c r="L1706" s="34" t="str">
        <f t="shared" si="279"/>
        <v/>
      </c>
      <c r="M1706" s="34" t="str">
        <f t="shared" si="279"/>
        <v/>
      </c>
      <c r="N1706" s="34" t="str">
        <f t="shared" si="279"/>
        <v/>
      </c>
      <c r="O1706" s="34" t="str">
        <f t="shared" si="279"/>
        <v/>
      </c>
      <c r="P1706" s="34">
        <f t="shared" si="279"/>
        <v>84</v>
      </c>
      <c r="Q1706" s="34">
        <f t="shared" si="279"/>
        <v>94</v>
      </c>
      <c r="R1706" s="34">
        <f t="shared" si="279"/>
        <v>106</v>
      </c>
      <c r="S1706" s="35">
        <f t="shared" si="274"/>
        <v>84</v>
      </c>
    </row>
    <row r="1707" spans="2:19" hidden="1" outlineLevel="1">
      <c r="B1707" s="14" t="s">
        <v>116</v>
      </c>
      <c r="C1707" s="15" t="s">
        <v>66</v>
      </c>
      <c r="D1707" s="52">
        <v>2057</v>
      </c>
      <c r="E1707" s="34">
        <v>4</v>
      </c>
      <c r="F1707" s="38">
        <f t="shared" si="271"/>
        <v>19512.811811316795</v>
      </c>
      <c r="G1707" s="34">
        <f t="shared" si="272"/>
        <v>16</v>
      </c>
      <c r="H1707" s="34">
        <f t="shared" si="273"/>
        <v>4</v>
      </c>
      <c r="I1707" s="34" t="str">
        <f t="shared" si="279"/>
        <v/>
      </c>
      <c r="J1707" s="34" t="str">
        <f t="shared" si="279"/>
        <v/>
      </c>
      <c r="K1707" s="34" t="str">
        <f t="shared" si="279"/>
        <v/>
      </c>
      <c r="L1707" s="34" t="str">
        <f t="shared" si="279"/>
        <v/>
      </c>
      <c r="M1707" s="34" t="str">
        <f t="shared" si="279"/>
        <v/>
      </c>
      <c r="N1707" s="34" t="str">
        <f t="shared" si="279"/>
        <v/>
      </c>
      <c r="O1707" s="34" t="str">
        <f t="shared" si="279"/>
        <v/>
      </c>
      <c r="P1707" s="34">
        <f t="shared" si="279"/>
        <v>84</v>
      </c>
      <c r="Q1707" s="34">
        <f t="shared" si="279"/>
        <v>93</v>
      </c>
      <c r="R1707" s="34">
        <f t="shared" si="279"/>
        <v>105</v>
      </c>
      <c r="S1707" s="35">
        <f t="shared" si="274"/>
        <v>84</v>
      </c>
    </row>
    <row r="1708" spans="2:19" hidden="1" outlineLevel="1">
      <c r="B1708" s="14" t="s">
        <v>116</v>
      </c>
      <c r="C1708" s="15" t="s">
        <v>66</v>
      </c>
      <c r="D1708" s="52">
        <v>2057</v>
      </c>
      <c r="E1708" s="34">
        <v>5</v>
      </c>
      <c r="F1708" s="38">
        <f t="shared" si="271"/>
        <v>19512.811811316795</v>
      </c>
      <c r="G1708" s="34">
        <f t="shared" si="272"/>
        <v>16</v>
      </c>
      <c r="H1708" s="34">
        <f t="shared" si="273"/>
        <v>4</v>
      </c>
      <c r="I1708" s="34" t="str">
        <f t="shared" si="279"/>
        <v/>
      </c>
      <c r="J1708" s="34" t="str">
        <f t="shared" si="279"/>
        <v/>
      </c>
      <c r="K1708" s="34" t="str">
        <f t="shared" si="279"/>
        <v/>
      </c>
      <c r="L1708" s="34" t="str">
        <f t="shared" si="279"/>
        <v/>
      </c>
      <c r="M1708" s="34" t="str">
        <f t="shared" si="279"/>
        <v/>
      </c>
      <c r="N1708" s="34" t="str">
        <f t="shared" si="279"/>
        <v/>
      </c>
      <c r="O1708" s="34" t="str">
        <f t="shared" si="279"/>
        <v/>
      </c>
      <c r="P1708" s="34">
        <f t="shared" si="279"/>
        <v>84</v>
      </c>
      <c r="Q1708" s="34">
        <f t="shared" si="279"/>
        <v>92</v>
      </c>
      <c r="R1708" s="34">
        <f t="shared" si="279"/>
        <v>104</v>
      </c>
      <c r="S1708" s="35">
        <f t="shared" si="274"/>
        <v>84</v>
      </c>
    </row>
    <row r="1709" spans="2:19" hidden="1" outlineLevel="1">
      <c r="B1709" s="14" t="s">
        <v>116</v>
      </c>
      <c r="C1709" s="15" t="s">
        <v>66</v>
      </c>
      <c r="D1709" s="52">
        <v>2057</v>
      </c>
      <c r="E1709" s="34">
        <v>6</v>
      </c>
      <c r="F1709" s="38">
        <f t="shared" si="271"/>
        <v>19512.811811316795</v>
      </c>
      <c r="G1709" s="34">
        <f t="shared" si="272"/>
        <v>16</v>
      </c>
      <c r="H1709" s="34">
        <f t="shared" si="273"/>
        <v>4</v>
      </c>
      <c r="I1709" s="34" t="str">
        <f t="shared" si="279"/>
        <v/>
      </c>
      <c r="J1709" s="34" t="str">
        <f t="shared" si="279"/>
        <v/>
      </c>
      <c r="K1709" s="34" t="str">
        <f t="shared" si="279"/>
        <v/>
      </c>
      <c r="L1709" s="34" t="str">
        <f t="shared" si="279"/>
        <v/>
      </c>
      <c r="M1709" s="34" t="str">
        <f t="shared" si="279"/>
        <v/>
      </c>
      <c r="N1709" s="34" t="str">
        <f t="shared" si="279"/>
        <v/>
      </c>
      <c r="O1709" s="34" t="str">
        <f t="shared" si="279"/>
        <v/>
      </c>
      <c r="P1709" s="34">
        <f t="shared" si="279"/>
        <v>84</v>
      </c>
      <c r="Q1709" s="34">
        <f t="shared" si="279"/>
        <v>91</v>
      </c>
      <c r="R1709" s="34">
        <f t="shared" si="279"/>
        <v>103</v>
      </c>
      <c r="S1709" s="35">
        <f t="shared" si="274"/>
        <v>84</v>
      </c>
    </row>
    <row r="1710" spans="2:19" hidden="1" outlineLevel="1">
      <c r="B1710" s="14" t="s">
        <v>116</v>
      </c>
      <c r="C1710" s="15" t="s">
        <v>66</v>
      </c>
      <c r="D1710" s="52">
        <v>2057</v>
      </c>
      <c r="E1710" s="34">
        <v>7</v>
      </c>
      <c r="F1710" s="38">
        <f t="shared" si="271"/>
        <v>19512.811811316795</v>
      </c>
      <c r="G1710" s="34">
        <f t="shared" si="272"/>
        <v>16</v>
      </c>
      <c r="H1710" s="34">
        <f t="shared" si="273"/>
        <v>4</v>
      </c>
      <c r="I1710" s="34" t="str">
        <f t="shared" ref="I1710:R1719" si="280">IF($D1710&lt;$Z$18,"",IF(MAX($G1710,INDEX($C$65:$F$108,$D1710+I$119-2026,$H1710))&lt;=12*I$119-$E1710+12,MAX($G1710,12*I$119-$E1710+1,INDEX($C$65:$F$108,$D1710+I$119-2026,$H1710)),""))</f>
        <v/>
      </c>
      <c r="J1710" s="34" t="str">
        <f t="shared" si="280"/>
        <v/>
      </c>
      <c r="K1710" s="34" t="str">
        <f t="shared" si="280"/>
        <v/>
      </c>
      <c r="L1710" s="34" t="str">
        <f t="shared" si="280"/>
        <v/>
      </c>
      <c r="M1710" s="34" t="str">
        <f t="shared" si="280"/>
        <v/>
      </c>
      <c r="N1710" s="34" t="str">
        <f t="shared" si="280"/>
        <v/>
      </c>
      <c r="O1710" s="34" t="str">
        <f t="shared" si="280"/>
        <v/>
      </c>
      <c r="P1710" s="34">
        <f t="shared" si="280"/>
        <v>84</v>
      </c>
      <c r="Q1710" s="34">
        <f t="shared" si="280"/>
        <v>90</v>
      </c>
      <c r="R1710" s="34">
        <f t="shared" si="280"/>
        <v>102</v>
      </c>
      <c r="S1710" s="35">
        <f t="shared" si="274"/>
        <v>84</v>
      </c>
    </row>
    <row r="1711" spans="2:19" hidden="1" outlineLevel="1">
      <c r="B1711" s="14" t="s">
        <v>116</v>
      </c>
      <c r="C1711" s="15" t="s">
        <v>66</v>
      </c>
      <c r="D1711" s="52">
        <v>2057</v>
      </c>
      <c r="E1711" s="34">
        <v>8</v>
      </c>
      <c r="F1711" s="38">
        <f t="shared" si="271"/>
        <v>19512.811811316795</v>
      </c>
      <c r="G1711" s="34">
        <f t="shared" si="272"/>
        <v>16</v>
      </c>
      <c r="H1711" s="34">
        <f t="shared" si="273"/>
        <v>4</v>
      </c>
      <c r="I1711" s="34" t="str">
        <f t="shared" si="280"/>
        <v/>
      </c>
      <c r="J1711" s="34" t="str">
        <f t="shared" si="280"/>
        <v/>
      </c>
      <c r="K1711" s="34" t="str">
        <f t="shared" si="280"/>
        <v/>
      </c>
      <c r="L1711" s="34" t="str">
        <f t="shared" si="280"/>
        <v/>
      </c>
      <c r="M1711" s="34" t="str">
        <f t="shared" si="280"/>
        <v/>
      </c>
      <c r="N1711" s="34" t="str">
        <f t="shared" si="280"/>
        <v/>
      </c>
      <c r="O1711" s="34" t="str">
        <f t="shared" si="280"/>
        <v/>
      </c>
      <c r="P1711" s="34">
        <f t="shared" si="280"/>
        <v>84</v>
      </c>
      <c r="Q1711" s="34">
        <f t="shared" si="280"/>
        <v>89</v>
      </c>
      <c r="R1711" s="34">
        <f t="shared" si="280"/>
        <v>101</v>
      </c>
      <c r="S1711" s="35">
        <f t="shared" si="274"/>
        <v>84</v>
      </c>
    </row>
    <row r="1712" spans="2:19" hidden="1" outlineLevel="1">
      <c r="B1712" s="14" t="s">
        <v>116</v>
      </c>
      <c r="C1712" s="15" t="s">
        <v>66</v>
      </c>
      <c r="D1712" s="52">
        <v>2057</v>
      </c>
      <c r="E1712" s="34">
        <v>9</v>
      </c>
      <c r="F1712" s="38">
        <f t="shared" si="271"/>
        <v>19512.811811316795</v>
      </c>
      <c r="G1712" s="34">
        <f t="shared" si="272"/>
        <v>16</v>
      </c>
      <c r="H1712" s="34">
        <f t="shared" si="273"/>
        <v>4</v>
      </c>
      <c r="I1712" s="34" t="str">
        <f t="shared" si="280"/>
        <v/>
      </c>
      <c r="J1712" s="34" t="str">
        <f t="shared" si="280"/>
        <v/>
      </c>
      <c r="K1712" s="34" t="str">
        <f t="shared" si="280"/>
        <v/>
      </c>
      <c r="L1712" s="34" t="str">
        <f t="shared" si="280"/>
        <v/>
      </c>
      <c r="M1712" s="34" t="str">
        <f t="shared" si="280"/>
        <v/>
      </c>
      <c r="N1712" s="34" t="str">
        <f t="shared" si="280"/>
        <v/>
      </c>
      <c r="O1712" s="34" t="str">
        <f t="shared" si="280"/>
        <v/>
      </c>
      <c r="P1712" s="34">
        <f t="shared" si="280"/>
        <v>84</v>
      </c>
      <c r="Q1712" s="34">
        <f t="shared" si="280"/>
        <v>88</v>
      </c>
      <c r="R1712" s="34">
        <f t="shared" si="280"/>
        <v>100</v>
      </c>
      <c r="S1712" s="35">
        <f t="shared" si="274"/>
        <v>84</v>
      </c>
    </row>
    <row r="1713" spans="2:19" hidden="1" outlineLevel="1">
      <c r="B1713" s="14" t="s">
        <v>116</v>
      </c>
      <c r="C1713" s="15" t="s">
        <v>66</v>
      </c>
      <c r="D1713" s="52">
        <v>2057</v>
      </c>
      <c r="E1713" s="34">
        <v>10</v>
      </c>
      <c r="F1713" s="38">
        <f t="shared" si="271"/>
        <v>19512.811811316795</v>
      </c>
      <c r="G1713" s="34">
        <f t="shared" si="272"/>
        <v>16</v>
      </c>
      <c r="H1713" s="34">
        <f t="shared" si="273"/>
        <v>4</v>
      </c>
      <c r="I1713" s="34" t="str">
        <f t="shared" si="280"/>
        <v/>
      </c>
      <c r="J1713" s="34" t="str">
        <f t="shared" si="280"/>
        <v/>
      </c>
      <c r="K1713" s="34" t="str">
        <f t="shared" si="280"/>
        <v/>
      </c>
      <c r="L1713" s="34" t="str">
        <f t="shared" si="280"/>
        <v/>
      </c>
      <c r="M1713" s="34" t="str">
        <f t="shared" si="280"/>
        <v/>
      </c>
      <c r="N1713" s="34" t="str">
        <f t="shared" si="280"/>
        <v/>
      </c>
      <c r="O1713" s="34" t="str">
        <f t="shared" si="280"/>
        <v/>
      </c>
      <c r="P1713" s="34">
        <f t="shared" si="280"/>
        <v>84</v>
      </c>
      <c r="Q1713" s="34">
        <f t="shared" si="280"/>
        <v>87</v>
      </c>
      <c r="R1713" s="34">
        <f t="shared" si="280"/>
        <v>99</v>
      </c>
      <c r="S1713" s="35">
        <f t="shared" si="274"/>
        <v>84</v>
      </c>
    </row>
    <row r="1714" spans="2:19" hidden="1" outlineLevel="1">
      <c r="B1714" s="14" t="s">
        <v>116</v>
      </c>
      <c r="C1714" s="15" t="s">
        <v>66</v>
      </c>
      <c r="D1714" s="52">
        <v>2057</v>
      </c>
      <c r="E1714" s="34">
        <v>11</v>
      </c>
      <c r="F1714" s="38">
        <f t="shared" si="271"/>
        <v>19512.811811316795</v>
      </c>
      <c r="G1714" s="34">
        <f t="shared" si="272"/>
        <v>16</v>
      </c>
      <c r="H1714" s="34">
        <f t="shared" si="273"/>
        <v>4</v>
      </c>
      <c r="I1714" s="34" t="str">
        <f t="shared" si="280"/>
        <v/>
      </c>
      <c r="J1714" s="34" t="str">
        <f t="shared" si="280"/>
        <v/>
      </c>
      <c r="K1714" s="34" t="str">
        <f t="shared" si="280"/>
        <v/>
      </c>
      <c r="L1714" s="34" t="str">
        <f t="shared" si="280"/>
        <v/>
      </c>
      <c r="M1714" s="34" t="str">
        <f t="shared" si="280"/>
        <v/>
      </c>
      <c r="N1714" s="34" t="str">
        <f t="shared" si="280"/>
        <v/>
      </c>
      <c r="O1714" s="34" t="str">
        <f t="shared" si="280"/>
        <v/>
      </c>
      <c r="P1714" s="34">
        <f t="shared" si="280"/>
        <v>84</v>
      </c>
      <c r="Q1714" s="34">
        <f t="shared" si="280"/>
        <v>86</v>
      </c>
      <c r="R1714" s="34">
        <f t="shared" si="280"/>
        <v>98</v>
      </c>
      <c r="S1714" s="35">
        <f t="shared" si="274"/>
        <v>84</v>
      </c>
    </row>
    <row r="1715" spans="2:19" hidden="1" outlineLevel="1">
      <c r="B1715" s="14" t="s">
        <v>116</v>
      </c>
      <c r="C1715" s="15" t="s">
        <v>66</v>
      </c>
      <c r="D1715" s="52">
        <v>2057</v>
      </c>
      <c r="E1715" s="34">
        <v>12</v>
      </c>
      <c r="F1715" s="38">
        <f t="shared" si="271"/>
        <v>19512.811811316795</v>
      </c>
      <c r="G1715" s="34">
        <f t="shared" si="272"/>
        <v>16</v>
      </c>
      <c r="H1715" s="34">
        <f t="shared" si="273"/>
        <v>4</v>
      </c>
      <c r="I1715" s="34" t="str">
        <f t="shared" si="280"/>
        <v/>
      </c>
      <c r="J1715" s="34" t="str">
        <f t="shared" si="280"/>
        <v/>
      </c>
      <c r="K1715" s="34" t="str">
        <f t="shared" si="280"/>
        <v/>
      </c>
      <c r="L1715" s="34" t="str">
        <f t="shared" si="280"/>
        <v/>
      </c>
      <c r="M1715" s="34" t="str">
        <f t="shared" si="280"/>
        <v/>
      </c>
      <c r="N1715" s="34" t="str">
        <f t="shared" si="280"/>
        <v/>
      </c>
      <c r="O1715" s="34" t="str">
        <f t="shared" si="280"/>
        <v/>
      </c>
      <c r="P1715" s="34">
        <f t="shared" si="280"/>
        <v>84</v>
      </c>
      <c r="Q1715" s="34">
        <f t="shared" si="280"/>
        <v>85</v>
      </c>
      <c r="R1715" s="34">
        <f t="shared" si="280"/>
        <v>97</v>
      </c>
      <c r="S1715" s="35">
        <f t="shared" si="274"/>
        <v>84</v>
      </c>
    </row>
    <row r="1716" spans="2:19" hidden="1" outlineLevel="1">
      <c r="B1716" s="14" t="s">
        <v>116</v>
      </c>
      <c r="C1716" s="15" t="s">
        <v>66</v>
      </c>
      <c r="D1716" s="52">
        <v>2058</v>
      </c>
      <c r="E1716" s="34">
        <v>1</v>
      </c>
      <c r="F1716" s="38">
        <f t="shared" si="271"/>
        <v>19185.105698473326</v>
      </c>
      <c r="G1716" s="34">
        <f t="shared" si="272"/>
        <v>16</v>
      </c>
      <c r="H1716" s="34">
        <f t="shared" si="273"/>
        <v>4</v>
      </c>
      <c r="I1716" s="34" t="str">
        <f t="shared" si="280"/>
        <v/>
      </c>
      <c r="J1716" s="34" t="str">
        <f t="shared" si="280"/>
        <v/>
      </c>
      <c r="K1716" s="34" t="str">
        <f t="shared" si="280"/>
        <v/>
      </c>
      <c r="L1716" s="34" t="str">
        <f t="shared" si="280"/>
        <v/>
      </c>
      <c r="M1716" s="34" t="str">
        <f t="shared" si="280"/>
        <v/>
      </c>
      <c r="N1716" s="34" t="str">
        <f t="shared" si="280"/>
        <v/>
      </c>
      <c r="O1716" s="34" t="str">
        <f t="shared" si="280"/>
        <v/>
      </c>
      <c r="P1716" s="34">
        <f t="shared" si="280"/>
        <v>84</v>
      </c>
      <c r="Q1716" s="34">
        <f t="shared" si="280"/>
        <v>96</v>
      </c>
      <c r="R1716" s="34">
        <f t="shared" si="280"/>
        <v>108</v>
      </c>
      <c r="S1716" s="35">
        <f t="shared" si="274"/>
        <v>84</v>
      </c>
    </row>
    <row r="1717" spans="2:19" hidden="1" outlineLevel="1">
      <c r="B1717" s="14" t="s">
        <v>116</v>
      </c>
      <c r="C1717" s="15" t="s">
        <v>66</v>
      </c>
      <c r="D1717" s="52">
        <v>2058</v>
      </c>
      <c r="E1717" s="34">
        <v>2</v>
      </c>
      <c r="F1717" s="38">
        <f t="shared" si="271"/>
        <v>19185.105698473326</v>
      </c>
      <c r="G1717" s="34">
        <f t="shared" si="272"/>
        <v>16</v>
      </c>
      <c r="H1717" s="34">
        <f t="shared" si="273"/>
        <v>4</v>
      </c>
      <c r="I1717" s="34" t="str">
        <f t="shared" si="280"/>
        <v/>
      </c>
      <c r="J1717" s="34" t="str">
        <f t="shared" si="280"/>
        <v/>
      </c>
      <c r="K1717" s="34" t="str">
        <f t="shared" si="280"/>
        <v/>
      </c>
      <c r="L1717" s="34" t="str">
        <f t="shared" si="280"/>
        <v/>
      </c>
      <c r="M1717" s="34" t="str">
        <f t="shared" si="280"/>
        <v/>
      </c>
      <c r="N1717" s="34" t="str">
        <f t="shared" si="280"/>
        <v/>
      </c>
      <c r="O1717" s="34" t="str">
        <f t="shared" si="280"/>
        <v/>
      </c>
      <c r="P1717" s="34">
        <f t="shared" si="280"/>
        <v>84</v>
      </c>
      <c r="Q1717" s="34">
        <f t="shared" si="280"/>
        <v>95</v>
      </c>
      <c r="R1717" s="34">
        <f t="shared" si="280"/>
        <v>107</v>
      </c>
      <c r="S1717" s="35">
        <f t="shared" si="274"/>
        <v>84</v>
      </c>
    </row>
    <row r="1718" spans="2:19" hidden="1" outlineLevel="1">
      <c r="B1718" s="14" t="s">
        <v>116</v>
      </c>
      <c r="C1718" s="15" t="s">
        <v>66</v>
      </c>
      <c r="D1718" s="52">
        <v>2058</v>
      </c>
      <c r="E1718" s="34">
        <v>3</v>
      </c>
      <c r="F1718" s="38">
        <f t="shared" si="271"/>
        <v>19185.105698473326</v>
      </c>
      <c r="G1718" s="34">
        <f t="shared" si="272"/>
        <v>16</v>
      </c>
      <c r="H1718" s="34">
        <f t="shared" si="273"/>
        <v>4</v>
      </c>
      <c r="I1718" s="34" t="str">
        <f t="shared" si="280"/>
        <v/>
      </c>
      <c r="J1718" s="34" t="str">
        <f t="shared" si="280"/>
        <v/>
      </c>
      <c r="K1718" s="34" t="str">
        <f t="shared" si="280"/>
        <v/>
      </c>
      <c r="L1718" s="34" t="str">
        <f t="shared" si="280"/>
        <v/>
      </c>
      <c r="M1718" s="34" t="str">
        <f t="shared" si="280"/>
        <v/>
      </c>
      <c r="N1718" s="34" t="str">
        <f t="shared" si="280"/>
        <v/>
      </c>
      <c r="O1718" s="34" t="str">
        <f t="shared" si="280"/>
        <v/>
      </c>
      <c r="P1718" s="34">
        <f t="shared" si="280"/>
        <v>84</v>
      </c>
      <c r="Q1718" s="34">
        <f t="shared" si="280"/>
        <v>94</v>
      </c>
      <c r="R1718" s="34">
        <f t="shared" si="280"/>
        <v>106</v>
      </c>
      <c r="S1718" s="35">
        <f t="shared" si="274"/>
        <v>84</v>
      </c>
    </row>
    <row r="1719" spans="2:19" hidden="1" outlineLevel="1">
      <c r="B1719" s="14" t="s">
        <v>116</v>
      </c>
      <c r="C1719" s="15" t="s">
        <v>66</v>
      </c>
      <c r="D1719" s="52">
        <v>2058</v>
      </c>
      <c r="E1719" s="34">
        <v>4</v>
      </c>
      <c r="F1719" s="38">
        <f t="shared" si="271"/>
        <v>19185.105698473326</v>
      </c>
      <c r="G1719" s="34">
        <f t="shared" si="272"/>
        <v>16</v>
      </c>
      <c r="H1719" s="34">
        <f t="shared" si="273"/>
        <v>4</v>
      </c>
      <c r="I1719" s="34" t="str">
        <f t="shared" si="280"/>
        <v/>
      </c>
      <c r="J1719" s="34" t="str">
        <f t="shared" si="280"/>
        <v/>
      </c>
      <c r="K1719" s="34" t="str">
        <f t="shared" si="280"/>
        <v/>
      </c>
      <c r="L1719" s="34" t="str">
        <f t="shared" si="280"/>
        <v/>
      </c>
      <c r="M1719" s="34" t="str">
        <f t="shared" si="280"/>
        <v/>
      </c>
      <c r="N1719" s="34" t="str">
        <f t="shared" si="280"/>
        <v/>
      </c>
      <c r="O1719" s="34" t="str">
        <f t="shared" si="280"/>
        <v/>
      </c>
      <c r="P1719" s="34">
        <f t="shared" si="280"/>
        <v>84</v>
      </c>
      <c r="Q1719" s="34">
        <f t="shared" si="280"/>
        <v>93</v>
      </c>
      <c r="R1719" s="34">
        <f t="shared" si="280"/>
        <v>105</v>
      </c>
      <c r="S1719" s="35">
        <f t="shared" si="274"/>
        <v>84</v>
      </c>
    </row>
    <row r="1720" spans="2:19" hidden="1" outlineLevel="1">
      <c r="B1720" s="14" t="s">
        <v>116</v>
      </c>
      <c r="C1720" s="15" t="s">
        <v>66</v>
      </c>
      <c r="D1720" s="52">
        <v>2058</v>
      </c>
      <c r="E1720" s="34">
        <v>5</v>
      </c>
      <c r="F1720" s="38">
        <f t="shared" ref="F1720:F1751" si="281">IF($C1720="Homens",INDEX($C$5:$C$55,MATCH($D1720,$B$5:$B$55,0)),INDEX($F$5:$F$55,MATCH($D1720,$B$5:$B$55,0)))/12</f>
        <v>19185.105698473326</v>
      </c>
      <c r="G1720" s="34">
        <f t="shared" ref="G1720:G1751" si="282">IF($C1720="Homens",$Z$17,$AA$17)</f>
        <v>16</v>
      </c>
      <c r="H1720" s="34">
        <f t="shared" ref="H1720:H1751" si="283">1+2*($B1720="Com Transição")+($C1720="Mulheres")</f>
        <v>4</v>
      </c>
      <c r="I1720" s="34" t="str">
        <f t="shared" ref="I1720:R1729" si="284">IF($D1720&lt;$Z$18,"",IF(MAX($G1720,INDEX($C$65:$F$108,$D1720+I$119-2026,$H1720))&lt;=12*I$119-$E1720+12,MAX($G1720,12*I$119-$E1720+1,INDEX($C$65:$F$108,$D1720+I$119-2026,$H1720)),""))</f>
        <v/>
      </c>
      <c r="J1720" s="34" t="str">
        <f t="shared" si="284"/>
        <v/>
      </c>
      <c r="K1720" s="34" t="str">
        <f t="shared" si="284"/>
        <v/>
      </c>
      <c r="L1720" s="34" t="str">
        <f t="shared" si="284"/>
        <v/>
      </c>
      <c r="M1720" s="34" t="str">
        <f t="shared" si="284"/>
        <v/>
      </c>
      <c r="N1720" s="34" t="str">
        <f t="shared" si="284"/>
        <v/>
      </c>
      <c r="O1720" s="34" t="str">
        <f t="shared" si="284"/>
        <v/>
      </c>
      <c r="P1720" s="34">
        <f t="shared" si="284"/>
        <v>84</v>
      </c>
      <c r="Q1720" s="34">
        <f t="shared" si="284"/>
        <v>92</v>
      </c>
      <c r="R1720" s="34">
        <f t="shared" si="284"/>
        <v>104</v>
      </c>
      <c r="S1720" s="35">
        <f t="shared" ref="S1720:S1783" si="285">IF($D1720&lt;$Z$18,$G1720,MIN(I1720:R1720))</f>
        <v>84</v>
      </c>
    </row>
    <row r="1721" spans="2:19" hidden="1" outlineLevel="1">
      <c r="B1721" s="14" t="s">
        <v>116</v>
      </c>
      <c r="C1721" s="15" t="s">
        <v>66</v>
      </c>
      <c r="D1721" s="52">
        <v>2058</v>
      </c>
      <c r="E1721" s="34">
        <v>6</v>
      </c>
      <c r="F1721" s="38">
        <f t="shared" si="281"/>
        <v>19185.105698473326</v>
      </c>
      <c r="G1721" s="34">
        <f t="shared" si="282"/>
        <v>16</v>
      </c>
      <c r="H1721" s="34">
        <f t="shared" si="283"/>
        <v>4</v>
      </c>
      <c r="I1721" s="34" t="str">
        <f t="shared" si="284"/>
        <v/>
      </c>
      <c r="J1721" s="34" t="str">
        <f t="shared" si="284"/>
        <v/>
      </c>
      <c r="K1721" s="34" t="str">
        <f t="shared" si="284"/>
        <v/>
      </c>
      <c r="L1721" s="34" t="str">
        <f t="shared" si="284"/>
        <v/>
      </c>
      <c r="M1721" s="34" t="str">
        <f t="shared" si="284"/>
        <v/>
      </c>
      <c r="N1721" s="34" t="str">
        <f t="shared" si="284"/>
        <v/>
      </c>
      <c r="O1721" s="34" t="str">
        <f t="shared" si="284"/>
        <v/>
      </c>
      <c r="P1721" s="34">
        <f t="shared" si="284"/>
        <v>84</v>
      </c>
      <c r="Q1721" s="34">
        <f t="shared" si="284"/>
        <v>91</v>
      </c>
      <c r="R1721" s="34">
        <f t="shared" si="284"/>
        <v>103</v>
      </c>
      <c r="S1721" s="35">
        <f t="shared" si="285"/>
        <v>84</v>
      </c>
    </row>
    <row r="1722" spans="2:19" hidden="1" outlineLevel="1">
      <c r="B1722" s="14" t="s">
        <v>116</v>
      </c>
      <c r="C1722" s="15" t="s">
        <v>66</v>
      </c>
      <c r="D1722" s="52">
        <v>2058</v>
      </c>
      <c r="E1722" s="34">
        <v>7</v>
      </c>
      <c r="F1722" s="38">
        <f t="shared" si="281"/>
        <v>19185.105698473326</v>
      </c>
      <c r="G1722" s="34">
        <f t="shared" si="282"/>
        <v>16</v>
      </c>
      <c r="H1722" s="34">
        <f t="shared" si="283"/>
        <v>4</v>
      </c>
      <c r="I1722" s="34" t="str">
        <f t="shared" si="284"/>
        <v/>
      </c>
      <c r="J1722" s="34" t="str">
        <f t="shared" si="284"/>
        <v/>
      </c>
      <c r="K1722" s="34" t="str">
        <f t="shared" si="284"/>
        <v/>
      </c>
      <c r="L1722" s="34" t="str">
        <f t="shared" si="284"/>
        <v/>
      </c>
      <c r="M1722" s="34" t="str">
        <f t="shared" si="284"/>
        <v/>
      </c>
      <c r="N1722" s="34" t="str">
        <f t="shared" si="284"/>
        <v/>
      </c>
      <c r="O1722" s="34" t="str">
        <f t="shared" si="284"/>
        <v/>
      </c>
      <c r="P1722" s="34">
        <f t="shared" si="284"/>
        <v>84</v>
      </c>
      <c r="Q1722" s="34">
        <f t="shared" si="284"/>
        <v>90</v>
      </c>
      <c r="R1722" s="34">
        <f t="shared" si="284"/>
        <v>102</v>
      </c>
      <c r="S1722" s="35">
        <f t="shared" si="285"/>
        <v>84</v>
      </c>
    </row>
    <row r="1723" spans="2:19" hidden="1" outlineLevel="1">
      <c r="B1723" s="14" t="s">
        <v>116</v>
      </c>
      <c r="C1723" s="15" t="s">
        <v>66</v>
      </c>
      <c r="D1723" s="52">
        <v>2058</v>
      </c>
      <c r="E1723" s="34">
        <v>8</v>
      </c>
      <c r="F1723" s="38">
        <f t="shared" si="281"/>
        <v>19185.105698473326</v>
      </c>
      <c r="G1723" s="34">
        <f t="shared" si="282"/>
        <v>16</v>
      </c>
      <c r="H1723" s="34">
        <f t="shared" si="283"/>
        <v>4</v>
      </c>
      <c r="I1723" s="34" t="str">
        <f t="shared" si="284"/>
        <v/>
      </c>
      <c r="J1723" s="34" t="str">
        <f t="shared" si="284"/>
        <v/>
      </c>
      <c r="K1723" s="34" t="str">
        <f t="shared" si="284"/>
        <v/>
      </c>
      <c r="L1723" s="34" t="str">
        <f t="shared" si="284"/>
        <v/>
      </c>
      <c r="M1723" s="34" t="str">
        <f t="shared" si="284"/>
        <v/>
      </c>
      <c r="N1723" s="34" t="str">
        <f t="shared" si="284"/>
        <v/>
      </c>
      <c r="O1723" s="34" t="str">
        <f t="shared" si="284"/>
        <v/>
      </c>
      <c r="P1723" s="34">
        <f t="shared" si="284"/>
        <v>84</v>
      </c>
      <c r="Q1723" s="34">
        <f t="shared" si="284"/>
        <v>89</v>
      </c>
      <c r="R1723" s="34">
        <f t="shared" si="284"/>
        <v>101</v>
      </c>
      <c r="S1723" s="35">
        <f t="shared" si="285"/>
        <v>84</v>
      </c>
    </row>
    <row r="1724" spans="2:19" hidden="1" outlineLevel="1">
      <c r="B1724" s="14" t="s">
        <v>116</v>
      </c>
      <c r="C1724" s="15" t="s">
        <v>66</v>
      </c>
      <c r="D1724" s="52">
        <v>2058</v>
      </c>
      <c r="E1724" s="34">
        <v>9</v>
      </c>
      <c r="F1724" s="38">
        <f t="shared" si="281"/>
        <v>19185.105698473326</v>
      </c>
      <c r="G1724" s="34">
        <f t="shared" si="282"/>
        <v>16</v>
      </c>
      <c r="H1724" s="34">
        <f t="shared" si="283"/>
        <v>4</v>
      </c>
      <c r="I1724" s="34" t="str">
        <f t="shared" si="284"/>
        <v/>
      </c>
      <c r="J1724" s="34" t="str">
        <f t="shared" si="284"/>
        <v/>
      </c>
      <c r="K1724" s="34" t="str">
        <f t="shared" si="284"/>
        <v/>
      </c>
      <c r="L1724" s="34" t="str">
        <f t="shared" si="284"/>
        <v/>
      </c>
      <c r="M1724" s="34" t="str">
        <f t="shared" si="284"/>
        <v/>
      </c>
      <c r="N1724" s="34" t="str">
        <f t="shared" si="284"/>
        <v/>
      </c>
      <c r="O1724" s="34" t="str">
        <f t="shared" si="284"/>
        <v/>
      </c>
      <c r="P1724" s="34">
        <f t="shared" si="284"/>
        <v>84</v>
      </c>
      <c r="Q1724" s="34">
        <f t="shared" si="284"/>
        <v>88</v>
      </c>
      <c r="R1724" s="34">
        <f t="shared" si="284"/>
        <v>100</v>
      </c>
      <c r="S1724" s="35">
        <f t="shared" si="285"/>
        <v>84</v>
      </c>
    </row>
    <row r="1725" spans="2:19" hidden="1" outlineLevel="1">
      <c r="B1725" s="14" t="s">
        <v>116</v>
      </c>
      <c r="C1725" s="15" t="s">
        <v>66</v>
      </c>
      <c r="D1725" s="52">
        <v>2058</v>
      </c>
      <c r="E1725" s="34">
        <v>10</v>
      </c>
      <c r="F1725" s="38">
        <f t="shared" si="281"/>
        <v>19185.105698473326</v>
      </c>
      <c r="G1725" s="34">
        <f t="shared" si="282"/>
        <v>16</v>
      </c>
      <c r="H1725" s="34">
        <f t="shared" si="283"/>
        <v>4</v>
      </c>
      <c r="I1725" s="34" t="str">
        <f t="shared" si="284"/>
        <v/>
      </c>
      <c r="J1725" s="34" t="str">
        <f t="shared" si="284"/>
        <v/>
      </c>
      <c r="K1725" s="34" t="str">
        <f t="shared" si="284"/>
        <v/>
      </c>
      <c r="L1725" s="34" t="str">
        <f t="shared" si="284"/>
        <v/>
      </c>
      <c r="M1725" s="34" t="str">
        <f t="shared" si="284"/>
        <v/>
      </c>
      <c r="N1725" s="34" t="str">
        <f t="shared" si="284"/>
        <v/>
      </c>
      <c r="O1725" s="34" t="str">
        <f t="shared" si="284"/>
        <v/>
      </c>
      <c r="P1725" s="34">
        <f t="shared" si="284"/>
        <v>84</v>
      </c>
      <c r="Q1725" s="34">
        <f t="shared" si="284"/>
        <v>87</v>
      </c>
      <c r="R1725" s="34">
        <f t="shared" si="284"/>
        <v>99</v>
      </c>
      <c r="S1725" s="35">
        <f t="shared" si="285"/>
        <v>84</v>
      </c>
    </row>
    <row r="1726" spans="2:19" hidden="1" outlineLevel="1">
      <c r="B1726" s="14" t="s">
        <v>116</v>
      </c>
      <c r="C1726" s="15" t="s">
        <v>66</v>
      </c>
      <c r="D1726" s="52">
        <v>2058</v>
      </c>
      <c r="E1726" s="34">
        <v>11</v>
      </c>
      <c r="F1726" s="38">
        <f t="shared" si="281"/>
        <v>19185.105698473326</v>
      </c>
      <c r="G1726" s="34">
        <f t="shared" si="282"/>
        <v>16</v>
      </c>
      <c r="H1726" s="34">
        <f t="shared" si="283"/>
        <v>4</v>
      </c>
      <c r="I1726" s="34" t="str">
        <f t="shared" si="284"/>
        <v/>
      </c>
      <c r="J1726" s="34" t="str">
        <f t="shared" si="284"/>
        <v/>
      </c>
      <c r="K1726" s="34" t="str">
        <f t="shared" si="284"/>
        <v/>
      </c>
      <c r="L1726" s="34" t="str">
        <f t="shared" si="284"/>
        <v/>
      </c>
      <c r="M1726" s="34" t="str">
        <f t="shared" si="284"/>
        <v/>
      </c>
      <c r="N1726" s="34" t="str">
        <f t="shared" si="284"/>
        <v/>
      </c>
      <c r="O1726" s="34" t="str">
        <f t="shared" si="284"/>
        <v/>
      </c>
      <c r="P1726" s="34">
        <f t="shared" si="284"/>
        <v>84</v>
      </c>
      <c r="Q1726" s="34">
        <f t="shared" si="284"/>
        <v>86</v>
      </c>
      <c r="R1726" s="34">
        <f t="shared" si="284"/>
        <v>98</v>
      </c>
      <c r="S1726" s="35">
        <f t="shared" si="285"/>
        <v>84</v>
      </c>
    </row>
    <row r="1727" spans="2:19" hidden="1" outlineLevel="1">
      <c r="B1727" s="14" t="s">
        <v>116</v>
      </c>
      <c r="C1727" s="15" t="s">
        <v>66</v>
      </c>
      <c r="D1727" s="52">
        <v>2058</v>
      </c>
      <c r="E1727" s="34">
        <v>12</v>
      </c>
      <c r="F1727" s="38">
        <f t="shared" si="281"/>
        <v>19185.105698473326</v>
      </c>
      <c r="G1727" s="34">
        <f t="shared" si="282"/>
        <v>16</v>
      </c>
      <c r="H1727" s="34">
        <f t="shared" si="283"/>
        <v>4</v>
      </c>
      <c r="I1727" s="34" t="str">
        <f t="shared" si="284"/>
        <v/>
      </c>
      <c r="J1727" s="34" t="str">
        <f t="shared" si="284"/>
        <v/>
      </c>
      <c r="K1727" s="34" t="str">
        <f t="shared" si="284"/>
        <v/>
      </c>
      <c r="L1727" s="34" t="str">
        <f t="shared" si="284"/>
        <v/>
      </c>
      <c r="M1727" s="34" t="str">
        <f t="shared" si="284"/>
        <v/>
      </c>
      <c r="N1727" s="34" t="str">
        <f t="shared" si="284"/>
        <v/>
      </c>
      <c r="O1727" s="34" t="str">
        <f t="shared" si="284"/>
        <v/>
      </c>
      <c r="P1727" s="34">
        <f t="shared" si="284"/>
        <v>84</v>
      </c>
      <c r="Q1727" s="34">
        <f t="shared" si="284"/>
        <v>85</v>
      </c>
      <c r="R1727" s="34">
        <f t="shared" si="284"/>
        <v>97</v>
      </c>
      <c r="S1727" s="35">
        <f t="shared" si="285"/>
        <v>84</v>
      </c>
    </row>
    <row r="1728" spans="2:19" hidden="1" outlineLevel="1">
      <c r="B1728" s="14" t="s">
        <v>116</v>
      </c>
      <c r="C1728" s="15" t="s">
        <v>66</v>
      </c>
      <c r="D1728" s="52">
        <v>2059</v>
      </c>
      <c r="E1728" s="34">
        <v>1</v>
      </c>
      <c r="F1728" s="38">
        <f t="shared" si="281"/>
        <v>18940.783369626883</v>
      </c>
      <c r="G1728" s="34">
        <f t="shared" si="282"/>
        <v>16</v>
      </c>
      <c r="H1728" s="34">
        <f t="shared" si="283"/>
        <v>4</v>
      </c>
      <c r="I1728" s="34" t="str">
        <f t="shared" si="284"/>
        <v/>
      </c>
      <c r="J1728" s="34" t="str">
        <f t="shared" si="284"/>
        <v/>
      </c>
      <c r="K1728" s="34" t="str">
        <f t="shared" si="284"/>
        <v/>
      </c>
      <c r="L1728" s="34" t="str">
        <f t="shared" si="284"/>
        <v/>
      </c>
      <c r="M1728" s="34" t="str">
        <f t="shared" si="284"/>
        <v/>
      </c>
      <c r="N1728" s="34" t="str">
        <f t="shared" si="284"/>
        <v/>
      </c>
      <c r="O1728" s="34" t="str">
        <f t="shared" si="284"/>
        <v/>
      </c>
      <c r="P1728" s="34">
        <f t="shared" si="284"/>
        <v>84</v>
      </c>
      <c r="Q1728" s="34">
        <f t="shared" si="284"/>
        <v>96</v>
      </c>
      <c r="R1728" s="34">
        <f t="shared" si="284"/>
        <v>108</v>
      </c>
      <c r="S1728" s="35">
        <f t="shared" si="285"/>
        <v>84</v>
      </c>
    </row>
    <row r="1729" spans="2:19" hidden="1" outlineLevel="1">
      <c r="B1729" s="14" t="s">
        <v>116</v>
      </c>
      <c r="C1729" s="15" t="s">
        <v>66</v>
      </c>
      <c r="D1729" s="52">
        <v>2059</v>
      </c>
      <c r="E1729" s="34">
        <v>2</v>
      </c>
      <c r="F1729" s="38">
        <f t="shared" si="281"/>
        <v>18940.783369626883</v>
      </c>
      <c r="G1729" s="34">
        <f t="shared" si="282"/>
        <v>16</v>
      </c>
      <c r="H1729" s="34">
        <f t="shared" si="283"/>
        <v>4</v>
      </c>
      <c r="I1729" s="34" t="str">
        <f t="shared" si="284"/>
        <v/>
      </c>
      <c r="J1729" s="34" t="str">
        <f t="shared" si="284"/>
        <v/>
      </c>
      <c r="K1729" s="34" t="str">
        <f t="shared" si="284"/>
        <v/>
      </c>
      <c r="L1729" s="34" t="str">
        <f t="shared" si="284"/>
        <v/>
      </c>
      <c r="M1729" s="34" t="str">
        <f t="shared" si="284"/>
        <v/>
      </c>
      <c r="N1729" s="34" t="str">
        <f t="shared" si="284"/>
        <v/>
      </c>
      <c r="O1729" s="34" t="str">
        <f t="shared" si="284"/>
        <v/>
      </c>
      <c r="P1729" s="34">
        <f t="shared" si="284"/>
        <v>84</v>
      </c>
      <c r="Q1729" s="34">
        <f t="shared" si="284"/>
        <v>95</v>
      </c>
      <c r="R1729" s="34">
        <f t="shared" si="284"/>
        <v>107</v>
      </c>
      <c r="S1729" s="35">
        <f t="shared" si="285"/>
        <v>84</v>
      </c>
    </row>
    <row r="1730" spans="2:19" hidden="1" outlineLevel="1">
      <c r="B1730" s="14" t="s">
        <v>116</v>
      </c>
      <c r="C1730" s="15" t="s">
        <v>66</v>
      </c>
      <c r="D1730" s="52">
        <v>2059</v>
      </c>
      <c r="E1730" s="34">
        <v>3</v>
      </c>
      <c r="F1730" s="38">
        <f t="shared" si="281"/>
        <v>18940.783369626883</v>
      </c>
      <c r="G1730" s="34">
        <f t="shared" si="282"/>
        <v>16</v>
      </c>
      <c r="H1730" s="34">
        <f t="shared" si="283"/>
        <v>4</v>
      </c>
      <c r="I1730" s="34" t="str">
        <f t="shared" ref="I1730:R1739" si="286">IF($D1730&lt;$Z$18,"",IF(MAX($G1730,INDEX($C$65:$F$108,$D1730+I$119-2026,$H1730))&lt;=12*I$119-$E1730+12,MAX($G1730,12*I$119-$E1730+1,INDEX($C$65:$F$108,$D1730+I$119-2026,$H1730)),""))</f>
        <v/>
      </c>
      <c r="J1730" s="34" t="str">
        <f t="shared" si="286"/>
        <v/>
      </c>
      <c r="K1730" s="34" t="str">
        <f t="shared" si="286"/>
        <v/>
      </c>
      <c r="L1730" s="34" t="str">
        <f t="shared" si="286"/>
        <v/>
      </c>
      <c r="M1730" s="34" t="str">
        <f t="shared" si="286"/>
        <v/>
      </c>
      <c r="N1730" s="34" t="str">
        <f t="shared" si="286"/>
        <v/>
      </c>
      <c r="O1730" s="34" t="str">
        <f t="shared" si="286"/>
        <v/>
      </c>
      <c r="P1730" s="34">
        <f t="shared" si="286"/>
        <v>84</v>
      </c>
      <c r="Q1730" s="34">
        <f t="shared" si="286"/>
        <v>94</v>
      </c>
      <c r="R1730" s="34">
        <f t="shared" si="286"/>
        <v>106</v>
      </c>
      <c r="S1730" s="35">
        <f t="shared" si="285"/>
        <v>84</v>
      </c>
    </row>
    <row r="1731" spans="2:19" hidden="1" outlineLevel="1">
      <c r="B1731" s="14" t="s">
        <v>116</v>
      </c>
      <c r="C1731" s="15" t="s">
        <v>66</v>
      </c>
      <c r="D1731" s="52">
        <v>2059</v>
      </c>
      <c r="E1731" s="34">
        <v>4</v>
      </c>
      <c r="F1731" s="38">
        <f t="shared" si="281"/>
        <v>18940.783369626883</v>
      </c>
      <c r="G1731" s="34">
        <f t="shared" si="282"/>
        <v>16</v>
      </c>
      <c r="H1731" s="34">
        <f t="shared" si="283"/>
        <v>4</v>
      </c>
      <c r="I1731" s="34" t="str">
        <f t="shared" si="286"/>
        <v/>
      </c>
      <c r="J1731" s="34" t="str">
        <f t="shared" si="286"/>
        <v/>
      </c>
      <c r="K1731" s="34" t="str">
        <f t="shared" si="286"/>
        <v/>
      </c>
      <c r="L1731" s="34" t="str">
        <f t="shared" si="286"/>
        <v/>
      </c>
      <c r="M1731" s="34" t="str">
        <f t="shared" si="286"/>
        <v/>
      </c>
      <c r="N1731" s="34" t="str">
        <f t="shared" si="286"/>
        <v/>
      </c>
      <c r="O1731" s="34" t="str">
        <f t="shared" si="286"/>
        <v/>
      </c>
      <c r="P1731" s="34">
        <f t="shared" si="286"/>
        <v>84</v>
      </c>
      <c r="Q1731" s="34">
        <f t="shared" si="286"/>
        <v>93</v>
      </c>
      <c r="R1731" s="34">
        <f t="shared" si="286"/>
        <v>105</v>
      </c>
      <c r="S1731" s="35">
        <f t="shared" si="285"/>
        <v>84</v>
      </c>
    </row>
    <row r="1732" spans="2:19" hidden="1" outlineLevel="1">
      <c r="B1732" s="14" t="s">
        <v>116</v>
      </c>
      <c r="C1732" s="15" t="s">
        <v>66</v>
      </c>
      <c r="D1732" s="52">
        <v>2059</v>
      </c>
      <c r="E1732" s="34">
        <v>5</v>
      </c>
      <c r="F1732" s="38">
        <f t="shared" si="281"/>
        <v>18940.783369626883</v>
      </c>
      <c r="G1732" s="34">
        <f t="shared" si="282"/>
        <v>16</v>
      </c>
      <c r="H1732" s="34">
        <f t="shared" si="283"/>
        <v>4</v>
      </c>
      <c r="I1732" s="34" t="str">
        <f t="shared" si="286"/>
        <v/>
      </c>
      <c r="J1732" s="34" t="str">
        <f t="shared" si="286"/>
        <v/>
      </c>
      <c r="K1732" s="34" t="str">
        <f t="shared" si="286"/>
        <v/>
      </c>
      <c r="L1732" s="34" t="str">
        <f t="shared" si="286"/>
        <v/>
      </c>
      <c r="M1732" s="34" t="str">
        <f t="shared" si="286"/>
        <v/>
      </c>
      <c r="N1732" s="34" t="str">
        <f t="shared" si="286"/>
        <v/>
      </c>
      <c r="O1732" s="34" t="str">
        <f t="shared" si="286"/>
        <v/>
      </c>
      <c r="P1732" s="34">
        <f t="shared" si="286"/>
        <v>84</v>
      </c>
      <c r="Q1732" s="34">
        <f t="shared" si="286"/>
        <v>92</v>
      </c>
      <c r="R1732" s="34">
        <f t="shared" si="286"/>
        <v>104</v>
      </c>
      <c r="S1732" s="35">
        <f t="shared" si="285"/>
        <v>84</v>
      </c>
    </row>
    <row r="1733" spans="2:19" hidden="1" outlineLevel="1">
      <c r="B1733" s="14" t="s">
        <v>116</v>
      </c>
      <c r="C1733" s="15" t="s">
        <v>66</v>
      </c>
      <c r="D1733" s="52">
        <v>2059</v>
      </c>
      <c r="E1733" s="34">
        <v>6</v>
      </c>
      <c r="F1733" s="38">
        <f t="shared" si="281"/>
        <v>18940.783369626883</v>
      </c>
      <c r="G1733" s="34">
        <f t="shared" si="282"/>
        <v>16</v>
      </c>
      <c r="H1733" s="34">
        <f t="shared" si="283"/>
        <v>4</v>
      </c>
      <c r="I1733" s="34" t="str">
        <f t="shared" si="286"/>
        <v/>
      </c>
      <c r="J1733" s="34" t="str">
        <f t="shared" si="286"/>
        <v/>
      </c>
      <c r="K1733" s="34" t="str">
        <f t="shared" si="286"/>
        <v/>
      </c>
      <c r="L1733" s="34" t="str">
        <f t="shared" si="286"/>
        <v/>
      </c>
      <c r="M1733" s="34" t="str">
        <f t="shared" si="286"/>
        <v/>
      </c>
      <c r="N1733" s="34" t="str">
        <f t="shared" si="286"/>
        <v/>
      </c>
      <c r="O1733" s="34" t="str">
        <f t="shared" si="286"/>
        <v/>
      </c>
      <c r="P1733" s="34">
        <f t="shared" si="286"/>
        <v>84</v>
      </c>
      <c r="Q1733" s="34">
        <f t="shared" si="286"/>
        <v>91</v>
      </c>
      <c r="R1733" s="34">
        <f t="shared" si="286"/>
        <v>103</v>
      </c>
      <c r="S1733" s="35">
        <f t="shared" si="285"/>
        <v>84</v>
      </c>
    </row>
    <row r="1734" spans="2:19" hidden="1" outlineLevel="1">
      <c r="B1734" s="14" t="s">
        <v>116</v>
      </c>
      <c r="C1734" s="15" t="s">
        <v>66</v>
      </c>
      <c r="D1734" s="52">
        <v>2059</v>
      </c>
      <c r="E1734" s="34">
        <v>7</v>
      </c>
      <c r="F1734" s="38">
        <f t="shared" si="281"/>
        <v>18940.783369626883</v>
      </c>
      <c r="G1734" s="34">
        <f t="shared" si="282"/>
        <v>16</v>
      </c>
      <c r="H1734" s="34">
        <f t="shared" si="283"/>
        <v>4</v>
      </c>
      <c r="I1734" s="34" t="str">
        <f t="shared" si="286"/>
        <v/>
      </c>
      <c r="J1734" s="34" t="str">
        <f t="shared" si="286"/>
        <v/>
      </c>
      <c r="K1734" s="34" t="str">
        <f t="shared" si="286"/>
        <v/>
      </c>
      <c r="L1734" s="34" t="str">
        <f t="shared" si="286"/>
        <v/>
      </c>
      <c r="M1734" s="34" t="str">
        <f t="shared" si="286"/>
        <v/>
      </c>
      <c r="N1734" s="34" t="str">
        <f t="shared" si="286"/>
        <v/>
      </c>
      <c r="O1734" s="34" t="str">
        <f t="shared" si="286"/>
        <v/>
      </c>
      <c r="P1734" s="34">
        <f t="shared" si="286"/>
        <v>84</v>
      </c>
      <c r="Q1734" s="34">
        <f t="shared" si="286"/>
        <v>90</v>
      </c>
      <c r="R1734" s="34">
        <f t="shared" si="286"/>
        <v>102</v>
      </c>
      <c r="S1734" s="35">
        <f t="shared" si="285"/>
        <v>84</v>
      </c>
    </row>
    <row r="1735" spans="2:19" hidden="1" outlineLevel="1">
      <c r="B1735" s="14" t="s">
        <v>116</v>
      </c>
      <c r="C1735" s="15" t="s">
        <v>66</v>
      </c>
      <c r="D1735" s="52">
        <v>2059</v>
      </c>
      <c r="E1735" s="34">
        <v>8</v>
      </c>
      <c r="F1735" s="38">
        <f t="shared" si="281"/>
        <v>18940.783369626883</v>
      </c>
      <c r="G1735" s="34">
        <f t="shared" si="282"/>
        <v>16</v>
      </c>
      <c r="H1735" s="34">
        <f t="shared" si="283"/>
        <v>4</v>
      </c>
      <c r="I1735" s="34" t="str">
        <f t="shared" si="286"/>
        <v/>
      </c>
      <c r="J1735" s="34" t="str">
        <f t="shared" si="286"/>
        <v/>
      </c>
      <c r="K1735" s="34" t="str">
        <f t="shared" si="286"/>
        <v/>
      </c>
      <c r="L1735" s="34" t="str">
        <f t="shared" si="286"/>
        <v/>
      </c>
      <c r="M1735" s="34" t="str">
        <f t="shared" si="286"/>
        <v/>
      </c>
      <c r="N1735" s="34" t="str">
        <f t="shared" si="286"/>
        <v/>
      </c>
      <c r="O1735" s="34" t="str">
        <f t="shared" si="286"/>
        <v/>
      </c>
      <c r="P1735" s="34">
        <f t="shared" si="286"/>
        <v>84</v>
      </c>
      <c r="Q1735" s="34">
        <f t="shared" si="286"/>
        <v>89</v>
      </c>
      <c r="R1735" s="34">
        <f t="shared" si="286"/>
        <v>101</v>
      </c>
      <c r="S1735" s="35">
        <f t="shared" si="285"/>
        <v>84</v>
      </c>
    </row>
    <row r="1736" spans="2:19" hidden="1" outlineLevel="1">
      <c r="B1736" s="14" t="s">
        <v>116</v>
      </c>
      <c r="C1736" s="15" t="s">
        <v>66</v>
      </c>
      <c r="D1736" s="52">
        <v>2059</v>
      </c>
      <c r="E1736" s="34">
        <v>9</v>
      </c>
      <c r="F1736" s="38">
        <f t="shared" si="281"/>
        <v>18940.783369626883</v>
      </c>
      <c r="G1736" s="34">
        <f t="shared" si="282"/>
        <v>16</v>
      </c>
      <c r="H1736" s="34">
        <f t="shared" si="283"/>
        <v>4</v>
      </c>
      <c r="I1736" s="34" t="str">
        <f t="shared" si="286"/>
        <v/>
      </c>
      <c r="J1736" s="34" t="str">
        <f t="shared" si="286"/>
        <v/>
      </c>
      <c r="K1736" s="34" t="str">
        <f t="shared" si="286"/>
        <v/>
      </c>
      <c r="L1736" s="34" t="str">
        <f t="shared" si="286"/>
        <v/>
      </c>
      <c r="M1736" s="34" t="str">
        <f t="shared" si="286"/>
        <v/>
      </c>
      <c r="N1736" s="34" t="str">
        <f t="shared" si="286"/>
        <v/>
      </c>
      <c r="O1736" s="34" t="str">
        <f t="shared" si="286"/>
        <v/>
      </c>
      <c r="P1736" s="34">
        <f t="shared" si="286"/>
        <v>84</v>
      </c>
      <c r="Q1736" s="34">
        <f t="shared" si="286"/>
        <v>88</v>
      </c>
      <c r="R1736" s="34">
        <f t="shared" si="286"/>
        <v>100</v>
      </c>
      <c r="S1736" s="35">
        <f t="shared" si="285"/>
        <v>84</v>
      </c>
    </row>
    <row r="1737" spans="2:19" hidden="1" outlineLevel="1">
      <c r="B1737" s="14" t="s">
        <v>116</v>
      </c>
      <c r="C1737" s="15" t="s">
        <v>66</v>
      </c>
      <c r="D1737" s="52">
        <v>2059</v>
      </c>
      <c r="E1737" s="34">
        <v>10</v>
      </c>
      <c r="F1737" s="38">
        <f t="shared" si="281"/>
        <v>18940.783369626883</v>
      </c>
      <c r="G1737" s="34">
        <f t="shared" si="282"/>
        <v>16</v>
      </c>
      <c r="H1737" s="34">
        <f t="shared" si="283"/>
        <v>4</v>
      </c>
      <c r="I1737" s="34" t="str">
        <f t="shared" si="286"/>
        <v/>
      </c>
      <c r="J1737" s="34" t="str">
        <f t="shared" si="286"/>
        <v/>
      </c>
      <c r="K1737" s="34" t="str">
        <f t="shared" si="286"/>
        <v/>
      </c>
      <c r="L1737" s="34" t="str">
        <f t="shared" si="286"/>
        <v/>
      </c>
      <c r="M1737" s="34" t="str">
        <f t="shared" si="286"/>
        <v/>
      </c>
      <c r="N1737" s="34" t="str">
        <f t="shared" si="286"/>
        <v/>
      </c>
      <c r="O1737" s="34" t="str">
        <f t="shared" si="286"/>
        <v/>
      </c>
      <c r="P1737" s="34">
        <f t="shared" si="286"/>
        <v>84</v>
      </c>
      <c r="Q1737" s="34">
        <f t="shared" si="286"/>
        <v>87</v>
      </c>
      <c r="R1737" s="34">
        <f t="shared" si="286"/>
        <v>99</v>
      </c>
      <c r="S1737" s="35">
        <f t="shared" si="285"/>
        <v>84</v>
      </c>
    </row>
    <row r="1738" spans="2:19" hidden="1" outlineLevel="1">
      <c r="B1738" s="14" t="s">
        <v>116</v>
      </c>
      <c r="C1738" s="15" t="s">
        <v>66</v>
      </c>
      <c r="D1738" s="52">
        <v>2059</v>
      </c>
      <c r="E1738" s="34">
        <v>11</v>
      </c>
      <c r="F1738" s="38">
        <f t="shared" si="281"/>
        <v>18940.783369626883</v>
      </c>
      <c r="G1738" s="34">
        <f t="shared" si="282"/>
        <v>16</v>
      </c>
      <c r="H1738" s="34">
        <f t="shared" si="283"/>
        <v>4</v>
      </c>
      <c r="I1738" s="34" t="str">
        <f t="shared" si="286"/>
        <v/>
      </c>
      <c r="J1738" s="34" t="str">
        <f t="shared" si="286"/>
        <v/>
      </c>
      <c r="K1738" s="34" t="str">
        <f t="shared" si="286"/>
        <v/>
      </c>
      <c r="L1738" s="34" t="str">
        <f t="shared" si="286"/>
        <v/>
      </c>
      <c r="M1738" s="34" t="str">
        <f t="shared" si="286"/>
        <v/>
      </c>
      <c r="N1738" s="34" t="str">
        <f t="shared" si="286"/>
        <v/>
      </c>
      <c r="O1738" s="34" t="str">
        <f t="shared" si="286"/>
        <v/>
      </c>
      <c r="P1738" s="34">
        <f t="shared" si="286"/>
        <v>84</v>
      </c>
      <c r="Q1738" s="34">
        <f t="shared" si="286"/>
        <v>86</v>
      </c>
      <c r="R1738" s="34">
        <f t="shared" si="286"/>
        <v>98</v>
      </c>
      <c r="S1738" s="35">
        <f t="shared" si="285"/>
        <v>84</v>
      </c>
    </row>
    <row r="1739" spans="2:19" hidden="1" outlineLevel="1">
      <c r="B1739" s="14" t="s">
        <v>116</v>
      </c>
      <c r="C1739" s="15" t="s">
        <v>66</v>
      </c>
      <c r="D1739" s="52">
        <v>2059</v>
      </c>
      <c r="E1739" s="34">
        <v>12</v>
      </c>
      <c r="F1739" s="38">
        <f t="shared" si="281"/>
        <v>18940.783369626883</v>
      </c>
      <c r="G1739" s="34">
        <f t="shared" si="282"/>
        <v>16</v>
      </c>
      <c r="H1739" s="34">
        <f t="shared" si="283"/>
        <v>4</v>
      </c>
      <c r="I1739" s="34" t="str">
        <f t="shared" si="286"/>
        <v/>
      </c>
      <c r="J1739" s="34" t="str">
        <f t="shared" si="286"/>
        <v/>
      </c>
      <c r="K1739" s="34" t="str">
        <f t="shared" si="286"/>
        <v/>
      </c>
      <c r="L1739" s="34" t="str">
        <f t="shared" si="286"/>
        <v/>
      </c>
      <c r="M1739" s="34" t="str">
        <f t="shared" si="286"/>
        <v/>
      </c>
      <c r="N1739" s="34" t="str">
        <f t="shared" si="286"/>
        <v/>
      </c>
      <c r="O1739" s="34" t="str">
        <f t="shared" si="286"/>
        <v/>
      </c>
      <c r="P1739" s="34">
        <f t="shared" si="286"/>
        <v>84</v>
      </c>
      <c r="Q1739" s="34">
        <f t="shared" si="286"/>
        <v>85</v>
      </c>
      <c r="R1739" s="34">
        <f t="shared" si="286"/>
        <v>97</v>
      </c>
      <c r="S1739" s="35">
        <f t="shared" si="285"/>
        <v>84</v>
      </c>
    </row>
    <row r="1740" spans="2:19" hidden="1" outlineLevel="1">
      <c r="B1740" s="14" t="s">
        <v>116</v>
      </c>
      <c r="C1740" s="15" t="s">
        <v>66</v>
      </c>
      <c r="D1740" s="52">
        <v>2060</v>
      </c>
      <c r="E1740" s="34">
        <v>1</v>
      </c>
      <c r="F1740" s="38">
        <f t="shared" si="281"/>
        <v>18761.050799481578</v>
      </c>
      <c r="G1740" s="34">
        <f t="shared" si="282"/>
        <v>16</v>
      </c>
      <c r="H1740" s="34">
        <f t="shared" si="283"/>
        <v>4</v>
      </c>
      <c r="I1740" s="34" t="str">
        <f t="shared" ref="I1740:R1751" si="287">IF($D1740&lt;$Z$18,"",IF(MAX($G1740,INDEX($C$65:$F$108,$D1740+I$119-2026,$H1740))&lt;=12*I$119-$E1740+12,MAX($G1740,12*I$119-$E1740+1,INDEX($C$65:$F$108,$D1740+I$119-2026,$H1740)),""))</f>
        <v/>
      </c>
      <c r="J1740" s="34" t="str">
        <f t="shared" si="287"/>
        <v/>
      </c>
      <c r="K1740" s="34" t="str">
        <f t="shared" si="287"/>
        <v/>
      </c>
      <c r="L1740" s="34" t="str">
        <f t="shared" si="287"/>
        <v/>
      </c>
      <c r="M1740" s="34" t="str">
        <f t="shared" si="287"/>
        <v/>
      </c>
      <c r="N1740" s="34" t="str">
        <f t="shared" si="287"/>
        <v/>
      </c>
      <c r="O1740" s="34" t="str">
        <f t="shared" si="287"/>
        <v/>
      </c>
      <c r="P1740" s="34">
        <f t="shared" si="287"/>
        <v>84</v>
      </c>
      <c r="Q1740" s="34">
        <f t="shared" si="287"/>
        <v>96</v>
      </c>
      <c r="R1740" s="34">
        <f t="shared" si="287"/>
        <v>108</v>
      </c>
      <c r="S1740" s="35">
        <f t="shared" si="285"/>
        <v>84</v>
      </c>
    </row>
    <row r="1741" spans="2:19" hidden="1" outlineLevel="1">
      <c r="B1741" s="14" t="s">
        <v>116</v>
      </c>
      <c r="C1741" s="15" t="s">
        <v>66</v>
      </c>
      <c r="D1741" s="52">
        <v>2060</v>
      </c>
      <c r="E1741" s="34">
        <v>2</v>
      </c>
      <c r="F1741" s="38">
        <f t="shared" si="281"/>
        <v>18761.050799481578</v>
      </c>
      <c r="G1741" s="34">
        <f t="shared" si="282"/>
        <v>16</v>
      </c>
      <c r="H1741" s="34">
        <f t="shared" si="283"/>
        <v>4</v>
      </c>
      <c r="I1741" s="34" t="str">
        <f t="shared" si="287"/>
        <v/>
      </c>
      <c r="J1741" s="34" t="str">
        <f t="shared" si="287"/>
        <v/>
      </c>
      <c r="K1741" s="34" t="str">
        <f t="shared" si="287"/>
        <v/>
      </c>
      <c r="L1741" s="34" t="str">
        <f t="shared" si="287"/>
        <v/>
      </c>
      <c r="M1741" s="34" t="str">
        <f t="shared" si="287"/>
        <v/>
      </c>
      <c r="N1741" s="34" t="str">
        <f t="shared" si="287"/>
        <v/>
      </c>
      <c r="O1741" s="34" t="str">
        <f t="shared" si="287"/>
        <v/>
      </c>
      <c r="P1741" s="34">
        <f t="shared" si="287"/>
        <v>84</v>
      </c>
      <c r="Q1741" s="34">
        <f t="shared" si="287"/>
        <v>95</v>
      </c>
      <c r="R1741" s="34">
        <f t="shared" si="287"/>
        <v>107</v>
      </c>
      <c r="S1741" s="35">
        <f t="shared" si="285"/>
        <v>84</v>
      </c>
    </row>
    <row r="1742" spans="2:19" hidden="1" outlineLevel="1">
      <c r="B1742" s="14" t="s">
        <v>116</v>
      </c>
      <c r="C1742" s="15" t="s">
        <v>66</v>
      </c>
      <c r="D1742" s="52">
        <v>2060</v>
      </c>
      <c r="E1742" s="34">
        <v>3</v>
      </c>
      <c r="F1742" s="38">
        <f t="shared" si="281"/>
        <v>18761.050799481578</v>
      </c>
      <c r="G1742" s="34">
        <f t="shared" si="282"/>
        <v>16</v>
      </c>
      <c r="H1742" s="34">
        <f t="shared" si="283"/>
        <v>4</v>
      </c>
      <c r="I1742" s="34" t="str">
        <f t="shared" si="287"/>
        <v/>
      </c>
      <c r="J1742" s="34" t="str">
        <f t="shared" si="287"/>
        <v/>
      </c>
      <c r="K1742" s="34" t="str">
        <f t="shared" si="287"/>
        <v/>
      </c>
      <c r="L1742" s="34" t="str">
        <f t="shared" si="287"/>
        <v/>
      </c>
      <c r="M1742" s="34" t="str">
        <f t="shared" si="287"/>
        <v/>
      </c>
      <c r="N1742" s="34" t="str">
        <f t="shared" si="287"/>
        <v/>
      </c>
      <c r="O1742" s="34" t="str">
        <f t="shared" si="287"/>
        <v/>
      </c>
      <c r="P1742" s="34">
        <f t="shared" si="287"/>
        <v>84</v>
      </c>
      <c r="Q1742" s="34">
        <f t="shared" si="287"/>
        <v>94</v>
      </c>
      <c r="R1742" s="34">
        <f t="shared" si="287"/>
        <v>106</v>
      </c>
      <c r="S1742" s="35">
        <f t="shared" si="285"/>
        <v>84</v>
      </c>
    </row>
    <row r="1743" spans="2:19" hidden="1" outlineLevel="1">
      <c r="B1743" s="14" t="s">
        <v>116</v>
      </c>
      <c r="C1743" s="15" t="s">
        <v>66</v>
      </c>
      <c r="D1743" s="52">
        <v>2060</v>
      </c>
      <c r="E1743" s="34">
        <v>4</v>
      </c>
      <c r="F1743" s="38">
        <f t="shared" si="281"/>
        <v>18761.050799481578</v>
      </c>
      <c r="G1743" s="34">
        <f t="shared" si="282"/>
        <v>16</v>
      </c>
      <c r="H1743" s="34">
        <f t="shared" si="283"/>
        <v>4</v>
      </c>
      <c r="I1743" s="34" t="str">
        <f t="shared" si="287"/>
        <v/>
      </c>
      <c r="J1743" s="34" t="str">
        <f t="shared" si="287"/>
        <v/>
      </c>
      <c r="K1743" s="34" t="str">
        <f t="shared" si="287"/>
        <v/>
      </c>
      <c r="L1743" s="34" t="str">
        <f t="shared" si="287"/>
        <v/>
      </c>
      <c r="M1743" s="34" t="str">
        <f t="shared" si="287"/>
        <v/>
      </c>
      <c r="N1743" s="34" t="str">
        <f t="shared" si="287"/>
        <v/>
      </c>
      <c r="O1743" s="34" t="str">
        <f t="shared" si="287"/>
        <v/>
      </c>
      <c r="P1743" s="34">
        <f t="shared" si="287"/>
        <v>84</v>
      </c>
      <c r="Q1743" s="34">
        <f t="shared" si="287"/>
        <v>93</v>
      </c>
      <c r="R1743" s="34">
        <f t="shared" si="287"/>
        <v>105</v>
      </c>
      <c r="S1743" s="35">
        <f t="shared" si="285"/>
        <v>84</v>
      </c>
    </row>
    <row r="1744" spans="2:19" hidden="1" outlineLevel="1">
      <c r="B1744" s="14" t="s">
        <v>116</v>
      </c>
      <c r="C1744" s="15" t="s">
        <v>66</v>
      </c>
      <c r="D1744" s="52">
        <v>2060</v>
      </c>
      <c r="E1744" s="34">
        <v>5</v>
      </c>
      <c r="F1744" s="38">
        <f t="shared" si="281"/>
        <v>18761.050799481578</v>
      </c>
      <c r="G1744" s="34">
        <f t="shared" si="282"/>
        <v>16</v>
      </c>
      <c r="H1744" s="34">
        <f t="shared" si="283"/>
        <v>4</v>
      </c>
      <c r="I1744" s="34" t="str">
        <f t="shared" si="287"/>
        <v/>
      </c>
      <c r="J1744" s="34" t="str">
        <f t="shared" si="287"/>
        <v/>
      </c>
      <c r="K1744" s="34" t="str">
        <f t="shared" si="287"/>
        <v/>
      </c>
      <c r="L1744" s="34" t="str">
        <f t="shared" si="287"/>
        <v/>
      </c>
      <c r="M1744" s="34" t="str">
        <f t="shared" si="287"/>
        <v/>
      </c>
      <c r="N1744" s="34" t="str">
        <f t="shared" si="287"/>
        <v/>
      </c>
      <c r="O1744" s="34" t="str">
        <f t="shared" si="287"/>
        <v/>
      </c>
      <c r="P1744" s="34">
        <f t="shared" si="287"/>
        <v>84</v>
      </c>
      <c r="Q1744" s="34">
        <f t="shared" si="287"/>
        <v>92</v>
      </c>
      <c r="R1744" s="34">
        <f t="shared" si="287"/>
        <v>104</v>
      </c>
      <c r="S1744" s="35">
        <f t="shared" si="285"/>
        <v>84</v>
      </c>
    </row>
    <row r="1745" spans="2:19" hidden="1" outlineLevel="1">
      <c r="B1745" s="14" t="s">
        <v>116</v>
      </c>
      <c r="C1745" s="15" t="s">
        <v>66</v>
      </c>
      <c r="D1745" s="52">
        <v>2060</v>
      </c>
      <c r="E1745" s="34">
        <v>6</v>
      </c>
      <c r="F1745" s="38">
        <f t="shared" si="281"/>
        <v>18761.050799481578</v>
      </c>
      <c r="G1745" s="34">
        <f t="shared" si="282"/>
        <v>16</v>
      </c>
      <c r="H1745" s="34">
        <f t="shared" si="283"/>
        <v>4</v>
      </c>
      <c r="I1745" s="34" t="str">
        <f t="shared" si="287"/>
        <v/>
      </c>
      <c r="J1745" s="34" t="str">
        <f t="shared" si="287"/>
        <v/>
      </c>
      <c r="K1745" s="34" t="str">
        <f t="shared" si="287"/>
        <v/>
      </c>
      <c r="L1745" s="34" t="str">
        <f t="shared" si="287"/>
        <v/>
      </c>
      <c r="M1745" s="34" t="str">
        <f t="shared" si="287"/>
        <v/>
      </c>
      <c r="N1745" s="34" t="str">
        <f t="shared" si="287"/>
        <v/>
      </c>
      <c r="O1745" s="34" t="str">
        <f t="shared" si="287"/>
        <v/>
      </c>
      <c r="P1745" s="34">
        <f t="shared" si="287"/>
        <v>84</v>
      </c>
      <c r="Q1745" s="34">
        <f t="shared" si="287"/>
        <v>91</v>
      </c>
      <c r="R1745" s="34">
        <f t="shared" si="287"/>
        <v>103</v>
      </c>
      <c r="S1745" s="35">
        <f t="shared" si="285"/>
        <v>84</v>
      </c>
    </row>
    <row r="1746" spans="2:19" hidden="1" outlineLevel="1">
      <c r="B1746" s="14" t="s">
        <v>116</v>
      </c>
      <c r="C1746" s="15" t="s">
        <v>66</v>
      </c>
      <c r="D1746" s="52">
        <v>2060</v>
      </c>
      <c r="E1746" s="34">
        <v>7</v>
      </c>
      <c r="F1746" s="38">
        <f t="shared" si="281"/>
        <v>18761.050799481578</v>
      </c>
      <c r="G1746" s="34">
        <f t="shared" si="282"/>
        <v>16</v>
      </c>
      <c r="H1746" s="34">
        <f t="shared" si="283"/>
        <v>4</v>
      </c>
      <c r="I1746" s="34" t="str">
        <f t="shared" si="287"/>
        <v/>
      </c>
      <c r="J1746" s="34" t="str">
        <f t="shared" si="287"/>
        <v/>
      </c>
      <c r="K1746" s="34" t="str">
        <f t="shared" si="287"/>
        <v/>
      </c>
      <c r="L1746" s="34" t="str">
        <f t="shared" si="287"/>
        <v/>
      </c>
      <c r="M1746" s="34" t="str">
        <f t="shared" si="287"/>
        <v/>
      </c>
      <c r="N1746" s="34" t="str">
        <f t="shared" si="287"/>
        <v/>
      </c>
      <c r="O1746" s="34" t="str">
        <f t="shared" si="287"/>
        <v/>
      </c>
      <c r="P1746" s="34">
        <f t="shared" si="287"/>
        <v>84</v>
      </c>
      <c r="Q1746" s="34">
        <f t="shared" si="287"/>
        <v>90</v>
      </c>
      <c r="R1746" s="34">
        <f t="shared" si="287"/>
        <v>102</v>
      </c>
      <c r="S1746" s="35">
        <f t="shared" si="285"/>
        <v>84</v>
      </c>
    </row>
    <row r="1747" spans="2:19" hidden="1" outlineLevel="1">
      <c r="B1747" s="14" t="s">
        <v>116</v>
      </c>
      <c r="C1747" s="15" t="s">
        <v>66</v>
      </c>
      <c r="D1747" s="52">
        <v>2060</v>
      </c>
      <c r="E1747" s="34">
        <v>8</v>
      </c>
      <c r="F1747" s="38">
        <f t="shared" si="281"/>
        <v>18761.050799481578</v>
      </c>
      <c r="G1747" s="34">
        <f t="shared" si="282"/>
        <v>16</v>
      </c>
      <c r="H1747" s="34">
        <f t="shared" si="283"/>
        <v>4</v>
      </c>
      <c r="I1747" s="34" t="str">
        <f t="shared" si="287"/>
        <v/>
      </c>
      <c r="J1747" s="34" t="str">
        <f t="shared" si="287"/>
        <v/>
      </c>
      <c r="K1747" s="34" t="str">
        <f t="shared" si="287"/>
        <v/>
      </c>
      <c r="L1747" s="34" t="str">
        <f t="shared" si="287"/>
        <v/>
      </c>
      <c r="M1747" s="34" t="str">
        <f t="shared" si="287"/>
        <v/>
      </c>
      <c r="N1747" s="34" t="str">
        <f t="shared" si="287"/>
        <v/>
      </c>
      <c r="O1747" s="34" t="str">
        <f t="shared" si="287"/>
        <v/>
      </c>
      <c r="P1747" s="34">
        <f t="shared" si="287"/>
        <v>84</v>
      </c>
      <c r="Q1747" s="34">
        <f t="shared" si="287"/>
        <v>89</v>
      </c>
      <c r="R1747" s="34">
        <f t="shared" si="287"/>
        <v>101</v>
      </c>
      <c r="S1747" s="35">
        <f t="shared" si="285"/>
        <v>84</v>
      </c>
    </row>
    <row r="1748" spans="2:19" hidden="1" outlineLevel="1">
      <c r="B1748" s="14" t="s">
        <v>116</v>
      </c>
      <c r="C1748" s="15" t="s">
        <v>66</v>
      </c>
      <c r="D1748" s="52">
        <v>2060</v>
      </c>
      <c r="E1748" s="34">
        <v>9</v>
      </c>
      <c r="F1748" s="38">
        <f t="shared" si="281"/>
        <v>18761.050799481578</v>
      </c>
      <c r="G1748" s="34">
        <f t="shared" si="282"/>
        <v>16</v>
      </c>
      <c r="H1748" s="34">
        <f t="shared" si="283"/>
        <v>4</v>
      </c>
      <c r="I1748" s="34" t="str">
        <f t="shared" si="287"/>
        <v/>
      </c>
      <c r="J1748" s="34" t="str">
        <f t="shared" si="287"/>
        <v/>
      </c>
      <c r="K1748" s="34" t="str">
        <f t="shared" si="287"/>
        <v/>
      </c>
      <c r="L1748" s="34" t="str">
        <f t="shared" si="287"/>
        <v/>
      </c>
      <c r="M1748" s="34" t="str">
        <f t="shared" si="287"/>
        <v/>
      </c>
      <c r="N1748" s="34" t="str">
        <f t="shared" si="287"/>
        <v/>
      </c>
      <c r="O1748" s="34" t="str">
        <f t="shared" si="287"/>
        <v/>
      </c>
      <c r="P1748" s="34">
        <f t="shared" si="287"/>
        <v>84</v>
      </c>
      <c r="Q1748" s="34">
        <f t="shared" si="287"/>
        <v>88</v>
      </c>
      <c r="R1748" s="34">
        <f t="shared" si="287"/>
        <v>100</v>
      </c>
      <c r="S1748" s="35">
        <f t="shared" si="285"/>
        <v>84</v>
      </c>
    </row>
    <row r="1749" spans="2:19" hidden="1" outlineLevel="1">
      <c r="B1749" s="14" t="s">
        <v>116</v>
      </c>
      <c r="C1749" s="15" t="s">
        <v>66</v>
      </c>
      <c r="D1749" s="52">
        <v>2060</v>
      </c>
      <c r="E1749" s="34">
        <v>10</v>
      </c>
      <c r="F1749" s="38">
        <f t="shared" si="281"/>
        <v>18761.050799481578</v>
      </c>
      <c r="G1749" s="34">
        <f t="shared" si="282"/>
        <v>16</v>
      </c>
      <c r="H1749" s="34">
        <f t="shared" si="283"/>
        <v>4</v>
      </c>
      <c r="I1749" s="34" t="str">
        <f t="shared" si="287"/>
        <v/>
      </c>
      <c r="J1749" s="34" t="str">
        <f t="shared" si="287"/>
        <v/>
      </c>
      <c r="K1749" s="34" t="str">
        <f t="shared" si="287"/>
        <v/>
      </c>
      <c r="L1749" s="34" t="str">
        <f t="shared" si="287"/>
        <v/>
      </c>
      <c r="M1749" s="34" t="str">
        <f t="shared" si="287"/>
        <v/>
      </c>
      <c r="N1749" s="34" t="str">
        <f t="shared" si="287"/>
        <v/>
      </c>
      <c r="O1749" s="34" t="str">
        <f t="shared" si="287"/>
        <v/>
      </c>
      <c r="P1749" s="34">
        <f t="shared" si="287"/>
        <v>84</v>
      </c>
      <c r="Q1749" s="34">
        <f t="shared" si="287"/>
        <v>87</v>
      </c>
      <c r="R1749" s="34">
        <f t="shared" si="287"/>
        <v>99</v>
      </c>
      <c r="S1749" s="35">
        <f t="shared" si="285"/>
        <v>84</v>
      </c>
    </row>
    <row r="1750" spans="2:19" hidden="1" outlineLevel="1">
      <c r="B1750" s="14" t="s">
        <v>116</v>
      </c>
      <c r="C1750" s="15" t="s">
        <v>66</v>
      </c>
      <c r="D1750" s="52">
        <v>2060</v>
      </c>
      <c r="E1750" s="34">
        <v>11</v>
      </c>
      <c r="F1750" s="38">
        <f t="shared" si="281"/>
        <v>18761.050799481578</v>
      </c>
      <c r="G1750" s="34">
        <f t="shared" si="282"/>
        <v>16</v>
      </c>
      <c r="H1750" s="34">
        <f t="shared" si="283"/>
        <v>4</v>
      </c>
      <c r="I1750" s="34" t="str">
        <f t="shared" si="287"/>
        <v/>
      </c>
      <c r="J1750" s="34" t="str">
        <f t="shared" si="287"/>
        <v/>
      </c>
      <c r="K1750" s="34" t="str">
        <f t="shared" si="287"/>
        <v/>
      </c>
      <c r="L1750" s="34" t="str">
        <f t="shared" si="287"/>
        <v/>
      </c>
      <c r="M1750" s="34" t="str">
        <f t="shared" si="287"/>
        <v/>
      </c>
      <c r="N1750" s="34" t="str">
        <f t="shared" si="287"/>
        <v/>
      </c>
      <c r="O1750" s="34" t="str">
        <f t="shared" si="287"/>
        <v/>
      </c>
      <c r="P1750" s="34">
        <f t="shared" si="287"/>
        <v>84</v>
      </c>
      <c r="Q1750" s="34">
        <f t="shared" si="287"/>
        <v>86</v>
      </c>
      <c r="R1750" s="34">
        <f t="shared" si="287"/>
        <v>98</v>
      </c>
      <c r="S1750" s="35">
        <f t="shared" si="285"/>
        <v>84</v>
      </c>
    </row>
    <row r="1751" spans="2:19" hidden="1" outlineLevel="1">
      <c r="B1751" s="49" t="s">
        <v>116</v>
      </c>
      <c r="C1751" s="59" t="s">
        <v>66</v>
      </c>
      <c r="D1751" s="58">
        <v>2060</v>
      </c>
      <c r="E1751" s="59">
        <v>12</v>
      </c>
      <c r="F1751" s="44">
        <f t="shared" si="281"/>
        <v>18761.050799481578</v>
      </c>
      <c r="G1751" s="59">
        <f t="shared" si="282"/>
        <v>16</v>
      </c>
      <c r="H1751" s="59">
        <f t="shared" si="283"/>
        <v>4</v>
      </c>
      <c r="I1751" s="59" t="str">
        <f t="shared" si="287"/>
        <v/>
      </c>
      <c r="J1751" s="59" t="str">
        <f t="shared" si="287"/>
        <v/>
      </c>
      <c r="K1751" s="59" t="str">
        <f t="shared" si="287"/>
        <v/>
      </c>
      <c r="L1751" s="59" t="str">
        <f t="shared" si="287"/>
        <v/>
      </c>
      <c r="M1751" s="59" t="str">
        <f t="shared" si="287"/>
        <v/>
      </c>
      <c r="N1751" s="59" t="str">
        <f t="shared" si="287"/>
        <v/>
      </c>
      <c r="O1751" s="59" t="str">
        <f t="shared" si="287"/>
        <v/>
      </c>
      <c r="P1751" s="59">
        <f t="shared" si="287"/>
        <v>84</v>
      </c>
      <c r="Q1751" s="59">
        <f t="shared" si="287"/>
        <v>85</v>
      </c>
      <c r="R1751" s="59">
        <f t="shared" si="287"/>
        <v>97</v>
      </c>
      <c r="S1751" s="61">
        <f t="shared" si="285"/>
        <v>84</v>
      </c>
    </row>
    <row r="1752" spans="2:19" hidden="1" outlineLevel="1">
      <c r="B1752" s="24" t="s">
        <v>151</v>
      </c>
    </row>
    <row r="1753" spans="2:19" hidden="1" outlineLevel="1">
      <c r="B1753" s="36" t="s">
        <v>152</v>
      </c>
    </row>
    <row r="1754" spans="2:19" hidden="1" outlineLevel="1">
      <c r="B1754" s="36" t="s">
        <v>153</v>
      </c>
    </row>
    <row r="1755" spans="2:19" hidden="1" outlineLevel="1">
      <c r="B1755" s="36" t="s">
        <v>154</v>
      </c>
    </row>
    <row r="1756" spans="2:19" hidden="1" outlineLevel="1">
      <c r="B1756" s="36" t="s">
        <v>155</v>
      </c>
    </row>
    <row r="1757" spans="2:19" hidden="1" outlineLevel="1">
      <c r="B1757" s="36" t="s">
        <v>156</v>
      </c>
    </row>
    <row r="1758" spans="2:19" hidden="1" outlineLevel="1">
      <c r="B1758" s="36" t="s">
        <v>157</v>
      </c>
    </row>
    <row r="1759" spans="2:19" hidden="1" outlineLevel="1">
      <c r="B1759" s="36" t="s">
        <v>158</v>
      </c>
    </row>
  </sheetData>
  <mergeCells count="19">
    <mergeCell ref="Y12:AA12"/>
    <mergeCell ref="Y7:AA7"/>
    <mergeCell ref="Z18:AA18"/>
    <mergeCell ref="B2:W2"/>
    <mergeCell ref="Y8:AA8"/>
    <mergeCell ref="B3:K3"/>
    <mergeCell ref="L3:Q3"/>
    <mergeCell ref="R3:W3"/>
    <mergeCell ref="AC5:AE5"/>
    <mergeCell ref="AG5:AI5"/>
    <mergeCell ref="Z6:AA6"/>
    <mergeCell ref="Y5:AA5"/>
    <mergeCell ref="AC11:AE11"/>
    <mergeCell ref="B63:F63"/>
    <mergeCell ref="B117:S117"/>
    <mergeCell ref="I118:R118"/>
    <mergeCell ref="B59:O59"/>
    <mergeCell ref="Z19:AA19"/>
    <mergeCell ref="Z20:AA20"/>
  </mergeCells>
  <dataValidations disablePrompts="1" count="1">
    <dataValidation type="list" showErrorMessage="1" errorTitle="Valor inválido" error="Selecione uma das opções da lista." sqref="Z6" xr:uid="{00000000-0002-0000-0100-000000000000}">
      <formula1>"Idade média efetiva,Idade mínima vigente"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D3190560848C40B6A929426775C674" ma:contentTypeVersion="6" ma:contentTypeDescription="Crie um novo documento." ma:contentTypeScope="" ma:versionID="22740d831a943d7b3d787cb0eebecd23">
  <xsd:schema xmlns:xsd="http://www.w3.org/2001/XMLSchema" xmlns:xs="http://www.w3.org/2001/XMLSchema" xmlns:p="http://schemas.microsoft.com/office/2006/metadata/properties" xmlns:ns2="44dd438a-ca4a-4c12-ba39-ae235a053564" xmlns:ns3="7640e0c6-cc09-4e0e-b392-5fac14b73250" xmlns:ns4="1e427746-d06a-4193-aa24-04f7d3cf6a94" xmlns:ns5="51a46d2f-a458-486e-923f-5f5ac2f4c91a" targetNamespace="http://schemas.microsoft.com/office/2006/metadata/properties" ma:root="true" ma:fieldsID="2f617f04dcfd7b237b36b5bced9e77cb" ns2:_="" ns3:_="" ns4:_="" ns5:_="">
    <xsd:import namespace="44dd438a-ca4a-4c12-ba39-ae235a053564"/>
    <xsd:import namespace="7640e0c6-cc09-4e0e-b392-5fac14b73250"/>
    <xsd:import namespace="1e427746-d06a-4193-aa24-04f7d3cf6a94"/>
    <xsd:import namespace="51a46d2f-a458-486e-923f-5f5ac2f4c91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dd438a-ca4a-4c12-ba39-ae235a0535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40e0c6-cc09-4e0e-b392-5fac14b732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27746-d06a-4193-aa24-04f7d3cf6a9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39d7e3e-2180-4bf4-896a-658d90d149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46d2f-a458-486e-923f-5f5ac2f4c91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9d11062-0ddc-4b5f-b7eb-c0a997b75bde}" ma:internalName="TaxCatchAll" ma:showField="CatchAllData" ma:web="51a46d2f-a458-486e-923f-5f5ac2f4c9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427746-d06a-4193-aa24-04f7d3cf6a94">
      <Terms xmlns="http://schemas.microsoft.com/office/infopath/2007/PartnerControls"/>
    </lcf76f155ced4ddcb4097134ff3c332f>
    <TaxCatchAll xmlns="51a46d2f-a458-486e-923f-5f5ac2f4c91a" xsi:nil="true"/>
  </documentManagement>
</p:properties>
</file>

<file path=customXml/itemProps1.xml><?xml version="1.0" encoding="utf-8"?>
<ds:datastoreItem xmlns:ds="http://schemas.openxmlformats.org/officeDocument/2006/customXml" ds:itemID="{ABC08292-A4B4-49D5-84B8-6A01B4494381}"/>
</file>

<file path=customXml/itemProps2.xml><?xml version="1.0" encoding="utf-8"?>
<ds:datastoreItem xmlns:ds="http://schemas.openxmlformats.org/officeDocument/2006/customXml" ds:itemID="{D2DBD301-BED7-4D5D-B431-EA6B1059758A}"/>
</file>

<file path=customXml/itemProps3.xml><?xml version="1.0" encoding="utf-8"?>
<ds:datastoreItem xmlns:ds="http://schemas.openxmlformats.org/officeDocument/2006/customXml" ds:itemID="{F6C534DB-74A3-4817-9048-1C254A4C22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Filipe Tomaz Figueiredo Duarte</cp:lastModifiedBy>
  <cp:revision/>
  <dcterms:created xsi:type="dcterms:W3CDTF">2026-10-22T13:50:45Z</dcterms:created>
  <dcterms:modified xsi:type="dcterms:W3CDTF">2026-10-22T13:50:45Z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2026-10-02T18:31:59Z</dcterms:created>
  <dc:creator>openpyxl</dc:creator>
  <dc:description/>
  <dc:language>en-US</dc:language>
  <cp:lastModifiedBy/>
  <dcterms:modified xsi:type="dcterms:W3CDTF">2026-10-06T14:22:09Z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0x01010000D3190560848C40B6A929426775C674</vt:lpwstr>
  </property>
  <property fmtid="{D5CDD505-2E9C-101B-9397-08002B2CF9AE}" pid="3" name="MediaServiceImageTags">
    <vt:lpwstr/>
  </property>
</Properties>
</file>